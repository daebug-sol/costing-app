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E\Downloads\PDF Center\Project ThermalTrue\"/>
    </mc:Choice>
  </mc:AlternateContent>
  <xr:revisionPtr revIDLastSave="0" documentId="13_ncr:1_{02CF010D-2E12-4B3B-B9C4-8D2C7DB97415}" xr6:coauthVersionLast="47" xr6:coauthVersionMax="47" xr10:uidLastSave="{00000000-0000-0000-0000-000000000000}"/>
  <bookViews>
    <workbookView xWindow="-120" yWindow="-120" windowWidth="29040" windowHeight="16440" tabRatio="771" activeTab="4" xr2:uid="{00000000-000D-0000-FFFF-FFFF00000000}"/>
  </bookViews>
  <sheets>
    <sheet name="DB_MOTOR" sheetId="56" r:id="rId1"/>
    <sheet name="DB-SanMu Plug Fan" sheetId="51" r:id="rId2"/>
    <sheet name="Master" sheetId="35" r:id="rId3"/>
    <sheet name="SCU75M1" sheetId="42" state="hidden" r:id="rId4"/>
    <sheet name="AHU IU1" sheetId="84" r:id="rId5"/>
    <sheet name="VolDamperCost2023 RA " sheetId="90" r:id="rId6"/>
    <sheet name="VolDamperCost2023 FA " sheetId="89" r:id="rId7"/>
    <sheet name="drainpan" sheetId="20" r:id="rId8"/>
    <sheet name="1. AHU-Skid" sheetId="85" r:id="rId9"/>
    <sheet name="2. AHU-Frame &amp; Panel" sheetId="87" r:id="rId10"/>
    <sheet name="3. AHU-Structure" sheetId="86" r:id="rId11"/>
    <sheet name="CoilCost 20251027" sheetId="91" r:id="rId12"/>
    <sheet name="Quotation" sheetId="27" r:id="rId13"/>
    <sheet name="Project Cost" sheetId="26" r:id="rId14"/>
  </sheets>
  <externalReferences>
    <externalReference r:id="rId15"/>
    <externalReference r:id="rId16"/>
    <externalReference r:id="rId17"/>
    <externalReference r:id="rId18"/>
  </externalReferences>
  <definedNames>
    <definedName name="_xlnm.Print_Area" localSheetId="12">Quotation!$B$2:$L$79</definedName>
    <definedName name="_xlnm.Print_Titles" localSheetId="12">Quotation!$2:$15</definedName>
    <definedName name="q" localSheetId="4">[1]Metal!#REF!</definedName>
    <definedName name="REKAPBARANG" localSheetId="11">#REF!</definedName>
    <definedName name="REKAPBARANG">#REF!</definedName>
    <definedName name="REKAPMATERIAL" localSheetId="11">#REF!</definedName>
    <definedName name="REKAPMATERIAL">#REF!</definedName>
    <definedName name="tes" localSheetId="4">'[2]Costing T1'!#REF!</definedName>
    <definedName name="yds" localSheetId="8">[3]YDS!$A$1:$H$65536</definedName>
    <definedName name="yds" localSheetId="9">[3]YDS!$A$1:$H$65536</definedName>
    <definedName name="yds" localSheetId="10">[3]YDS!$A$1:$H$65536</definedName>
    <definedName name="yds" localSheetId="11">[3]YDS!$A$1:$H$65536</definedName>
    <definedName name="yds">[4]YDS!$A$1:$H$65536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" i="56" l="1"/>
  <c r="G61" i="84"/>
  <c r="N312" i="91"/>
  <c r="J312" i="91"/>
  <c r="C312" i="91"/>
  <c r="N311" i="91"/>
  <c r="M311" i="91"/>
  <c r="P311" i="91" s="1"/>
  <c r="R311" i="91" s="1"/>
  <c r="J311" i="91"/>
  <c r="J310" i="91"/>
  <c r="C310" i="91"/>
  <c r="S308" i="91"/>
  <c r="N308" i="91"/>
  <c r="K308" i="91"/>
  <c r="D308" i="91"/>
  <c r="S307" i="91"/>
  <c r="N307" i="91"/>
  <c r="K307" i="91"/>
  <c r="D307" i="91"/>
  <c r="S306" i="91"/>
  <c r="N306" i="91"/>
  <c r="K306" i="91"/>
  <c r="D306" i="91"/>
  <c r="S305" i="91"/>
  <c r="N305" i="91"/>
  <c r="K305" i="91"/>
  <c r="D305" i="91"/>
  <c r="S304" i="91"/>
  <c r="N304" i="91"/>
  <c r="K304" i="91"/>
  <c r="D304" i="91"/>
  <c r="S303" i="91"/>
  <c r="N303" i="91"/>
  <c r="K303" i="91"/>
  <c r="D303" i="91"/>
  <c r="S302" i="91"/>
  <c r="N302" i="91"/>
  <c r="K302" i="91"/>
  <c r="D302" i="91"/>
  <c r="S301" i="91"/>
  <c r="N301" i="91"/>
  <c r="K301" i="91"/>
  <c r="D301" i="91"/>
  <c r="S300" i="91"/>
  <c r="N300" i="91"/>
  <c r="K300" i="91"/>
  <c r="D300" i="91"/>
  <c r="N299" i="91"/>
  <c r="K299" i="91"/>
  <c r="D299" i="91"/>
  <c r="S297" i="91"/>
  <c r="N297" i="91"/>
  <c r="K297" i="91"/>
  <c r="F297" i="91"/>
  <c r="D297" i="91"/>
  <c r="S296" i="91"/>
  <c r="N296" i="91"/>
  <c r="K296" i="91"/>
  <c r="F296" i="91"/>
  <c r="D296" i="91"/>
  <c r="S295" i="91"/>
  <c r="N295" i="91"/>
  <c r="K295" i="91"/>
  <c r="F295" i="91"/>
  <c r="D295" i="91"/>
  <c r="S294" i="91"/>
  <c r="K294" i="91"/>
  <c r="D294" i="91"/>
  <c r="S293" i="91"/>
  <c r="K293" i="91"/>
  <c r="D293" i="91"/>
  <c r="S292" i="91"/>
  <c r="K292" i="91"/>
  <c r="D292" i="91"/>
  <c r="S291" i="91"/>
  <c r="K291" i="91"/>
  <c r="D291" i="91"/>
  <c r="S290" i="91"/>
  <c r="N290" i="91"/>
  <c r="K290" i="91"/>
  <c r="E290" i="91"/>
  <c r="I290" i="91" s="1"/>
  <c r="J290" i="91" s="1"/>
  <c r="M290" i="91" s="1"/>
  <c r="S289" i="91"/>
  <c r="N289" i="91"/>
  <c r="K289" i="91"/>
  <c r="I289" i="91"/>
  <c r="J289" i="91" s="1"/>
  <c r="M289" i="91" s="1"/>
  <c r="E289" i="91"/>
  <c r="S288" i="91"/>
  <c r="N288" i="91"/>
  <c r="K288" i="91"/>
  <c r="S287" i="91"/>
  <c r="N287" i="91"/>
  <c r="K287" i="91"/>
  <c r="S286" i="91"/>
  <c r="N286" i="91"/>
  <c r="K286" i="91"/>
  <c r="S285" i="91"/>
  <c r="N285" i="91"/>
  <c r="K285" i="91"/>
  <c r="S284" i="91"/>
  <c r="N284" i="91"/>
  <c r="K284" i="91"/>
  <c r="I284" i="91"/>
  <c r="J284" i="91" s="1"/>
  <c r="E284" i="91"/>
  <c r="S283" i="91"/>
  <c r="N283" i="91"/>
  <c r="K283" i="91"/>
  <c r="I283" i="91"/>
  <c r="J283" i="91" s="1"/>
  <c r="E283" i="91"/>
  <c r="S282" i="91"/>
  <c r="N282" i="91"/>
  <c r="K282" i="91"/>
  <c r="I282" i="91"/>
  <c r="J282" i="91" s="1"/>
  <c r="E282" i="91"/>
  <c r="S281" i="91"/>
  <c r="N281" i="91"/>
  <c r="K281" i="91"/>
  <c r="I281" i="91"/>
  <c r="J281" i="91" s="1"/>
  <c r="E281" i="91"/>
  <c r="S280" i="91"/>
  <c r="N280" i="91"/>
  <c r="M280" i="91"/>
  <c r="K280" i="91"/>
  <c r="E280" i="91"/>
  <c r="I280" i="91" s="1"/>
  <c r="J280" i="91" s="1"/>
  <c r="S279" i="91"/>
  <c r="N279" i="91"/>
  <c r="K279" i="91"/>
  <c r="S278" i="91"/>
  <c r="N278" i="91"/>
  <c r="K278" i="91"/>
  <c r="S277" i="91"/>
  <c r="N277" i="91"/>
  <c r="K277" i="91"/>
  <c r="E277" i="91"/>
  <c r="I277" i="91" s="1"/>
  <c r="J277" i="91" s="1"/>
  <c r="S276" i="91"/>
  <c r="N276" i="91"/>
  <c r="K276" i="91"/>
  <c r="N275" i="91"/>
  <c r="K275" i="91"/>
  <c r="I275" i="91"/>
  <c r="J275" i="91" s="1"/>
  <c r="E275" i="91"/>
  <c r="B275" i="91"/>
  <c r="S275" i="91" s="1"/>
  <c r="N274" i="91"/>
  <c r="J274" i="91"/>
  <c r="I274" i="91"/>
  <c r="E274" i="91"/>
  <c r="B274" i="91"/>
  <c r="S274" i="91" s="1"/>
  <c r="N273" i="91"/>
  <c r="J273" i="91"/>
  <c r="I273" i="91"/>
  <c r="E273" i="91"/>
  <c r="B273" i="91"/>
  <c r="S273" i="91" s="1"/>
  <c r="N272" i="91"/>
  <c r="K272" i="91"/>
  <c r="B272" i="91"/>
  <c r="S272" i="91" s="1"/>
  <c r="N271" i="91"/>
  <c r="B271" i="91"/>
  <c r="S271" i="91" s="1"/>
  <c r="S270" i="91"/>
  <c r="N270" i="91"/>
  <c r="K270" i="91"/>
  <c r="S269" i="91"/>
  <c r="N269" i="91"/>
  <c r="K269" i="91"/>
  <c r="S268" i="91"/>
  <c r="N268" i="91"/>
  <c r="K268" i="91"/>
  <c r="N266" i="91"/>
  <c r="M266" i="91"/>
  <c r="T266" i="91" s="1"/>
  <c r="L266" i="91"/>
  <c r="J266" i="91"/>
  <c r="D266" i="91"/>
  <c r="S266" i="91" s="1"/>
  <c r="B266" i="91"/>
  <c r="Q266" i="91" s="1"/>
  <c r="S265" i="91"/>
  <c r="Q265" i="91"/>
  <c r="N265" i="91"/>
  <c r="J265" i="91"/>
  <c r="M265" i="91" s="1"/>
  <c r="D265" i="91"/>
  <c r="B265" i="91"/>
  <c r="Q264" i="91"/>
  <c r="N264" i="91"/>
  <c r="D264" i="91"/>
  <c r="S264" i="91" s="1"/>
  <c r="B264" i="91"/>
  <c r="Q263" i="91"/>
  <c r="N263" i="91"/>
  <c r="M263" i="91"/>
  <c r="J263" i="91"/>
  <c r="D263" i="91"/>
  <c r="S263" i="91" s="1"/>
  <c r="B263" i="91"/>
  <c r="N262" i="91"/>
  <c r="D262" i="91"/>
  <c r="S262" i="91" s="1"/>
  <c r="B262" i="91"/>
  <c r="Q262" i="91" s="1"/>
  <c r="Q261" i="91"/>
  <c r="N261" i="91"/>
  <c r="L261" i="91"/>
  <c r="M261" i="91" s="1"/>
  <c r="J261" i="91"/>
  <c r="D261" i="91"/>
  <c r="S261" i="91" s="1"/>
  <c r="B261" i="91"/>
  <c r="Q260" i="91"/>
  <c r="N260" i="91"/>
  <c r="M260" i="91"/>
  <c r="T260" i="91" s="1"/>
  <c r="J260" i="91"/>
  <c r="D260" i="91"/>
  <c r="S260" i="91" s="1"/>
  <c r="B260" i="91"/>
  <c r="N259" i="91"/>
  <c r="D259" i="91"/>
  <c r="S259" i="91" s="1"/>
  <c r="B259" i="91"/>
  <c r="Q259" i="91" s="1"/>
  <c r="S258" i="91"/>
  <c r="N258" i="91"/>
  <c r="J258" i="91"/>
  <c r="M258" i="91" s="1"/>
  <c r="D258" i="91"/>
  <c r="B258" i="91"/>
  <c r="Q258" i="91" s="1"/>
  <c r="S257" i="91"/>
  <c r="Q257" i="91"/>
  <c r="N257" i="91"/>
  <c r="J257" i="91"/>
  <c r="M257" i="91" s="1"/>
  <c r="D257" i="91"/>
  <c r="B257" i="91"/>
  <c r="N256" i="91"/>
  <c r="L256" i="91"/>
  <c r="M256" i="91" s="1"/>
  <c r="J256" i="91"/>
  <c r="D256" i="91"/>
  <c r="S256" i="91" s="1"/>
  <c r="B256" i="91"/>
  <c r="N255" i="91"/>
  <c r="M255" i="91"/>
  <c r="J255" i="91"/>
  <c r="D255" i="91"/>
  <c r="S255" i="91" s="1"/>
  <c r="B255" i="91"/>
  <c r="N254" i="91"/>
  <c r="B254" i="91"/>
  <c r="N253" i="91"/>
  <c r="J253" i="91"/>
  <c r="M253" i="91" s="1"/>
  <c r="B253" i="91"/>
  <c r="D253" i="91" s="1"/>
  <c r="S253" i="91" s="1"/>
  <c r="N252" i="91"/>
  <c r="D252" i="91"/>
  <c r="S252" i="91" s="1"/>
  <c r="B252" i="91"/>
  <c r="S250" i="91"/>
  <c r="K250" i="91"/>
  <c r="J250" i="91"/>
  <c r="I250" i="91"/>
  <c r="D250" i="91"/>
  <c r="S249" i="91"/>
  <c r="K249" i="91"/>
  <c r="J249" i="91"/>
  <c r="D249" i="91"/>
  <c r="B249" i="91"/>
  <c r="S248" i="91"/>
  <c r="K248" i="91"/>
  <c r="J248" i="91"/>
  <c r="D248" i="91"/>
  <c r="B248" i="91"/>
  <c r="N246" i="91"/>
  <c r="J246" i="91"/>
  <c r="N245" i="91"/>
  <c r="L245" i="91"/>
  <c r="J245" i="91"/>
  <c r="B245" i="91"/>
  <c r="D245" i="91" s="1"/>
  <c r="S244" i="91"/>
  <c r="K244" i="91"/>
  <c r="J244" i="91"/>
  <c r="M244" i="91" s="1"/>
  <c r="D244" i="91"/>
  <c r="B244" i="91"/>
  <c r="J243" i="91"/>
  <c r="B243" i="91"/>
  <c r="L242" i="91"/>
  <c r="L244" i="91" s="1"/>
  <c r="D242" i="91"/>
  <c r="B242" i="91"/>
  <c r="K242" i="91" s="1"/>
  <c r="I241" i="91"/>
  <c r="D241" i="91"/>
  <c r="B241" i="91"/>
  <c r="S241" i="91" s="1"/>
  <c r="K240" i="91"/>
  <c r="H240" i="91"/>
  <c r="H242" i="91" s="1"/>
  <c r="D240" i="91"/>
  <c r="B240" i="91"/>
  <c r="S240" i="91" s="1"/>
  <c r="L238" i="91"/>
  <c r="J238" i="91"/>
  <c r="L237" i="91"/>
  <c r="K237" i="91"/>
  <c r="D237" i="91"/>
  <c r="B237" i="91"/>
  <c r="S237" i="91" s="1"/>
  <c r="K236" i="91"/>
  <c r="G236" i="91"/>
  <c r="D236" i="91"/>
  <c r="B236" i="91"/>
  <c r="S236" i="91" s="1"/>
  <c r="H232" i="91"/>
  <c r="Q312" i="91" s="1"/>
  <c r="F232" i="91"/>
  <c r="L312" i="91" s="1"/>
  <c r="M312" i="91" s="1"/>
  <c r="H231" i="91"/>
  <c r="Q310" i="91" s="1"/>
  <c r="F228" i="91"/>
  <c r="F227" i="91"/>
  <c r="F226" i="91"/>
  <c r="L284" i="91" s="1"/>
  <c r="M284" i="91" s="1"/>
  <c r="F224" i="91"/>
  <c r="F223" i="91"/>
  <c r="L294" i="91" s="1"/>
  <c r="F220" i="91"/>
  <c r="F218" i="91"/>
  <c r="J215" i="91"/>
  <c r="O240" i="91" s="1"/>
  <c r="I215" i="91"/>
  <c r="F215" i="91"/>
  <c r="G240" i="91" s="1"/>
  <c r="J214" i="91"/>
  <c r="O237" i="91" s="1"/>
  <c r="I214" i="91"/>
  <c r="F214" i="91"/>
  <c r="G237" i="91" s="1"/>
  <c r="G294" i="91" s="1"/>
  <c r="I213" i="91"/>
  <c r="F213" i="91"/>
  <c r="K211" i="91"/>
  <c r="J211" i="91"/>
  <c r="G211" i="91"/>
  <c r="J223" i="91" s="1"/>
  <c r="I211" i="91" s="1"/>
  <c r="H237" i="91" s="1"/>
  <c r="H294" i="91" s="1"/>
  <c r="F211" i="91"/>
  <c r="E211" i="91"/>
  <c r="D211" i="91"/>
  <c r="D210" i="91"/>
  <c r="H211" i="91" s="1"/>
  <c r="K206" i="91"/>
  <c r="L206" i="91" s="1"/>
  <c r="J206" i="91"/>
  <c r="L205" i="91"/>
  <c r="K205" i="91"/>
  <c r="J205" i="91"/>
  <c r="K204" i="91"/>
  <c r="J204" i="91"/>
  <c r="L204" i="91" s="1"/>
  <c r="K203" i="91"/>
  <c r="J203" i="91"/>
  <c r="L203" i="91" s="1"/>
  <c r="K202" i="91"/>
  <c r="L202" i="91" s="1"/>
  <c r="J202" i="91"/>
  <c r="L201" i="91"/>
  <c r="K201" i="91"/>
  <c r="J201" i="91"/>
  <c r="K200" i="91"/>
  <c r="J200" i="91"/>
  <c r="L200" i="91" s="1"/>
  <c r="K199" i="91"/>
  <c r="J199" i="91"/>
  <c r="L199" i="91" s="1"/>
  <c r="K198" i="91"/>
  <c r="L198" i="91" s="1"/>
  <c r="H227" i="91" s="1"/>
  <c r="Q249" i="91" s="1"/>
  <c r="J198" i="91"/>
  <c r="L197" i="91"/>
  <c r="K197" i="91"/>
  <c r="J197" i="91"/>
  <c r="K196" i="91"/>
  <c r="J196" i="91"/>
  <c r="L196" i="91" s="1"/>
  <c r="K195" i="91"/>
  <c r="J195" i="91"/>
  <c r="L195" i="91" s="1"/>
  <c r="K194" i="91"/>
  <c r="L194" i="91" s="1"/>
  <c r="J194" i="91"/>
  <c r="L193" i="91"/>
  <c r="K193" i="91"/>
  <c r="J193" i="91"/>
  <c r="K192" i="91"/>
  <c r="J192" i="91"/>
  <c r="L192" i="91" s="1"/>
  <c r="K191" i="91"/>
  <c r="J191" i="91"/>
  <c r="L191" i="91" s="1"/>
  <c r="K190" i="91"/>
  <c r="L190" i="91" s="1"/>
  <c r="J190" i="91"/>
  <c r="L189" i="91"/>
  <c r="K189" i="91"/>
  <c r="J189" i="91"/>
  <c r="K188" i="91"/>
  <c r="J188" i="91"/>
  <c r="L188" i="91" s="1"/>
  <c r="K187" i="91"/>
  <c r="J187" i="91"/>
  <c r="L187" i="91" s="1"/>
  <c r="K186" i="91"/>
  <c r="L186" i="91" s="1"/>
  <c r="J186" i="91"/>
  <c r="L185" i="91"/>
  <c r="K185" i="91"/>
  <c r="J185" i="91"/>
  <c r="K184" i="91"/>
  <c r="J184" i="91"/>
  <c r="L184" i="91" s="1"/>
  <c r="K183" i="91"/>
  <c r="J183" i="91"/>
  <c r="L183" i="91" s="1"/>
  <c r="K182" i="91"/>
  <c r="L182" i="91" s="1"/>
  <c r="J182" i="91"/>
  <c r="L181" i="91"/>
  <c r="K181" i="91"/>
  <c r="J181" i="91"/>
  <c r="K180" i="91"/>
  <c r="J180" i="91"/>
  <c r="L180" i="91" s="1"/>
  <c r="K179" i="91"/>
  <c r="J179" i="91"/>
  <c r="L179" i="91" s="1"/>
  <c r="K178" i="91"/>
  <c r="L178" i="91" s="1"/>
  <c r="J178" i="91"/>
  <c r="L177" i="91"/>
  <c r="K177" i="91"/>
  <c r="J177" i="91"/>
  <c r="K175" i="91"/>
  <c r="J175" i="91"/>
  <c r="L175" i="91" s="1"/>
  <c r="K174" i="91"/>
  <c r="J174" i="91"/>
  <c r="L174" i="91" s="1"/>
  <c r="K173" i="91"/>
  <c r="L173" i="91" s="1"/>
  <c r="J173" i="91"/>
  <c r="L172" i="91"/>
  <c r="K172" i="91"/>
  <c r="J172" i="91"/>
  <c r="K171" i="91"/>
  <c r="G171" i="91"/>
  <c r="J171" i="91" s="1"/>
  <c r="L171" i="91" s="1"/>
  <c r="K170" i="91"/>
  <c r="G170" i="91"/>
  <c r="J170" i="91" s="1"/>
  <c r="L170" i="91" s="1"/>
  <c r="K169" i="91"/>
  <c r="G169" i="91"/>
  <c r="J169" i="91" s="1"/>
  <c r="L169" i="91" s="1"/>
  <c r="K168" i="91"/>
  <c r="G168" i="91"/>
  <c r="J168" i="91" s="1"/>
  <c r="L168" i="91" s="1"/>
  <c r="K167" i="91"/>
  <c r="G167" i="91"/>
  <c r="J167" i="91" s="1"/>
  <c r="L167" i="91" s="1"/>
  <c r="K166" i="91"/>
  <c r="G166" i="91"/>
  <c r="J166" i="91" s="1"/>
  <c r="L166" i="91" s="1"/>
  <c r="K165" i="91"/>
  <c r="G165" i="91"/>
  <c r="J165" i="91" s="1"/>
  <c r="L165" i="91" s="1"/>
  <c r="K164" i="91"/>
  <c r="G164" i="91"/>
  <c r="J164" i="91" s="1"/>
  <c r="L164" i="91" s="1"/>
  <c r="K163" i="91"/>
  <c r="G163" i="91"/>
  <c r="J163" i="91" s="1"/>
  <c r="L163" i="91" s="1"/>
  <c r="K162" i="91"/>
  <c r="G162" i="91"/>
  <c r="J162" i="91" s="1"/>
  <c r="L162" i="91" s="1"/>
  <c r="K161" i="91"/>
  <c r="J161" i="91"/>
  <c r="L161" i="91" s="1"/>
  <c r="K160" i="91"/>
  <c r="J160" i="91"/>
  <c r="L160" i="91" s="1"/>
  <c r="K159" i="91"/>
  <c r="L159" i="91" s="1"/>
  <c r="J159" i="91"/>
  <c r="L158" i="91"/>
  <c r="K158" i="91"/>
  <c r="J158" i="91"/>
  <c r="K157" i="91"/>
  <c r="G157" i="91"/>
  <c r="J157" i="91" s="1"/>
  <c r="L157" i="91" s="1"/>
  <c r="K156" i="91"/>
  <c r="G156" i="91"/>
  <c r="J156" i="91" s="1"/>
  <c r="L156" i="91" s="1"/>
  <c r="K155" i="91"/>
  <c r="G155" i="91"/>
  <c r="J155" i="91" s="1"/>
  <c r="L155" i="91" s="1"/>
  <c r="K154" i="91"/>
  <c r="G154" i="91"/>
  <c r="J154" i="91" s="1"/>
  <c r="L154" i="91" s="1"/>
  <c r="K153" i="91"/>
  <c r="G153" i="91"/>
  <c r="J153" i="91" s="1"/>
  <c r="L153" i="91" s="1"/>
  <c r="K152" i="91"/>
  <c r="G152" i="91"/>
  <c r="J152" i="91" s="1"/>
  <c r="L152" i="91" s="1"/>
  <c r="K151" i="91"/>
  <c r="G151" i="91"/>
  <c r="J151" i="91" s="1"/>
  <c r="L151" i="91" s="1"/>
  <c r="K150" i="91"/>
  <c r="G150" i="91"/>
  <c r="J150" i="91" s="1"/>
  <c r="L150" i="91" s="1"/>
  <c r="K149" i="91"/>
  <c r="G149" i="91"/>
  <c r="J149" i="91" s="1"/>
  <c r="L149" i="91" s="1"/>
  <c r="K148" i="91"/>
  <c r="J148" i="91"/>
  <c r="L148" i="91" s="1"/>
  <c r="H226" i="91" s="1"/>
  <c r="Q248" i="91" s="1"/>
  <c r="K146" i="91"/>
  <c r="J146" i="91"/>
  <c r="L146" i="91" s="1"/>
  <c r="K145" i="91"/>
  <c r="L145" i="91" s="1"/>
  <c r="J145" i="91"/>
  <c r="L144" i="91"/>
  <c r="K144" i="91"/>
  <c r="J144" i="91"/>
  <c r="K143" i="91"/>
  <c r="J143" i="91"/>
  <c r="L143" i="91" s="1"/>
  <c r="K142" i="91"/>
  <c r="J142" i="91"/>
  <c r="L142" i="91" s="1"/>
  <c r="K141" i="91"/>
  <c r="L141" i="91" s="1"/>
  <c r="J141" i="91"/>
  <c r="L140" i="91"/>
  <c r="K140" i="91"/>
  <c r="J140" i="91"/>
  <c r="K139" i="91"/>
  <c r="J139" i="91"/>
  <c r="L139" i="91" s="1"/>
  <c r="K138" i="91"/>
  <c r="J138" i="91"/>
  <c r="L138" i="91" s="1"/>
  <c r="K137" i="91"/>
  <c r="L137" i="91" s="1"/>
  <c r="J137" i="91"/>
  <c r="L136" i="91"/>
  <c r="K136" i="91"/>
  <c r="J136" i="91"/>
  <c r="K135" i="91"/>
  <c r="J135" i="91"/>
  <c r="L135" i="91" s="1"/>
  <c r="K134" i="91"/>
  <c r="J134" i="91"/>
  <c r="L134" i="91" s="1"/>
  <c r="K133" i="91"/>
  <c r="L133" i="91" s="1"/>
  <c r="J133" i="91"/>
  <c r="L132" i="91"/>
  <c r="K132" i="91"/>
  <c r="J132" i="91"/>
  <c r="K131" i="91"/>
  <c r="J131" i="91"/>
  <c r="L131" i="91" s="1"/>
  <c r="K130" i="91"/>
  <c r="J130" i="91"/>
  <c r="L130" i="91" s="1"/>
  <c r="K129" i="91"/>
  <c r="L129" i="91" s="1"/>
  <c r="J129" i="91"/>
  <c r="L128" i="91"/>
  <c r="K128" i="91"/>
  <c r="J128" i="91"/>
  <c r="K127" i="91"/>
  <c r="J127" i="91"/>
  <c r="L127" i="91" s="1"/>
  <c r="K126" i="91"/>
  <c r="J126" i="91"/>
  <c r="L126" i="91" s="1"/>
  <c r="K125" i="91"/>
  <c r="L125" i="91" s="1"/>
  <c r="J125" i="91"/>
  <c r="L124" i="91"/>
  <c r="K124" i="91"/>
  <c r="J124" i="91"/>
  <c r="K123" i="91"/>
  <c r="J123" i="91"/>
  <c r="L123" i="91" s="1"/>
  <c r="K122" i="91"/>
  <c r="J122" i="91"/>
  <c r="L122" i="91" s="1"/>
  <c r="G122" i="91"/>
  <c r="K121" i="91"/>
  <c r="J121" i="91"/>
  <c r="L121" i="91" s="1"/>
  <c r="G121" i="91"/>
  <c r="K120" i="91"/>
  <c r="J120" i="91"/>
  <c r="L120" i="91" s="1"/>
  <c r="K119" i="91"/>
  <c r="L119" i="91" s="1"/>
  <c r="J119" i="91"/>
  <c r="L118" i="91"/>
  <c r="K118" i="91"/>
  <c r="J118" i="91"/>
  <c r="K117" i="91"/>
  <c r="J117" i="91"/>
  <c r="L117" i="91" s="1"/>
  <c r="K116" i="91"/>
  <c r="J116" i="91"/>
  <c r="L116" i="91" s="1"/>
  <c r="K115" i="91"/>
  <c r="L115" i="91" s="1"/>
  <c r="J115" i="91"/>
  <c r="L114" i="91"/>
  <c r="K114" i="91"/>
  <c r="J114" i="91"/>
  <c r="K113" i="91"/>
  <c r="J113" i="91"/>
  <c r="L113" i="91" s="1"/>
  <c r="K112" i="91"/>
  <c r="J112" i="91"/>
  <c r="L112" i="91" s="1"/>
  <c r="G112" i="91"/>
  <c r="K111" i="91"/>
  <c r="J111" i="91"/>
  <c r="L111" i="91" s="1"/>
  <c r="K110" i="91"/>
  <c r="L110" i="91" s="1"/>
  <c r="J110" i="91"/>
  <c r="L109" i="91"/>
  <c r="K109" i="91"/>
  <c r="J109" i="91"/>
  <c r="K108" i="91"/>
  <c r="J108" i="91"/>
  <c r="L108" i="91" s="1"/>
  <c r="K107" i="91"/>
  <c r="J107" i="91"/>
  <c r="L107" i="91" s="1"/>
  <c r="K106" i="91"/>
  <c r="L106" i="91" s="1"/>
  <c r="J106" i="91"/>
  <c r="L105" i="91"/>
  <c r="K105" i="91"/>
  <c r="J105" i="91"/>
  <c r="K104" i="91"/>
  <c r="J104" i="91"/>
  <c r="L104" i="91" s="1"/>
  <c r="K103" i="91"/>
  <c r="J103" i="91"/>
  <c r="L103" i="91" s="1"/>
  <c r="K102" i="91"/>
  <c r="G102" i="91"/>
  <c r="J102" i="91" s="1"/>
  <c r="L102" i="91" s="1"/>
  <c r="K101" i="91"/>
  <c r="L101" i="91" s="1"/>
  <c r="J101" i="91"/>
  <c r="L100" i="91"/>
  <c r="K100" i="91"/>
  <c r="J100" i="91"/>
  <c r="K99" i="91"/>
  <c r="J99" i="91"/>
  <c r="L99" i="91" s="1"/>
  <c r="K98" i="91"/>
  <c r="J98" i="91"/>
  <c r="L98" i="91" s="1"/>
  <c r="K97" i="91"/>
  <c r="L97" i="91" s="1"/>
  <c r="J97" i="91"/>
  <c r="L96" i="91"/>
  <c r="K96" i="91"/>
  <c r="J96" i="91"/>
  <c r="K95" i="91"/>
  <c r="J95" i="91"/>
  <c r="L95" i="91" s="1"/>
  <c r="K94" i="91"/>
  <c r="J94" i="91"/>
  <c r="L94" i="91" s="1"/>
  <c r="K93" i="91"/>
  <c r="L93" i="91" s="1"/>
  <c r="J93" i="91"/>
  <c r="L92" i="91"/>
  <c r="K92" i="91"/>
  <c r="J92" i="91"/>
  <c r="K91" i="91"/>
  <c r="J91" i="91"/>
  <c r="L91" i="91" s="1"/>
  <c r="K90" i="91"/>
  <c r="J90" i="91"/>
  <c r="L90" i="91" s="1"/>
  <c r="K89" i="91"/>
  <c r="L89" i="91" s="1"/>
  <c r="J89" i="91"/>
  <c r="L87" i="91"/>
  <c r="K87" i="91"/>
  <c r="J87" i="91"/>
  <c r="K86" i="91"/>
  <c r="J86" i="91"/>
  <c r="L86" i="91" s="1"/>
  <c r="K85" i="91"/>
  <c r="J85" i="91"/>
  <c r="L85" i="91" s="1"/>
  <c r="H225" i="91" s="1"/>
  <c r="Q246" i="91" s="1"/>
  <c r="K84" i="91"/>
  <c r="L84" i="91" s="1"/>
  <c r="J84" i="91"/>
  <c r="L83" i="91"/>
  <c r="Q244" i="91" s="1"/>
  <c r="K83" i="91"/>
  <c r="J83" i="91"/>
  <c r="K82" i="91"/>
  <c r="J82" i="91"/>
  <c r="L82" i="91" s="1"/>
  <c r="K80" i="91"/>
  <c r="J80" i="91"/>
  <c r="L80" i="91" s="1"/>
  <c r="N79" i="91"/>
  <c r="K79" i="91"/>
  <c r="J79" i="91"/>
  <c r="L79" i="91" s="1"/>
  <c r="Q307" i="91" s="1"/>
  <c r="K78" i="91"/>
  <c r="G78" i="91"/>
  <c r="J78" i="91" s="1"/>
  <c r="L78" i="91" s="1"/>
  <c r="Q306" i="91" s="1"/>
  <c r="N77" i="91"/>
  <c r="K77" i="91"/>
  <c r="J77" i="91"/>
  <c r="L77" i="91" s="1"/>
  <c r="Q305" i="91" s="1"/>
  <c r="G77" i="91"/>
  <c r="K76" i="91"/>
  <c r="J76" i="91"/>
  <c r="L76" i="91" s="1"/>
  <c r="N75" i="91"/>
  <c r="K75" i="91"/>
  <c r="J75" i="91"/>
  <c r="L75" i="91" s="1"/>
  <c r="Q303" i="91" s="1"/>
  <c r="G75" i="91"/>
  <c r="K74" i="91"/>
  <c r="J74" i="91"/>
  <c r="L74" i="91" s="1"/>
  <c r="Q302" i="91" s="1"/>
  <c r="G74" i="91"/>
  <c r="K73" i="91"/>
  <c r="N73" i="91" s="1"/>
  <c r="G73" i="91"/>
  <c r="J73" i="91" s="1"/>
  <c r="L73" i="91" s="1"/>
  <c r="Q301" i="91" s="1"/>
  <c r="K72" i="91"/>
  <c r="G72" i="91"/>
  <c r="J72" i="91" s="1"/>
  <c r="L72" i="91" s="1"/>
  <c r="Q300" i="91" s="1"/>
  <c r="M71" i="91"/>
  <c r="S299" i="91" s="1"/>
  <c r="K71" i="91"/>
  <c r="N71" i="91" s="1"/>
  <c r="G71" i="91"/>
  <c r="J71" i="91" s="1"/>
  <c r="L71" i="91" s="1"/>
  <c r="Q299" i="91" s="1"/>
  <c r="K69" i="91"/>
  <c r="L69" i="91" s="1"/>
  <c r="J69" i="91"/>
  <c r="L68" i="91"/>
  <c r="Q293" i="91" s="1"/>
  <c r="K68" i="91"/>
  <c r="J68" i="91"/>
  <c r="K67" i="91"/>
  <c r="J67" i="91"/>
  <c r="L67" i="91" s="1"/>
  <c r="Q292" i="91" s="1"/>
  <c r="K66" i="91"/>
  <c r="J66" i="91"/>
  <c r="L66" i="91" s="1"/>
  <c r="Q291" i="91" s="1"/>
  <c r="K64" i="91"/>
  <c r="L64" i="91" s="1"/>
  <c r="J64" i="91"/>
  <c r="L63" i="91"/>
  <c r="K63" i="91"/>
  <c r="J63" i="91"/>
  <c r="K62" i="91"/>
  <c r="J62" i="91"/>
  <c r="L62" i="91" s="1"/>
  <c r="K60" i="91"/>
  <c r="J60" i="91"/>
  <c r="L60" i="91" s="1"/>
  <c r="K59" i="91"/>
  <c r="L59" i="91" s="1"/>
  <c r="J59" i="91"/>
  <c r="L58" i="91"/>
  <c r="K58" i="91"/>
  <c r="J58" i="91"/>
  <c r="K56" i="91"/>
  <c r="K55" i="91"/>
  <c r="K54" i="91"/>
  <c r="K53" i="91"/>
  <c r="G53" i="91"/>
  <c r="J53" i="91" s="1"/>
  <c r="L53" i="91" s="1"/>
  <c r="K51" i="91"/>
  <c r="K50" i="91"/>
  <c r="K49" i="91"/>
  <c r="G49" i="91"/>
  <c r="J49" i="91" s="1"/>
  <c r="L49" i="91" s="1"/>
  <c r="K48" i="91"/>
  <c r="K47" i="91"/>
  <c r="K46" i="91"/>
  <c r="G46" i="91"/>
  <c r="J46" i="91" s="1"/>
  <c r="L46" i="91" s="1"/>
  <c r="K45" i="91"/>
  <c r="K44" i="91"/>
  <c r="K43" i="91"/>
  <c r="G43" i="91"/>
  <c r="J43" i="91" s="1"/>
  <c r="L43" i="91" s="1"/>
  <c r="K42" i="91"/>
  <c r="K41" i="91"/>
  <c r="K40" i="91"/>
  <c r="K39" i="91"/>
  <c r="K38" i="91"/>
  <c r="K37" i="91"/>
  <c r="G37" i="91"/>
  <c r="J37" i="91" s="1"/>
  <c r="L37" i="91" s="1"/>
  <c r="K35" i="91"/>
  <c r="J35" i="91"/>
  <c r="L35" i="91" s="1"/>
  <c r="K34" i="91"/>
  <c r="J34" i="91"/>
  <c r="L34" i="91" s="1"/>
  <c r="K33" i="91"/>
  <c r="L33" i="91" s="1"/>
  <c r="J33" i="91"/>
  <c r="L32" i="91"/>
  <c r="K32" i="91"/>
  <c r="J32" i="91"/>
  <c r="G32" i="91"/>
  <c r="L31" i="91"/>
  <c r="K31" i="91"/>
  <c r="J31" i="91"/>
  <c r="G31" i="91"/>
  <c r="L30" i="91"/>
  <c r="K30" i="91"/>
  <c r="J30" i="91"/>
  <c r="G30" i="91"/>
  <c r="L29" i="91"/>
  <c r="K29" i="91"/>
  <c r="J29" i="91"/>
  <c r="G29" i="91"/>
  <c r="L28" i="91"/>
  <c r="K28" i="91"/>
  <c r="J28" i="91"/>
  <c r="G28" i="91"/>
  <c r="L27" i="91"/>
  <c r="K27" i="91"/>
  <c r="J27" i="91"/>
  <c r="G27" i="91"/>
  <c r="L26" i="91"/>
  <c r="K26" i="91"/>
  <c r="J26" i="91"/>
  <c r="G26" i="91"/>
  <c r="L25" i="91"/>
  <c r="K25" i="91"/>
  <c r="J25" i="91"/>
  <c r="G25" i="91"/>
  <c r="L24" i="91"/>
  <c r="K24" i="91"/>
  <c r="J24" i="91"/>
  <c r="G24" i="91"/>
  <c r="L23" i="91"/>
  <c r="K23" i="91"/>
  <c r="J23" i="91"/>
  <c r="G23" i="91"/>
  <c r="L22" i="91"/>
  <c r="K22" i="91"/>
  <c r="J22" i="91"/>
  <c r="G22" i="91"/>
  <c r="L21" i="91"/>
  <c r="H215" i="91" s="1"/>
  <c r="K21" i="91"/>
  <c r="J21" i="91"/>
  <c r="G21" i="91"/>
  <c r="L20" i="91"/>
  <c r="K20" i="91"/>
  <c r="J20" i="91"/>
  <c r="G20" i="91"/>
  <c r="L19" i="91"/>
  <c r="K19" i="91"/>
  <c r="J19" i="91"/>
  <c r="G19" i="91"/>
  <c r="O17" i="91"/>
  <c r="K17" i="91"/>
  <c r="O16" i="91"/>
  <c r="K16" i="91"/>
  <c r="O15" i="91"/>
  <c r="K15" i="91"/>
  <c r="O14" i="91"/>
  <c r="J14" i="91"/>
  <c r="K14" i="91" s="1"/>
  <c r="O13" i="91"/>
  <c r="K13" i="91"/>
  <c r="J213" i="91" s="1"/>
  <c r="O236" i="91" s="1"/>
  <c r="O12" i="91"/>
  <c r="K12" i="91"/>
  <c r="O11" i="91"/>
  <c r="K11" i="91"/>
  <c r="B44" i="89"/>
  <c r="C43" i="89"/>
  <c r="B43" i="89"/>
  <c r="B44" i="90"/>
  <c r="C43" i="90"/>
  <c r="B43" i="90"/>
  <c r="G62" i="84"/>
  <c r="AC8" i="20"/>
  <c r="E38" i="86"/>
  <c r="D44" i="86"/>
  <c r="E48" i="86"/>
  <c r="E47" i="86"/>
  <c r="E45" i="86"/>
  <c r="E46" i="86" s="1"/>
  <c r="E52" i="86"/>
  <c r="E53" i="86"/>
  <c r="E54" i="86" s="1"/>
  <c r="E55" i="86"/>
  <c r="E56" i="86"/>
  <c r="E44" i="86"/>
  <c r="D15" i="86"/>
  <c r="C15" i="86"/>
  <c r="Q296" i="91" l="1"/>
  <c r="Q294" i="91"/>
  <c r="Q297" i="91"/>
  <c r="Q295" i="91"/>
  <c r="H220" i="91"/>
  <c r="H218" i="91"/>
  <c r="Q252" i="91" s="1"/>
  <c r="I264" i="91"/>
  <c r="J264" i="91" s="1"/>
  <c r="M264" i="91" s="1"/>
  <c r="I262" i="91"/>
  <c r="I259" i="91"/>
  <c r="I254" i="91"/>
  <c r="J254" i="91" s="1"/>
  <c r="M254" i="91" s="1"/>
  <c r="I252" i="91"/>
  <c r="I240" i="91"/>
  <c r="I242" i="91" s="1"/>
  <c r="J228" i="91"/>
  <c r="I236" i="91"/>
  <c r="G242" i="91"/>
  <c r="G241" i="91"/>
  <c r="J240" i="91"/>
  <c r="M240" i="91" s="1"/>
  <c r="Q288" i="91"/>
  <c r="Q287" i="91"/>
  <c r="Q286" i="91"/>
  <c r="Q285" i="91"/>
  <c r="Q281" i="91"/>
  <c r="Q280" i="91"/>
  <c r="Q289" i="91"/>
  <c r="Q290" i="91"/>
  <c r="Q278" i="91"/>
  <c r="Q276" i="91"/>
  <c r="Q269" i="91"/>
  <c r="Q279" i="91"/>
  <c r="Q277" i="91"/>
  <c r="Q270" i="91"/>
  <c r="Q268" i="91"/>
  <c r="Q250" i="91"/>
  <c r="H228" i="91"/>
  <c r="Q255" i="91"/>
  <c r="H219" i="91"/>
  <c r="H221" i="91"/>
  <c r="P244" i="91"/>
  <c r="R244" i="91" s="1"/>
  <c r="T244" i="91"/>
  <c r="O241" i="91"/>
  <c r="O242" i="91"/>
  <c r="Q241" i="91"/>
  <c r="Q242" i="91"/>
  <c r="Q240" i="91"/>
  <c r="Q275" i="91"/>
  <c r="Q274" i="91"/>
  <c r="Q304" i="91"/>
  <c r="Q308" i="91"/>
  <c r="G38" i="91"/>
  <c r="J38" i="91" s="1"/>
  <c r="L38" i="91" s="1"/>
  <c r="H213" i="91" s="1"/>
  <c r="Q236" i="91" s="1"/>
  <c r="G40" i="91"/>
  <c r="J40" i="91" s="1"/>
  <c r="L40" i="91" s="1"/>
  <c r="G55" i="91"/>
  <c r="J55" i="91" s="1"/>
  <c r="L55" i="91" s="1"/>
  <c r="E278" i="91"/>
  <c r="I278" i="91" s="1"/>
  <c r="J278" i="91" s="1"/>
  <c r="E276" i="91"/>
  <c r="I276" i="91" s="1"/>
  <c r="J276" i="91" s="1"/>
  <c r="E279" i="91"/>
  <c r="I279" i="91" s="1"/>
  <c r="J279" i="91" s="1"/>
  <c r="D224" i="91"/>
  <c r="F237" i="91"/>
  <c r="H241" i="91"/>
  <c r="Q243" i="91"/>
  <c r="K243" i="91"/>
  <c r="M243" i="91" s="1"/>
  <c r="K245" i="91"/>
  <c r="Q245" i="91"/>
  <c r="T255" i="91"/>
  <c r="T265" i="91"/>
  <c r="P265" i="91"/>
  <c r="R265" i="91" s="1"/>
  <c r="G39" i="91"/>
  <c r="J39" i="91" s="1"/>
  <c r="L39" i="91" s="1"/>
  <c r="G41" i="91"/>
  <c r="J41" i="91" s="1"/>
  <c r="L41" i="91" s="1"/>
  <c r="G42" i="91"/>
  <c r="J42" i="91" s="1"/>
  <c r="L42" i="91" s="1"/>
  <c r="G44" i="91"/>
  <c r="J44" i="91" s="1"/>
  <c r="L44" i="91" s="1"/>
  <c r="G45" i="91"/>
  <c r="J45" i="91" s="1"/>
  <c r="L45" i="91" s="1"/>
  <c r="G47" i="91"/>
  <c r="J47" i="91" s="1"/>
  <c r="L47" i="91" s="1"/>
  <c r="G48" i="91"/>
  <c r="J48" i="91" s="1"/>
  <c r="L48" i="91" s="1"/>
  <c r="G50" i="91"/>
  <c r="J50" i="91" s="1"/>
  <c r="L50" i="91" s="1"/>
  <c r="G51" i="91"/>
  <c r="J51" i="91" s="1"/>
  <c r="L51" i="91" s="1"/>
  <c r="G54" i="91"/>
  <c r="J54" i="91" s="1"/>
  <c r="L54" i="91" s="1"/>
  <c r="G56" i="91"/>
  <c r="J56" i="91" s="1"/>
  <c r="L56" i="91" s="1"/>
  <c r="D310" i="91"/>
  <c r="L310" i="91" s="1"/>
  <c r="L288" i="91"/>
  <c r="L287" i="91"/>
  <c r="L286" i="91"/>
  <c r="L282" i="91"/>
  <c r="L279" i="91"/>
  <c r="L277" i="91"/>
  <c r="L272" i="91"/>
  <c r="L270" i="91"/>
  <c r="L250" i="91"/>
  <c r="L278" i="91"/>
  <c r="L271" i="91"/>
  <c r="L269" i="91"/>
  <c r="T284" i="91"/>
  <c r="P284" i="91"/>
  <c r="P312" i="91"/>
  <c r="R312" i="91" s="1"/>
  <c r="T312" i="91"/>
  <c r="H236" i="91"/>
  <c r="J236" i="91" s="1"/>
  <c r="M236" i="91" s="1"/>
  <c r="L236" i="91"/>
  <c r="D243" i="91"/>
  <c r="S245" i="91"/>
  <c r="L248" i="91"/>
  <c r="M248" i="91" s="1"/>
  <c r="T253" i="91"/>
  <c r="P253" i="91"/>
  <c r="T256" i="91"/>
  <c r="P256" i="91"/>
  <c r="T257" i="91"/>
  <c r="P257" i="91"/>
  <c r="R257" i="91" s="1"/>
  <c r="L285" i="91"/>
  <c r="L268" i="91"/>
  <c r="L276" i="91"/>
  <c r="M250" i="91"/>
  <c r="Q256" i="91"/>
  <c r="T261" i="91"/>
  <c r="P261" i="91"/>
  <c r="R261" i="91" s="1"/>
  <c r="M281" i="91"/>
  <c r="P290" i="91"/>
  <c r="R290" i="91" s="1"/>
  <c r="T290" i="91"/>
  <c r="Q284" i="91"/>
  <c r="Q283" i="91"/>
  <c r="Q282" i="91"/>
  <c r="Q272" i="91"/>
  <c r="Q273" i="91"/>
  <c r="L283" i="91"/>
  <c r="M283" i="91" s="1"/>
  <c r="L281" i="91"/>
  <c r="L249" i="91"/>
  <c r="M249" i="91" s="1"/>
  <c r="E236" i="91"/>
  <c r="E237" i="91"/>
  <c r="K241" i="91"/>
  <c r="S242" i="91"/>
  <c r="L243" i="91"/>
  <c r="S243" i="91"/>
  <c r="M245" i="91"/>
  <c r="B246" i="91"/>
  <c r="L246" i="91" s="1"/>
  <c r="F225" i="91" s="1"/>
  <c r="Q254" i="91"/>
  <c r="T258" i="91"/>
  <c r="P258" i="91"/>
  <c r="R258" i="91" s="1"/>
  <c r="T263" i="91"/>
  <c r="M282" i="91"/>
  <c r="Q253" i="91"/>
  <c r="P255" i="91"/>
  <c r="R255" i="91" s="1"/>
  <c r="P260" i="91"/>
  <c r="R260" i="91" s="1"/>
  <c r="P263" i="91"/>
  <c r="R263" i="91" s="1"/>
  <c r="P266" i="91"/>
  <c r="R266" i="91" s="1"/>
  <c r="Q271" i="91"/>
  <c r="M310" i="91"/>
  <c r="D254" i="91"/>
  <c r="S254" i="91" s="1"/>
  <c r="K273" i="91"/>
  <c r="M273" i="91" s="1"/>
  <c r="M277" i="91"/>
  <c r="T280" i="91"/>
  <c r="P280" i="91"/>
  <c r="R280" i="91" s="1"/>
  <c r="T311" i="91"/>
  <c r="T289" i="91"/>
  <c r="P289" i="91"/>
  <c r="R289" i="91" s="1"/>
  <c r="K271" i="91"/>
  <c r="K274" i="91"/>
  <c r="M274" i="91" s="1"/>
  <c r="M275" i="91"/>
  <c r="E24" i="86"/>
  <c r="E25" i="86"/>
  <c r="D14" i="86"/>
  <c r="C14" i="86"/>
  <c r="E21" i="86" s="1"/>
  <c r="E9" i="86"/>
  <c r="D9" i="86"/>
  <c r="E8" i="86"/>
  <c r="D8" i="86"/>
  <c r="D15" i="87"/>
  <c r="C15" i="87"/>
  <c r="D14" i="87"/>
  <c r="C14" i="87"/>
  <c r="E9" i="87"/>
  <c r="D9" i="87"/>
  <c r="E8" i="87"/>
  <c r="D8" i="87"/>
  <c r="P91" i="90"/>
  <c r="L91" i="90"/>
  <c r="K91" i="90"/>
  <c r="P90" i="90"/>
  <c r="K90" i="90"/>
  <c r="L90" i="90" s="1"/>
  <c r="O90" i="90" s="1"/>
  <c r="P89" i="90"/>
  <c r="K89" i="90"/>
  <c r="L89" i="90" s="1"/>
  <c r="P88" i="90"/>
  <c r="K88" i="90"/>
  <c r="L88" i="90" s="1"/>
  <c r="O88" i="90" s="1"/>
  <c r="P87" i="90"/>
  <c r="K87" i="90"/>
  <c r="L87" i="90" s="1"/>
  <c r="O87" i="90" s="1"/>
  <c r="J86" i="90"/>
  <c r="P86" i="90" s="1"/>
  <c r="J85" i="90"/>
  <c r="K84" i="90"/>
  <c r="J84" i="90"/>
  <c r="P84" i="90" s="1"/>
  <c r="K83" i="90"/>
  <c r="J83" i="90"/>
  <c r="P83" i="90" s="1"/>
  <c r="K82" i="90"/>
  <c r="J82" i="90"/>
  <c r="P82" i="90" s="1"/>
  <c r="J81" i="90"/>
  <c r="P81" i="90" s="1"/>
  <c r="J80" i="90"/>
  <c r="J79" i="90"/>
  <c r="P79" i="90" s="1"/>
  <c r="J78" i="90"/>
  <c r="J77" i="90"/>
  <c r="S74" i="90"/>
  <c r="S73" i="90"/>
  <c r="S72" i="90"/>
  <c r="S71" i="90"/>
  <c r="S70" i="90"/>
  <c r="P70" i="90"/>
  <c r="N79" i="90" s="1"/>
  <c r="P71" i="90"/>
  <c r="N58" i="90"/>
  <c r="K58" i="90"/>
  <c r="L58" i="90" s="1"/>
  <c r="P57" i="90"/>
  <c r="N57" i="90"/>
  <c r="K57" i="90"/>
  <c r="L57" i="90" s="1"/>
  <c r="D57" i="90"/>
  <c r="P56" i="90"/>
  <c r="K56" i="90"/>
  <c r="L56" i="90" s="1"/>
  <c r="D56" i="90"/>
  <c r="P55" i="90"/>
  <c r="N55" i="90"/>
  <c r="K55" i="90"/>
  <c r="L55" i="90" s="1"/>
  <c r="D55" i="90"/>
  <c r="D54" i="90"/>
  <c r="P53" i="90"/>
  <c r="D53" i="90"/>
  <c r="P52" i="90"/>
  <c r="D52" i="90"/>
  <c r="P51" i="90"/>
  <c r="D51" i="90"/>
  <c r="P50" i="90"/>
  <c r="D50" i="90"/>
  <c r="S47" i="90"/>
  <c r="S46" i="90"/>
  <c r="S45" i="90"/>
  <c r="S44" i="90"/>
  <c r="P44" i="90"/>
  <c r="S43" i="90"/>
  <c r="N64" i="90" s="1"/>
  <c r="P43" i="90"/>
  <c r="Q44" i="90" s="1"/>
  <c r="O34" i="90"/>
  <c r="P34" i="90" s="1"/>
  <c r="F34" i="90" s="1"/>
  <c r="R91" i="90" s="1"/>
  <c r="O33" i="90"/>
  <c r="P33" i="90" s="1"/>
  <c r="F33" i="90" s="1"/>
  <c r="R90" i="90" s="1"/>
  <c r="O32" i="90"/>
  <c r="P32" i="90" s="1"/>
  <c r="F32" i="90" s="1"/>
  <c r="R89" i="90" s="1"/>
  <c r="O31" i="90"/>
  <c r="P31" i="90" s="1"/>
  <c r="F31" i="90" s="1"/>
  <c r="R88" i="90" s="1"/>
  <c r="O30" i="90"/>
  <c r="P30" i="90" s="1"/>
  <c r="F30" i="90" s="1"/>
  <c r="R87" i="90" s="1"/>
  <c r="O29" i="90"/>
  <c r="P29" i="90" s="1"/>
  <c r="F29" i="90" s="1"/>
  <c r="R55" i="90" s="1"/>
  <c r="O24" i="90"/>
  <c r="M24" i="90"/>
  <c r="I24" i="90"/>
  <c r="J24" i="90" s="1"/>
  <c r="O18" i="90"/>
  <c r="P18" i="90" s="1"/>
  <c r="F18" i="90" s="1"/>
  <c r="R56" i="90" s="1"/>
  <c r="M18" i="90"/>
  <c r="I18" i="90"/>
  <c r="J18" i="90" s="1"/>
  <c r="O17" i="90"/>
  <c r="M17" i="90"/>
  <c r="P17" i="90" s="1"/>
  <c r="F17" i="90" s="1"/>
  <c r="R54" i="90" s="1"/>
  <c r="I17" i="90"/>
  <c r="J17" i="90" s="1"/>
  <c r="E17" i="90"/>
  <c r="P54" i="90" s="1"/>
  <c r="O16" i="90"/>
  <c r="M16" i="90"/>
  <c r="I16" i="90"/>
  <c r="G16" i="90"/>
  <c r="O15" i="90"/>
  <c r="M15" i="90"/>
  <c r="P15" i="90" s="1"/>
  <c r="F15" i="90" s="1"/>
  <c r="R52" i="90" s="1"/>
  <c r="I15" i="90"/>
  <c r="G15" i="90"/>
  <c r="J15" i="90" s="1"/>
  <c r="O14" i="90"/>
  <c r="M14" i="90"/>
  <c r="P14" i="90" s="1"/>
  <c r="F14" i="90" s="1"/>
  <c r="R51" i="90" s="1"/>
  <c r="I14" i="90"/>
  <c r="G14" i="90"/>
  <c r="J14" i="90" s="1"/>
  <c r="O13" i="90"/>
  <c r="M13" i="90"/>
  <c r="P13" i="90" s="1"/>
  <c r="F13" i="90" s="1"/>
  <c r="R50" i="90" s="1"/>
  <c r="I13" i="90"/>
  <c r="G13" i="90"/>
  <c r="O12" i="90"/>
  <c r="P12" i="90" s="1"/>
  <c r="F12" i="90" s="1"/>
  <c r="O11" i="90"/>
  <c r="P11" i="90" s="1"/>
  <c r="F11" i="90" s="1"/>
  <c r="O10" i="90"/>
  <c r="P10" i="90" s="1"/>
  <c r="F10" i="90" s="1"/>
  <c r="O9" i="90"/>
  <c r="P9" i="90" s="1"/>
  <c r="F9" i="90" s="1"/>
  <c r="O8" i="90"/>
  <c r="P8" i="90" s="1"/>
  <c r="F8" i="90" s="1"/>
  <c r="O7" i="90"/>
  <c r="P7" i="90" s="1"/>
  <c r="F7" i="90" s="1"/>
  <c r="C3" i="90"/>
  <c r="P91" i="89"/>
  <c r="K91" i="89"/>
  <c r="L91" i="89" s="1"/>
  <c r="P90" i="89"/>
  <c r="K90" i="89"/>
  <c r="L90" i="89" s="1"/>
  <c r="O90" i="89" s="1"/>
  <c r="P89" i="89"/>
  <c r="K89" i="89"/>
  <c r="L89" i="89" s="1"/>
  <c r="P88" i="89"/>
  <c r="K88" i="89"/>
  <c r="L88" i="89" s="1"/>
  <c r="O88" i="89" s="1"/>
  <c r="P87" i="89"/>
  <c r="K87" i="89"/>
  <c r="L87" i="89" s="1"/>
  <c r="O87" i="89" s="1"/>
  <c r="J86" i="89"/>
  <c r="J85" i="89"/>
  <c r="P85" i="89" s="1"/>
  <c r="K84" i="89"/>
  <c r="J84" i="89"/>
  <c r="P84" i="89" s="1"/>
  <c r="K83" i="89"/>
  <c r="J83" i="89"/>
  <c r="P83" i="89" s="1"/>
  <c r="L82" i="89"/>
  <c r="O82" i="89" s="1"/>
  <c r="K82" i="89"/>
  <c r="J82" i="89"/>
  <c r="P82" i="89" s="1"/>
  <c r="J81" i="89"/>
  <c r="P81" i="89" s="1"/>
  <c r="J80" i="89"/>
  <c r="J79" i="89"/>
  <c r="P79" i="89" s="1"/>
  <c r="J78" i="89"/>
  <c r="J77" i="89"/>
  <c r="P77" i="89" s="1"/>
  <c r="S74" i="89"/>
  <c r="S73" i="89"/>
  <c r="S72" i="89"/>
  <c r="S71" i="89"/>
  <c r="S70" i="89"/>
  <c r="P71" i="89"/>
  <c r="P70" i="89"/>
  <c r="Q71" i="89" s="1"/>
  <c r="N58" i="89"/>
  <c r="L58" i="89"/>
  <c r="O58" i="89" s="1"/>
  <c r="K58" i="89"/>
  <c r="P57" i="89"/>
  <c r="N57" i="89"/>
  <c r="K57" i="89"/>
  <c r="L57" i="89" s="1"/>
  <c r="O57" i="89" s="1"/>
  <c r="D57" i="89"/>
  <c r="P56" i="89"/>
  <c r="K56" i="89"/>
  <c r="L56" i="89" s="1"/>
  <c r="D56" i="89"/>
  <c r="P55" i="89"/>
  <c r="N55" i="89"/>
  <c r="K55" i="89"/>
  <c r="L55" i="89" s="1"/>
  <c r="O55" i="89" s="1"/>
  <c r="D55" i="89"/>
  <c r="D54" i="89"/>
  <c r="P53" i="89"/>
  <c r="D53" i="89"/>
  <c r="P52" i="89"/>
  <c r="D52" i="89"/>
  <c r="P51" i="89"/>
  <c r="D51" i="89"/>
  <c r="P50" i="89"/>
  <c r="D50" i="89"/>
  <c r="S47" i="89"/>
  <c r="S46" i="89"/>
  <c r="S45" i="89"/>
  <c r="S44" i="89"/>
  <c r="P44" i="89"/>
  <c r="S43" i="89"/>
  <c r="P43" i="89"/>
  <c r="O34" i="89"/>
  <c r="P34" i="89" s="1"/>
  <c r="F34" i="89" s="1"/>
  <c r="R91" i="89" s="1"/>
  <c r="O33" i="89"/>
  <c r="P33" i="89" s="1"/>
  <c r="F33" i="89" s="1"/>
  <c r="R90" i="89" s="1"/>
  <c r="O32" i="89"/>
  <c r="P32" i="89" s="1"/>
  <c r="F32" i="89" s="1"/>
  <c r="R89" i="89" s="1"/>
  <c r="O31" i="89"/>
  <c r="P31" i="89" s="1"/>
  <c r="F31" i="89"/>
  <c r="R88" i="89" s="1"/>
  <c r="O30" i="89"/>
  <c r="P30" i="89" s="1"/>
  <c r="F30" i="89" s="1"/>
  <c r="R87" i="89" s="1"/>
  <c r="O29" i="89"/>
  <c r="P29" i="89" s="1"/>
  <c r="F29" i="89" s="1"/>
  <c r="R55" i="89" s="1"/>
  <c r="O24" i="89"/>
  <c r="M24" i="89"/>
  <c r="I24" i="89"/>
  <c r="J24" i="89" s="1"/>
  <c r="O18" i="89"/>
  <c r="P18" i="89" s="1"/>
  <c r="F18" i="89" s="1"/>
  <c r="R56" i="89" s="1"/>
  <c r="M18" i="89"/>
  <c r="I18" i="89"/>
  <c r="J18" i="89" s="1"/>
  <c r="O17" i="89"/>
  <c r="M17" i="89"/>
  <c r="I17" i="89"/>
  <c r="J17" i="89" s="1"/>
  <c r="E17" i="89"/>
  <c r="P54" i="89" s="1"/>
  <c r="O16" i="89"/>
  <c r="M16" i="89"/>
  <c r="I16" i="89"/>
  <c r="G16" i="89"/>
  <c r="O15" i="89"/>
  <c r="M15" i="89"/>
  <c r="P15" i="89" s="1"/>
  <c r="F15" i="89" s="1"/>
  <c r="R52" i="89" s="1"/>
  <c r="I15" i="89"/>
  <c r="J15" i="89" s="1"/>
  <c r="G15" i="89"/>
  <c r="O14" i="89"/>
  <c r="M14" i="89"/>
  <c r="I14" i="89"/>
  <c r="G14" i="89"/>
  <c r="O13" i="89"/>
  <c r="M13" i="89"/>
  <c r="I13" i="89"/>
  <c r="G13" i="89"/>
  <c r="O12" i="89"/>
  <c r="P12" i="89" s="1"/>
  <c r="F12" i="89" s="1"/>
  <c r="O11" i="89"/>
  <c r="P11" i="89" s="1"/>
  <c r="F11" i="89" s="1"/>
  <c r="O10" i="89"/>
  <c r="P10" i="89" s="1"/>
  <c r="F10" i="89" s="1"/>
  <c r="O9" i="89"/>
  <c r="P9" i="89" s="1"/>
  <c r="F9" i="89" s="1"/>
  <c r="O8" i="89"/>
  <c r="P8" i="89" s="1"/>
  <c r="F8" i="89" s="1"/>
  <c r="P7" i="89"/>
  <c r="F7" i="89" s="1"/>
  <c r="O7" i="89"/>
  <c r="C3" i="89"/>
  <c r="O95" i="87"/>
  <c r="N95" i="87"/>
  <c r="E91" i="87"/>
  <c r="E94" i="87" s="1"/>
  <c r="D91" i="87"/>
  <c r="D87" i="87"/>
  <c r="D89" i="87" s="1"/>
  <c r="E83" i="87"/>
  <c r="E86" i="87" s="1"/>
  <c r="D83" i="87"/>
  <c r="M76" i="87"/>
  <c r="M75" i="87"/>
  <c r="M74" i="87"/>
  <c r="M73" i="87"/>
  <c r="M72" i="87"/>
  <c r="M71" i="87"/>
  <c r="M70" i="87"/>
  <c r="L70" i="87"/>
  <c r="K70" i="87"/>
  <c r="K76" i="87" s="1"/>
  <c r="K82" i="87" s="1"/>
  <c r="M69" i="87"/>
  <c r="L69" i="87"/>
  <c r="K69" i="87"/>
  <c r="K75" i="87" s="1"/>
  <c r="K81" i="87" s="1"/>
  <c r="M68" i="87"/>
  <c r="L68" i="87"/>
  <c r="K68" i="87"/>
  <c r="K74" i="87" s="1"/>
  <c r="K80" i="87" s="1"/>
  <c r="M67" i="87"/>
  <c r="L67" i="87"/>
  <c r="K67" i="87"/>
  <c r="K73" i="87" s="1"/>
  <c r="K79" i="87" s="1"/>
  <c r="M66" i="87"/>
  <c r="L66" i="87"/>
  <c r="K66" i="87"/>
  <c r="K72" i="87" s="1"/>
  <c r="K78" i="87" s="1"/>
  <c r="M65" i="87"/>
  <c r="L65" i="87"/>
  <c r="K65" i="87"/>
  <c r="K71" i="87" s="1"/>
  <c r="K77" i="87" s="1"/>
  <c r="F64" i="87"/>
  <c r="L64" i="87" s="1"/>
  <c r="L63" i="87"/>
  <c r="F63" i="87"/>
  <c r="F62" i="87"/>
  <c r="L62" i="87" s="1"/>
  <c r="F61" i="87"/>
  <c r="L61" i="87" s="1"/>
  <c r="E61" i="87"/>
  <c r="E64" i="87" s="1"/>
  <c r="F60" i="87"/>
  <c r="L60" i="87" s="1"/>
  <c r="E60" i="87"/>
  <c r="E72" i="87" s="1"/>
  <c r="H72" i="87" s="1"/>
  <c r="L59" i="87"/>
  <c r="F59" i="87"/>
  <c r="E59" i="87"/>
  <c r="M58" i="87"/>
  <c r="L58" i="87"/>
  <c r="N58" i="87" s="1"/>
  <c r="J58" i="87"/>
  <c r="M57" i="87"/>
  <c r="J57" i="87"/>
  <c r="O57" i="87" s="1"/>
  <c r="F57" i="87"/>
  <c r="L57" i="87" s="1"/>
  <c r="N57" i="87" s="1"/>
  <c r="A57" i="87"/>
  <c r="O56" i="87"/>
  <c r="N56" i="87"/>
  <c r="E52" i="87"/>
  <c r="E54" i="87" s="1"/>
  <c r="D52" i="87"/>
  <c r="D54" i="87" s="1"/>
  <c r="E48" i="87"/>
  <c r="E50" i="87" s="1"/>
  <c r="D48" i="87"/>
  <c r="D50" i="87" s="1"/>
  <c r="D45" i="87"/>
  <c r="E44" i="87"/>
  <c r="E46" i="87" s="1"/>
  <c r="D44" i="87"/>
  <c r="D46" i="87" s="1"/>
  <c r="M37" i="87"/>
  <c r="M36" i="87"/>
  <c r="M35" i="87"/>
  <c r="M34" i="87"/>
  <c r="M33" i="87"/>
  <c r="M32" i="87"/>
  <c r="M31" i="87"/>
  <c r="L31" i="87"/>
  <c r="K31" i="87"/>
  <c r="K37" i="87" s="1"/>
  <c r="K43" i="87" s="1"/>
  <c r="M30" i="87"/>
  <c r="L30" i="87"/>
  <c r="K30" i="87"/>
  <c r="K36" i="87" s="1"/>
  <c r="K42" i="87" s="1"/>
  <c r="M29" i="87"/>
  <c r="L29" i="87"/>
  <c r="K29" i="87"/>
  <c r="K35" i="87" s="1"/>
  <c r="K41" i="87" s="1"/>
  <c r="M28" i="87"/>
  <c r="L28" i="87"/>
  <c r="K28" i="87"/>
  <c r="K34" i="87" s="1"/>
  <c r="K40" i="87" s="1"/>
  <c r="M27" i="87"/>
  <c r="L27" i="87"/>
  <c r="K27" i="87"/>
  <c r="K33" i="87" s="1"/>
  <c r="K39" i="87" s="1"/>
  <c r="M26" i="87"/>
  <c r="L26" i="87"/>
  <c r="K26" i="87"/>
  <c r="K32" i="87" s="1"/>
  <c r="K38" i="87" s="1"/>
  <c r="F25" i="87"/>
  <c r="L25" i="87" s="1"/>
  <c r="F24" i="87"/>
  <c r="L24" i="87" s="1"/>
  <c r="F23" i="87"/>
  <c r="L23" i="87" s="1"/>
  <c r="F22" i="87"/>
  <c r="L22" i="87" s="1"/>
  <c r="E22" i="87"/>
  <c r="E34" i="87" s="1"/>
  <c r="H34" i="87" s="1"/>
  <c r="F21" i="87"/>
  <c r="L21" i="87" s="1"/>
  <c r="E21" i="87"/>
  <c r="E33" i="87" s="1"/>
  <c r="H33" i="87" s="1"/>
  <c r="F20" i="87"/>
  <c r="L20" i="87" s="1"/>
  <c r="E20" i="87"/>
  <c r="E32" i="87" s="1"/>
  <c r="H32" i="87" s="1"/>
  <c r="M19" i="87"/>
  <c r="L19" i="87"/>
  <c r="N19" i="87" s="1"/>
  <c r="J19" i="87"/>
  <c r="M18" i="87"/>
  <c r="L18" i="87"/>
  <c r="N18" i="87" s="1"/>
  <c r="J18" i="87"/>
  <c r="O18" i="87" s="1"/>
  <c r="F18" i="87"/>
  <c r="A18" i="87"/>
  <c r="E87" i="87"/>
  <c r="I8" i="87"/>
  <c r="I7" i="87" s="1"/>
  <c r="I6" i="87" s="1"/>
  <c r="M6" i="87"/>
  <c r="M7" i="87" s="1"/>
  <c r="I5" i="87"/>
  <c r="M3" i="87"/>
  <c r="M4" i="87" s="1"/>
  <c r="I3" i="87"/>
  <c r="I2" i="87" s="1"/>
  <c r="R60" i="86"/>
  <c r="T59" i="86"/>
  <c r="M59" i="86"/>
  <c r="L59" i="86"/>
  <c r="H59" i="86"/>
  <c r="J59" i="86" s="1"/>
  <c r="H58" i="86"/>
  <c r="J58" i="86" s="1"/>
  <c r="O58" i="86" s="1"/>
  <c r="D57" i="86"/>
  <c r="H57" i="86" s="1"/>
  <c r="J57" i="86" s="1"/>
  <c r="O57" i="86" s="1"/>
  <c r="D56" i="86"/>
  <c r="H56" i="86" s="1"/>
  <c r="D55" i="86"/>
  <c r="H55" i="86" s="1"/>
  <c r="H54" i="86"/>
  <c r="D54" i="86"/>
  <c r="D53" i="86"/>
  <c r="H53" i="86" s="1"/>
  <c r="D52" i="86"/>
  <c r="T51" i="86"/>
  <c r="M51" i="86"/>
  <c r="L51" i="86"/>
  <c r="H51" i="86"/>
  <c r="J51" i="86" s="1"/>
  <c r="O51" i="86" s="1"/>
  <c r="H50" i="86"/>
  <c r="N50" i="86" s="1"/>
  <c r="D49" i="86"/>
  <c r="H49" i="86" s="1"/>
  <c r="N49" i="86" s="1"/>
  <c r="D48" i="86"/>
  <c r="H48" i="86" s="1"/>
  <c r="D47" i="86"/>
  <c r="D46" i="86"/>
  <c r="H46" i="86"/>
  <c r="D45" i="86"/>
  <c r="D43" i="86"/>
  <c r="H43" i="86" s="1"/>
  <c r="E42" i="86"/>
  <c r="H42" i="86" s="1"/>
  <c r="N42" i="86" s="1"/>
  <c r="E41" i="86"/>
  <c r="H41" i="86" s="1"/>
  <c r="D41" i="86"/>
  <c r="E40" i="86"/>
  <c r="D40" i="86"/>
  <c r="H40" i="86" s="1"/>
  <c r="E39" i="86"/>
  <c r="H39" i="86" s="1"/>
  <c r="N39" i="86" s="1"/>
  <c r="D39" i="86"/>
  <c r="D38" i="86"/>
  <c r="D37" i="86"/>
  <c r="E36" i="86"/>
  <c r="D36" i="86"/>
  <c r="D35" i="86"/>
  <c r="E34" i="86"/>
  <c r="E37" i="86" s="1"/>
  <c r="H37" i="86" s="1"/>
  <c r="D34" i="86"/>
  <c r="H34" i="86" s="1"/>
  <c r="E33" i="86"/>
  <c r="D33" i="86"/>
  <c r="H33" i="86" s="1"/>
  <c r="E32" i="86"/>
  <c r="E35" i="86" s="1"/>
  <c r="H35" i="86" s="1"/>
  <c r="D32" i="86"/>
  <c r="D31" i="86"/>
  <c r="D30" i="86"/>
  <c r="D29" i="86"/>
  <c r="E28" i="86"/>
  <c r="E31" i="86" s="1"/>
  <c r="D28" i="86"/>
  <c r="E27" i="86"/>
  <c r="E30" i="86" s="1"/>
  <c r="D27" i="86"/>
  <c r="E26" i="86"/>
  <c r="E29" i="86" s="1"/>
  <c r="H29" i="86" s="1"/>
  <c r="D26" i="86"/>
  <c r="D25" i="86"/>
  <c r="D24" i="86"/>
  <c r="E23" i="86"/>
  <c r="D23" i="86"/>
  <c r="H23" i="86" s="1"/>
  <c r="N23" i="86" s="1"/>
  <c r="E22" i="86"/>
  <c r="D22" i="86"/>
  <c r="H22" i="86" s="1"/>
  <c r="D21" i="86"/>
  <c r="D20" i="86"/>
  <c r="D19" i="86"/>
  <c r="H19" i="86" s="1"/>
  <c r="D18" i="86"/>
  <c r="H18" i="86" s="1"/>
  <c r="E20" i="86"/>
  <c r="I8" i="86"/>
  <c r="I7" i="86"/>
  <c r="I6" i="86" s="1"/>
  <c r="M6" i="86"/>
  <c r="M7" i="86" s="1"/>
  <c r="I4" i="86"/>
  <c r="I3" i="86" s="1"/>
  <c r="I2" i="86" s="1"/>
  <c r="M3" i="86"/>
  <c r="M4" i="86" s="1"/>
  <c r="D24" i="85"/>
  <c r="D23" i="85"/>
  <c r="D22" i="85"/>
  <c r="A22" i="85"/>
  <c r="D20" i="85"/>
  <c r="D19" i="85"/>
  <c r="D18" i="85"/>
  <c r="A18" i="85"/>
  <c r="D15" i="85"/>
  <c r="C15" i="85"/>
  <c r="D14" i="85"/>
  <c r="C14" i="85"/>
  <c r="E9" i="85"/>
  <c r="E22" i="85" s="1"/>
  <c r="D9" i="85"/>
  <c r="E23" i="85" s="1"/>
  <c r="H23" i="85" s="1"/>
  <c r="I8" i="85"/>
  <c r="I7" i="85" s="1"/>
  <c r="I6" i="85" s="1"/>
  <c r="E8" i="85"/>
  <c r="E18" i="85" s="1"/>
  <c r="D8" i="85"/>
  <c r="E20" i="85" s="1"/>
  <c r="H20" i="85" s="1"/>
  <c r="M6" i="85"/>
  <c r="M7" i="85" s="1"/>
  <c r="I4" i="85"/>
  <c r="M3" i="85"/>
  <c r="M4" i="85" s="1"/>
  <c r="I3" i="85"/>
  <c r="I2" i="85" s="1"/>
  <c r="H86" i="84"/>
  <c r="H84" i="84"/>
  <c r="K84" i="84" s="1"/>
  <c r="L84" i="84" s="1"/>
  <c r="M84" i="84" s="1"/>
  <c r="H83" i="84"/>
  <c r="G83" i="84"/>
  <c r="H82" i="84"/>
  <c r="K82" i="84" s="1"/>
  <c r="L82" i="84" s="1"/>
  <c r="M82" i="84" s="1"/>
  <c r="H81" i="84"/>
  <c r="K81" i="84" s="1"/>
  <c r="L81" i="84" s="1"/>
  <c r="M81" i="84" s="1"/>
  <c r="H80" i="84"/>
  <c r="K80" i="84" s="1"/>
  <c r="L80" i="84" s="1"/>
  <c r="M80" i="84" s="1"/>
  <c r="H79" i="84"/>
  <c r="K79" i="84" s="1"/>
  <c r="L79" i="84" s="1"/>
  <c r="M79" i="84" s="1"/>
  <c r="H78" i="84"/>
  <c r="H77" i="84"/>
  <c r="K77" i="84" s="1"/>
  <c r="L77" i="84" s="1"/>
  <c r="M77" i="84" s="1"/>
  <c r="H75" i="84"/>
  <c r="K75" i="84" s="1"/>
  <c r="L75" i="84" s="1"/>
  <c r="M75" i="84" s="1"/>
  <c r="H74" i="84"/>
  <c r="K74" i="84" s="1"/>
  <c r="L74" i="84" s="1"/>
  <c r="M74" i="84" s="1"/>
  <c r="H72" i="84"/>
  <c r="K72" i="84" s="1"/>
  <c r="L72" i="84" s="1"/>
  <c r="M72" i="84" s="1"/>
  <c r="H71" i="84"/>
  <c r="K71" i="84" s="1"/>
  <c r="L71" i="84" s="1"/>
  <c r="M71" i="84" s="1"/>
  <c r="H70" i="84"/>
  <c r="K70" i="84" s="1"/>
  <c r="L70" i="84" s="1"/>
  <c r="M70" i="84" s="1"/>
  <c r="H69" i="84"/>
  <c r="K69" i="84" s="1"/>
  <c r="L69" i="84" s="1"/>
  <c r="M69" i="84" s="1"/>
  <c r="R68" i="84"/>
  <c r="Q68" i="84"/>
  <c r="H68" i="84"/>
  <c r="K68" i="84" s="1"/>
  <c r="L68" i="84" s="1"/>
  <c r="M68" i="84" s="1"/>
  <c r="Q67" i="84"/>
  <c r="H67" i="84"/>
  <c r="K67" i="84" s="1"/>
  <c r="L67" i="84" s="1"/>
  <c r="M67" i="84" s="1"/>
  <c r="R66" i="84"/>
  <c r="H66" i="84"/>
  <c r="K66" i="84" s="1"/>
  <c r="L66" i="84" s="1"/>
  <c r="M66" i="84" s="1"/>
  <c r="Q65" i="84"/>
  <c r="Q66" i="84" s="1"/>
  <c r="H65" i="84"/>
  <c r="K65" i="84" s="1"/>
  <c r="L65" i="84" s="1"/>
  <c r="M65" i="84" s="1"/>
  <c r="R64" i="84"/>
  <c r="Q63" i="84"/>
  <c r="Q64" i="84" s="1"/>
  <c r="H63" i="84"/>
  <c r="K63" i="84" s="1"/>
  <c r="L63" i="84" s="1"/>
  <c r="M63" i="84" s="1"/>
  <c r="R62" i="84"/>
  <c r="H62" i="84"/>
  <c r="Q61" i="84"/>
  <c r="Q62" i="84" s="1"/>
  <c r="H61" i="84"/>
  <c r="R60" i="84"/>
  <c r="Q59" i="84"/>
  <c r="Q60" i="84" s="1"/>
  <c r="H59" i="84"/>
  <c r="K59" i="84" s="1"/>
  <c r="L59" i="84" s="1"/>
  <c r="M59" i="84" s="1"/>
  <c r="R58" i="84"/>
  <c r="K58" i="84"/>
  <c r="L58" i="84" s="1"/>
  <c r="M58" i="84" s="1"/>
  <c r="H58" i="84"/>
  <c r="H57" i="84"/>
  <c r="K57" i="84" s="1"/>
  <c r="L57" i="84" s="1"/>
  <c r="M57" i="84" s="1"/>
  <c r="Q56" i="84"/>
  <c r="Q58" i="84" s="1"/>
  <c r="H56" i="84"/>
  <c r="K56" i="84" s="1"/>
  <c r="L56" i="84" s="1"/>
  <c r="M56" i="84" s="1"/>
  <c r="R55" i="84"/>
  <c r="Q55" i="84"/>
  <c r="H55" i="84"/>
  <c r="K55" i="84" s="1"/>
  <c r="L55" i="84" s="1"/>
  <c r="M55" i="84" s="1"/>
  <c r="Q54" i="84"/>
  <c r="H54" i="84"/>
  <c r="K54" i="84" s="1"/>
  <c r="L54" i="84" s="1"/>
  <c r="M54" i="84" s="1"/>
  <c r="R53" i="84"/>
  <c r="H53" i="84"/>
  <c r="K53" i="84" s="1"/>
  <c r="L53" i="84" s="1"/>
  <c r="M53" i="84" s="1"/>
  <c r="Q52" i="84"/>
  <c r="Q53" i="84" s="1"/>
  <c r="H52" i="84"/>
  <c r="K52" i="84" s="1"/>
  <c r="L52" i="84" s="1"/>
  <c r="M52" i="84" s="1"/>
  <c r="R51" i="84"/>
  <c r="H51" i="84"/>
  <c r="K51" i="84" s="1"/>
  <c r="L51" i="84" s="1"/>
  <c r="M51" i="84" s="1"/>
  <c r="Q50" i="84"/>
  <c r="Q51" i="84" s="1"/>
  <c r="H50" i="84"/>
  <c r="K50" i="84" s="1"/>
  <c r="L50" i="84" s="1"/>
  <c r="M50" i="84" s="1"/>
  <c r="R49" i="84"/>
  <c r="Q48" i="84"/>
  <c r="Q49" i="84" s="1"/>
  <c r="H48" i="84"/>
  <c r="K48" i="84" s="1"/>
  <c r="L48" i="84" s="1"/>
  <c r="M48" i="84" s="1"/>
  <c r="R47" i="84"/>
  <c r="Q47" i="84"/>
  <c r="H47" i="84"/>
  <c r="K47" i="84" s="1"/>
  <c r="L47" i="84" s="1"/>
  <c r="M47" i="84" s="1"/>
  <c r="Q46" i="84"/>
  <c r="H46" i="84"/>
  <c r="K46" i="84" s="1"/>
  <c r="L46" i="84" s="1"/>
  <c r="M46" i="84" s="1"/>
  <c r="R45" i="84"/>
  <c r="H45" i="84"/>
  <c r="K45" i="84" s="1"/>
  <c r="L45" i="84" s="1"/>
  <c r="M45" i="84" s="1"/>
  <c r="Q44" i="84"/>
  <c r="Q45" i="84" s="1"/>
  <c r="H44" i="84"/>
  <c r="K44" i="84" s="1"/>
  <c r="L44" i="84" s="1"/>
  <c r="M44" i="84" s="1"/>
  <c r="R43" i="84"/>
  <c r="H43" i="84"/>
  <c r="G43" i="84"/>
  <c r="K43" i="84" s="1"/>
  <c r="L43" i="84" s="1"/>
  <c r="M43" i="84" s="1"/>
  <c r="Q42" i="84"/>
  <c r="Q43" i="84" s="1"/>
  <c r="H42" i="84"/>
  <c r="G42" i="84"/>
  <c r="R41" i="84"/>
  <c r="Q41" i="84"/>
  <c r="H41" i="84"/>
  <c r="G41" i="84"/>
  <c r="K41" i="84" s="1"/>
  <c r="L41" i="84" s="1"/>
  <c r="M41" i="84" s="1"/>
  <c r="Q40" i="84"/>
  <c r="H40" i="84"/>
  <c r="G40" i="84"/>
  <c r="R39" i="84"/>
  <c r="Q39" i="84"/>
  <c r="H39" i="84"/>
  <c r="Q38" i="84"/>
  <c r="N38" i="84"/>
  <c r="H38" i="84"/>
  <c r="G38" i="84"/>
  <c r="R37" i="84"/>
  <c r="Q36" i="84"/>
  <c r="Q37" i="84" s="1"/>
  <c r="H36" i="84"/>
  <c r="K36" i="84" s="1"/>
  <c r="L36" i="84" s="1"/>
  <c r="M36" i="84" s="1"/>
  <c r="R35" i="84"/>
  <c r="H35" i="84"/>
  <c r="K35" i="84" s="1"/>
  <c r="L35" i="84" s="1"/>
  <c r="M35" i="84" s="1"/>
  <c r="Q34" i="84"/>
  <c r="Q35" i="84" s="1"/>
  <c r="H34" i="84"/>
  <c r="K34" i="84" s="1"/>
  <c r="L34" i="84" s="1"/>
  <c r="M34" i="84" s="1"/>
  <c r="X33" i="84"/>
  <c r="X34" i="84" s="1"/>
  <c r="R33" i="84"/>
  <c r="Q32" i="84"/>
  <c r="Q33" i="84" s="1"/>
  <c r="H32" i="84"/>
  <c r="K32" i="84" s="1"/>
  <c r="L32" i="84" s="1"/>
  <c r="M32" i="84" s="1"/>
  <c r="H31" i="84"/>
  <c r="G31" i="84"/>
  <c r="K31" i="84" s="1"/>
  <c r="E31" i="84"/>
  <c r="L31" i="84" s="1"/>
  <c r="X29" i="84"/>
  <c r="X30" i="84" s="1"/>
  <c r="H29" i="84"/>
  <c r="H28" i="84"/>
  <c r="K27" i="84"/>
  <c r="L27" i="84" s="1"/>
  <c r="M27" i="84" s="1"/>
  <c r="H27" i="84"/>
  <c r="S26" i="84"/>
  <c r="R26" i="84"/>
  <c r="Q26" i="84"/>
  <c r="H26" i="84"/>
  <c r="K26" i="84" s="1"/>
  <c r="L26" i="84" s="1"/>
  <c r="S25" i="84"/>
  <c r="R25" i="84"/>
  <c r="Q25" i="84"/>
  <c r="U24" i="84"/>
  <c r="T24" i="84"/>
  <c r="S24" i="84"/>
  <c r="R24" i="84"/>
  <c r="Q24" i="84"/>
  <c r="N24" i="84"/>
  <c r="K24" i="84"/>
  <c r="H24" i="84"/>
  <c r="S23" i="84"/>
  <c r="R23" i="84"/>
  <c r="Q23" i="84"/>
  <c r="K23" i="84"/>
  <c r="H23" i="84"/>
  <c r="S22" i="84"/>
  <c r="R22" i="84"/>
  <c r="Q22" i="84"/>
  <c r="S21" i="84"/>
  <c r="R21" i="84"/>
  <c r="Q21" i="84"/>
  <c r="H21" i="84"/>
  <c r="G21" i="84"/>
  <c r="K21" i="84" s="1"/>
  <c r="C21" i="84"/>
  <c r="S20" i="84"/>
  <c r="R20" i="84"/>
  <c r="Q20" i="84"/>
  <c r="N20" i="84"/>
  <c r="H20" i="84"/>
  <c r="E20" i="84"/>
  <c r="C20" i="84"/>
  <c r="S19" i="84"/>
  <c r="R19" i="84"/>
  <c r="Q19" i="84"/>
  <c r="K19" i="84"/>
  <c r="H19" i="84"/>
  <c r="S18" i="84"/>
  <c r="R18" i="84"/>
  <c r="Q18" i="84"/>
  <c r="H18" i="84"/>
  <c r="K18" i="84" s="1"/>
  <c r="S17" i="84"/>
  <c r="R17" i="84"/>
  <c r="Q17" i="84"/>
  <c r="H17" i="84"/>
  <c r="S16" i="84"/>
  <c r="R16" i="84"/>
  <c r="Q16" i="84"/>
  <c r="H16" i="84"/>
  <c r="S15" i="84"/>
  <c r="E11" i="84" s="1"/>
  <c r="N11" i="84" s="1"/>
  <c r="R15" i="84"/>
  <c r="Q15" i="84"/>
  <c r="E9" i="84" s="1"/>
  <c r="H15" i="84"/>
  <c r="E15" i="84"/>
  <c r="C15" i="84"/>
  <c r="S14" i="84"/>
  <c r="R14" i="84"/>
  <c r="Q14" i="84"/>
  <c r="H14" i="84"/>
  <c r="E14" i="84"/>
  <c r="C14" i="84"/>
  <c r="S13" i="84"/>
  <c r="R13" i="84"/>
  <c r="Q13" i="84"/>
  <c r="H13" i="84"/>
  <c r="E13" i="84"/>
  <c r="C13" i="84"/>
  <c r="Z12" i="84"/>
  <c r="AC12" i="84" s="1"/>
  <c r="AE12" i="84" s="1"/>
  <c r="AG12" i="84" s="1"/>
  <c r="S12" i="84"/>
  <c r="R12" i="84"/>
  <c r="Q12" i="84"/>
  <c r="H12" i="84"/>
  <c r="E12" i="84"/>
  <c r="C12" i="84"/>
  <c r="Z11" i="84"/>
  <c r="AC11" i="84" s="1"/>
  <c r="AE11" i="84" s="1"/>
  <c r="AG11" i="84" s="1"/>
  <c r="S11" i="84"/>
  <c r="R11" i="84"/>
  <c r="Q11" i="84"/>
  <c r="H11" i="84"/>
  <c r="C11" i="84"/>
  <c r="AH10" i="84"/>
  <c r="S10" i="84"/>
  <c r="R10" i="84"/>
  <c r="Q10" i="84"/>
  <c r="H10" i="84"/>
  <c r="E10" i="84"/>
  <c r="N10" i="84" s="1"/>
  <c r="C10" i="84"/>
  <c r="AH9" i="84"/>
  <c r="Z9" i="84"/>
  <c r="AC9" i="84" s="1"/>
  <c r="AE9" i="84" s="1"/>
  <c r="AG9" i="84" s="1"/>
  <c r="AI9" i="84" s="1"/>
  <c r="S9" i="84"/>
  <c r="R9" i="84"/>
  <c r="Q9" i="84"/>
  <c r="H9" i="84"/>
  <c r="C9" i="84"/>
  <c r="AH8" i="84"/>
  <c r="Z8" i="84"/>
  <c r="AC8" i="84" s="1"/>
  <c r="AE8" i="84" s="1"/>
  <c r="AG8" i="84" s="1"/>
  <c r="AI8" i="84" s="1"/>
  <c r="AH7" i="84"/>
  <c r="Z7" i="84"/>
  <c r="Z10" i="84" s="1"/>
  <c r="AC10" i="84" s="1"/>
  <c r="AE10" i="84" s="1"/>
  <c r="AG10" i="84" s="1"/>
  <c r="AI10" i="84" s="1"/>
  <c r="F3" i="84"/>
  <c r="D3" i="84"/>
  <c r="G2" i="84"/>
  <c r="P274" i="91" l="1"/>
  <c r="R274" i="91" s="1"/>
  <c r="T274" i="91"/>
  <c r="P273" i="91"/>
  <c r="R273" i="91" s="1"/>
  <c r="T273" i="91"/>
  <c r="P243" i="91"/>
  <c r="R243" i="91" s="1"/>
  <c r="T243" i="91"/>
  <c r="T249" i="91"/>
  <c r="P249" i="91"/>
  <c r="R249" i="91" s="1"/>
  <c r="T236" i="91"/>
  <c r="P236" i="91"/>
  <c r="R236" i="91" s="1"/>
  <c r="T275" i="91"/>
  <c r="P275" i="91"/>
  <c r="R275" i="91" s="1"/>
  <c r="P310" i="91"/>
  <c r="R310" i="91" s="1"/>
  <c r="V309" i="91" s="1"/>
  <c r="T310" i="91"/>
  <c r="T282" i="91"/>
  <c r="P282" i="91"/>
  <c r="R282" i="91" s="1"/>
  <c r="R253" i="91"/>
  <c r="E288" i="91"/>
  <c r="I288" i="91" s="1"/>
  <c r="J288" i="91" s="1"/>
  <c r="M288" i="91" s="1"/>
  <c r="E287" i="91"/>
  <c r="I287" i="91" s="1"/>
  <c r="J287" i="91" s="1"/>
  <c r="M287" i="91" s="1"/>
  <c r="E286" i="91"/>
  <c r="I286" i="91" s="1"/>
  <c r="J286" i="91" s="1"/>
  <c r="M286" i="91" s="1"/>
  <c r="E285" i="91"/>
  <c r="I285" i="91" s="1"/>
  <c r="J285" i="91" s="1"/>
  <c r="M285" i="91" s="1"/>
  <c r="E270" i="91"/>
  <c r="I270" i="91" s="1"/>
  <c r="J270" i="91" s="1"/>
  <c r="M270" i="91" s="1"/>
  <c r="E268" i="91"/>
  <c r="I268" i="91" s="1"/>
  <c r="E271" i="91"/>
  <c r="I271" i="91" s="1"/>
  <c r="J271" i="91" s="1"/>
  <c r="M271" i="91" s="1"/>
  <c r="F294" i="91"/>
  <c r="J294" i="91" s="1"/>
  <c r="M294" i="91" s="1"/>
  <c r="E272" i="91"/>
  <c r="I272" i="91" s="1"/>
  <c r="J272" i="91" s="1"/>
  <c r="M272" i="91" s="1"/>
  <c r="E269" i="91"/>
  <c r="I269" i="91" s="1"/>
  <c r="J269" i="91" s="1"/>
  <c r="M269" i="91" s="1"/>
  <c r="J237" i="91"/>
  <c r="M237" i="91" s="1"/>
  <c r="M278" i="91"/>
  <c r="J241" i="91"/>
  <c r="M241" i="91" s="1"/>
  <c r="H297" i="91"/>
  <c r="J297" i="91" s="1"/>
  <c r="M297" i="91" s="1"/>
  <c r="J262" i="91"/>
  <c r="M262" i="91" s="1"/>
  <c r="T277" i="91"/>
  <c r="P277" i="91"/>
  <c r="R277" i="91" s="1"/>
  <c r="D246" i="91"/>
  <c r="S246" i="91"/>
  <c r="K246" i="91"/>
  <c r="M246" i="91" s="1"/>
  <c r="L307" i="91"/>
  <c r="L303" i="91"/>
  <c r="L299" i="91"/>
  <c r="L306" i="91"/>
  <c r="L302" i="91"/>
  <c r="L305" i="91"/>
  <c r="L301" i="91"/>
  <c r="L308" i="91"/>
  <c r="L304" i="91"/>
  <c r="L300" i="91"/>
  <c r="R284" i="91"/>
  <c r="H224" i="91"/>
  <c r="Q238" i="91" s="1"/>
  <c r="B238" i="91"/>
  <c r="H223" i="91"/>
  <c r="H214" i="91"/>
  <c r="Q237" i="91" s="1"/>
  <c r="J242" i="91"/>
  <c r="M242" i="91" s="1"/>
  <c r="H295" i="91"/>
  <c r="J295" i="91" s="1"/>
  <c r="M295" i="91" s="1"/>
  <c r="J252" i="91"/>
  <c r="M252" i="91" s="1"/>
  <c r="T264" i="91"/>
  <c r="P264" i="91"/>
  <c r="R264" i="91" s="1"/>
  <c r="P245" i="91"/>
  <c r="R245" i="91" s="1"/>
  <c r="T245" i="91"/>
  <c r="R256" i="91"/>
  <c r="P248" i="91"/>
  <c r="R248" i="91" s="1"/>
  <c r="V247" i="91" s="1"/>
  <c r="T248" i="91"/>
  <c r="H307" i="91"/>
  <c r="H303" i="91"/>
  <c r="H299" i="91"/>
  <c r="J299" i="91" s="1"/>
  <c r="M299" i="91" s="1"/>
  <c r="H306" i="91"/>
  <c r="H302" i="91"/>
  <c r="H305" i="91"/>
  <c r="H301" i="91"/>
  <c r="H304" i="91"/>
  <c r="H300" i="91"/>
  <c r="H308" i="91"/>
  <c r="J308" i="91" s="1"/>
  <c r="M308" i="91" s="1"/>
  <c r="M279" i="91"/>
  <c r="I306" i="91"/>
  <c r="I302" i="91"/>
  <c r="I305" i="91"/>
  <c r="I301" i="91"/>
  <c r="I308" i="91"/>
  <c r="I304" i="91"/>
  <c r="I300" i="91"/>
  <c r="I307" i="91"/>
  <c r="I303" i="91"/>
  <c r="I299" i="91"/>
  <c r="T254" i="91"/>
  <c r="P254" i="91"/>
  <c r="R254" i="91" s="1"/>
  <c r="T283" i="91"/>
  <c r="P283" i="91"/>
  <c r="R283" i="91" s="1"/>
  <c r="T281" i="91"/>
  <c r="P281" i="91"/>
  <c r="R281" i="91" s="1"/>
  <c r="T250" i="91"/>
  <c r="P250" i="91"/>
  <c r="R250" i="91" s="1"/>
  <c r="M276" i="91"/>
  <c r="T240" i="91"/>
  <c r="P240" i="91"/>
  <c r="R240" i="91" s="1"/>
  <c r="H296" i="91"/>
  <c r="J296" i="91" s="1"/>
  <c r="M296" i="91" s="1"/>
  <c r="J259" i="91"/>
  <c r="M259" i="91" s="1"/>
  <c r="J13" i="89"/>
  <c r="P14" i="89"/>
  <c r="F14" i="89" s="1"/>
  <c r="R51" i="89" s="1"/>
  <c r="O57" i="90"/>
  <c r="J16" i="90"/>
  <c r="Q57" i="90"/>
  <c r="L82" i="90"/>
  <c r="O82" i="90" s="1"/>
  <c r="O58" i="90"/>
  <c r="O55" i="90"/>
  <c r="J18" i="86"/>
  <c r="O18" i="86" s="1"/>
  <c r="N18" i="86"/>
  <c r="N19" i="86"/>
  <c r="J19" i="86"/>
  <c r="O19" i="86" s="1"/>
  <c r="N33" i="86"/>
  <c r="J33" i="86"/>
  <c r="O33" i="86" s="1"/>
  <c r="K83" i="84"/>
  <c r="L83" i="84" s="1"/>
  <c r="M83" i="84" s="1"/>
  <c r="N31" i="84"/>
  <c r="H31" i="86"/>
  <c r="E21" i="84"/>
  <c r="N21" i="84" s="1"/>
  <c r="K38" i="84"/>
  <c r="L38" i="84" s="1"/>
  <c r="M38" i="84" s="1"/>
  <c r="K40" i="84"/>
  <c r="L40" i="84" s="1"/>
  <c r="M40" i="84" s="1"/>
  <c r="H18" i="85"/>
  <c r="O59" i="86"/>
  <c r="J16" i="89"/>
  <c r="N64" i="89"/>
  <c r="N65" i="89" s="1"/>
  <c r="C4" i="89"/>
  <c r="P24" i="89"/>
  <c r="F24" i="89" s="1"/>
  <c r="R57" i="89" s="1"/>
  <c r="S57" i="89" s="1"/>
  <c r="H21" i="86"/>
  <c r="N21" i="86" s="1"/>
  <c r="L84" i="89"/>
  <c r="O84" i="89" s="1"/>
  <c r="C4" i="90"/>
  <c r="J13" i="90"/>
  <c r="P16" i="90"/>
  <c r="F16" i="90" s="1"/>
  <c r="R53" i="90" s="1"/>
  <c r="I78" i="90"/>
  <c r="K78" i="90" s="1"/>
  <c r="L78" i="90" s="1"/>
  <c r="O78" i="90" s="1"/>
  <c r="L84" i="90"/>
  <c r="O84" i="90" s="1"/>
  <c r="Q84" i="90" s="1"/>
  <c r="H25" i="86"/>
  <c r="O19" i="87"/>
  <c r="O58" i="87"/>
  <c r="P16" i="89"/>
  <c r="F16" i="89" s="1"/>
  <c r="R53" i="89" s="1"/>
  <c r="L83" i="89"/>
  <c r="P24" i="90"/>
  <c r="F24" i="90" s="1"/>
  <c r="R57" i="90" s="1"/>
  <c r="S57" i="90" s="1"/>
  <c r="I50" i="90"/>
  <c r="K50" i="90" s="1"/>
  <c r="L50" i="90" s="1"/>
  <c r="O50" i="90" s="1"/>
  <c r="S50" i="90" s="1"/>
  <c r="Q71" i="90"/>
  <c r="Q72" i="90" s="1"/>
  <c r="L83" i="90"/>
  <c r="H86" i="90"/>
  <c r="K86" i="90" s="1"/>
  <c r="L86" i="90" s="1"/>
  <c r="N57" i="86"/>
  <c r="N58" i="86"/>
  <c r="H44" i="86"/>
  <c r="H26" i="86"/>
  <c r="N26" i="86" s="1"/>
  <c r="H27" i="86"/>
  <c r="N27" i="86" s="1"/>
  <c r="H50" i="87"/>
  <c r="J50" i="87" s="1"/>
  <c r="O50" i="87" s="1"/>
  <c r="H54" i="87"/>
  <c r="D53" i="87"/>
  <c r="H60" i="87"/>
  <c r="J60" i="87" s="1"/>
  <c r="O60" i="87" s="1"/>
  <c r="E49" i="87"/>
  <c r="D55" i="87"/>
  <c r="J23" i="86"/>
  <c r="O23" i="86" s="1"/>
  <c r="H32" i="86"/>
  <c r="H38" i="86"/>
  <c r="N38" i="86" s="1"/>
  <c r="H52" i="86"/>
  <c r="J52" i="86" s="1"/>
  <c r="O52" i="86" s="1"/>
  <c r="H36" i="86"/>
  <c r="J36" i="86" s="1"/>
  <c r="O36" i="86" s="1"/>
  <c r="H46" i="87"/>
  <c r="E45" i="87"/>
  <c r="H45" i="87" s="1"/>
  <c r="H22" i="87"/>
  <c r="J22" i="87" s="1"/>
  <c r="O22" i="87" s="1"/>
  <c r="H44" i="87"/>
  <c r="N44" i="87" s="1"/>
  <c r="R80" i="90"/>
  <c r="R78" i="90"/>
  <c r="R85" i="90"/>
  <c r="R77" i="90"/>
  <c r="R84" i="90"/>
  <c r="R83" i="90"/>
  <c r="R79" i="90"/>
  <c r="R86" i="90"/>
  <c r="R82" i="90"/>
  <c r="R81" i="90"/>
  <c r="Q87" i="90"/>
  <c r="S87" i="90"/>
  <c r="I64" i="90"/>
  <c r="N52" i="90"/>
  <c r="Q45" i="90"/>
  <c r="S55" i="90"/>
  <c r="Q55" i="90"/>
  <c r="I85" i="90"/>
  <c r="K85" i="90" s="1"/>
  <c r="L85" i="90" s="1"/>
  <c r="O85" i="90" s="1"/>
  <c r="N80" i="90"/>
  <c r="N89" i="90"/>
  <c r="O89" i="90" s="1"/>
  <c r="Q70" i="90"/>
  <c r="N91" i="90"/>
  <c r="O91" i="90" s="1"/>
  <c r="N83" i="90"/>
  <c r="N86" i="90"/>
  <c r="N65" i="90"/>
  <c r="N66" i="90"/>
  <c r="Q82" i="90"/>
  <c r="P45" i="90"/>
  <c r="N53" i="90" s="1"/>
  <c r="S88" i="90"/>
  <c r="Q88" i="90"/>
  <c r="S90" i="90"/>
  <c r="Q90" i="90"/>
  <c r="P77" i="90"/>
  <c r="P85" i="90"/>
  <c r="P78" i="90"/>
  <c r="P80" i="90"/>
  <c r="Q43" i="90"/>
  <c r="Q57" i="89"/>
  <c r="I85" i="89"/>
  <c r="K85" i="89" s="1"/>
  <c r="L85" i="89" s="1"/>
  <c r="O85" i="89" s="1"/>
  <c r="N80" i="89"/>
  <c r="N91" i="89"/>
  <c r="O91" i="89" s="1"/>
  <c r="N83" i="89"/>
  <c r="N89" i="89"/>
  <c r="O89" i="89" s="1"/>
  <c r="Q70" i="89"/>
  <c r="N86" i="89"/>
  <c r="P72" i="89"/>
  <c r="Q87" i="89"/>
  <c r="S87" i="89"/>
  <c r="I50" i="89"/>
  <c r="K50" i="89" s="1"/>
  <c r="L50" i="89" s="1"/>
  <c r="O50" i="89" s="1"/>
  <c r="S55" i="89"/>
  <c r="H86" i="89"/>
  <c r="K86" i="89" s="1"/>
  <c r="L86" i="89" s="1"/>
  <c r="S88" i="89"/>
  <c r="Q88" i="89"/>
  <c r="S90" i="89"/>
  <c r="R80" i="89"/>
  <c r="R78" i="89"/>
  <c r="R85" i="89"/>
  <c r="R77" i="89"/>
  <c r="R84" i="89"/>
  <c r="S84" i="89" s="1"/>
  <c r="R83" i="89"/>
  <c r="R79" i="89"/>
  <c r="J14" i="89"/>
  <c r="P17" i="89"/>
  <c r="F17" i="89" s="1"/>
  <c r="R54" i="89" s="1"/>
  <c r="N66" i="89"/>
  <c r="P80" i="89"/>
  <c r="Q82" i="89"/>
  <c r="O83" i="89"/>
  <c r="Q84" i="89"/>
  <c r="Q43" i="89"/>
  <c r="Q72" i="89"/>
  <c r="P78" i="89"/>
  <c r="R81" i="89"/>
  <c r="R82" i="89"/>
  <c r="S82" i="89" s="1"/>
  <c r="Q90" i="89"/>
  <c r="P13" i="89"/>
  <c r="F13" i="89" s="1"/>
  <c r="R50" i="89" s="1"/>
  <c r="Q44" i="89"/>
  <c r="P45" i="89" s="1"/>
  <c r="N53" i="89" s="1"/>
  <c r="Q55" i="89"/>
  <c r="I78" i="89"/>
  <c r="K78" i="89" s="1"/>
  <c r="L78" i="89" s="1"/>
  <c r="O78" i="89" s="1"/>
  <c r="N79" i="89"/>
  <c r="R86" i="89"/>
  <c r="P86" i="89"/>
  <c r="K42" i="84"/>
  <c r="L42" i="84" s="1"/>
  <c r="M42" i="84" s="1"/>
  <c r="H20" i="86"/>
  <c r="H30" i="86"/>
  <c r="J30" i="86" s="1"/>
  <c r="O30" i="86" s="1"/>
  <c r="J39" i="86"/>
  <c r="O39" i="86" s="1"/>
  <c r="H28" i="86"/>
  <c r="N28" i="86" s="1"/>
  <c r="H47" i="86"/>
  <c r="J47" i="86" s="1"/>
  <c r="O47" i="86" s="1"/>
  <c r="H45" i="86"/>
  <c r="J45" i="86" s="1"/>
  <c r="O45" i="86" s="1"/>
  <c r="H52" i="87"/>
  <c r="N52" i="87" s="1"/>
  <c r="E23" i="87"/>
  <c r="E29" i="87" s="1"/>
  <c r="H48" i="87"/>
  <c r="J48" i="87" s="1"/>
  <c r="O48" i="87" s="1"/>
  <c r="D51" i="87"/>
  <c r="E63" i="87"/>
  <c r="E75" i="87" s="1"/>
  <c r="H75" i="87" s="1"/>
  <c r="E25" i="87"/>
  <c r="E37" i="87" s="1"/>
  <c r="H37" i="87" s="1"/>
  <c r="J37" i="87" s="1"/>
  <c r="D47" i="87"/>
  <c r="D49" i="87"/>
  <c r="H49" i="87" s="1"/>
  <c r="J49" i="87" s="1"/>
  <c r="O49" i="87" s="1"/>
  <c r="E53" i="87"/>
  <c r="H61" i="87"/>
  <c r="N61" i="87" s="1"/>
  <c r="E19" i="85"/>
  <c r="H19" i="85" s="1"/>
  <c r="J33" i="87"/>
  <c r="J34" i="87"/>
  <c r="N46" i="87"/>
  <c r="J46" i="87"/>
  <c r="O46" i="87" s="1"/>
  <c r="N54" i="87"/>
  <c r="J54" i="87"/>
  <c r="O54" i="87" s="1"/>
  <c r="J32" i="87"/>
  <c r="N48" i="87"/>
  <c r="E24" i="87"/>
  <c r="E71" i="87"/>
  <c r="H71" i="87" s="1"/>
  <c r="E65" i="87"/>
  <c r="H59" i="87"/>
  <c r="E62" i="87"/>
  <c r="J72" i="87"/>
  <c r="D90" i="87"/>
  <c r="D88" i="87"/>
  <c r="H87" i="87"/>
  <c r="E90" i="87"/>
  <c r="E88" i="87"/>
  <c r="E89" i="87"/>
  <c r="H89" i="87" s="1"/>
  <c r="E76" i="87"/>
  <c r="H76" i="87" s="1"/>
  <c r="E70" i="87"/>
  <c r="H64" i="87"/>
  <c r="H21" i="87"/>
  <c r="D86" i="87"/>
  <c r="H86" i="87" s="1"/>
  <c r="D84" i="87"/>
  <c r="H83" i="87"/>
  <c r="D85" i="87"/>
  <c r="N50" i="87"/>
  <c r="H20" i="87"/>
  <c r="E26" i="87"/>
  <c r="E27" i="87"/>
  <c r="E28" i="87"/>
  <c r="J44" i="87"/>
  <c r="O44" i="87" s="1"/>
  <c r="D94" i="87"/>
  <c r="H94" i="87" s="1"/>
  <c r="D92" i="87"/>
  <c r="H91" i="87"/>
  <c r="D93" i="87"/>
  <c r="E47" i="87"/>
  <c r="H47" i="87" s="1"/>
  <c r="E51" i="87"/>
  <c r="E55" i="87"/>
  <c r="H55" i="87" s="1"/>
  <c r="E85" i="87"/>
  <c r="E93" i="87"/>
  <c r="E66" i="87"/>
  <c r="E67" i="87"/>
  <c r="E73" i="87"/>
  <c r="H73" i="87" s="1"/>
  <c r="E84" i="87"/>
  <c r="E92" i="87"/>
  <c r="H24" i="86"/>
  <c r="N40" i="86"/>
  <c r="J40" i="86"/>
  <c r="O40" i="86" s="1"/>
  <c r="N44" i="86"/>
  <c r="J44" i="86"/>
  <c r="O44" i="86" s="1"/>
  <c r="N47" i="86"/>
  <c r="N54" i="86"/>
  <c r="J54" i="86"/>
  <c r="O54" i="86" s="1"/>
  <c r="N56" i="86"/>
  <c r="J56" i="86"/>
  <c r="O56" i="86" s="1"/>
  <c r="J29" i="86"/>
  <c r="O29" i="86" s="1"/>
  <c r="N29" i="86"/>
  <c r="N36" i="86"/>
  <c r="J41" i="86"/>
  <c r="O41" i="86" s="1"/>
  <c r="N41" i="86"/>
  <c r="J21" i="86"/>
  <c r="O21" i="86" s="1"/>
  <c r="N34" i="86"/>
  <c r="J34" i="86"/>
  <c r="O34" i="86" s="1"/>
  <c r="J31" i="86"/>
  <c r="O31" i="86" s="1"/>
  <c r="N31" i="86"/>
  <c r="J37" i="86"/>
  <c r="O37" i="86" s="1"/>
  <c r="N37" i="86"/>
  <c r="N45" i="86"/>
  <c r="N53" i="86"/>
  <c r="J53" i="86"/>
  <c r="O53" i="86" s="1"/>
  <c r="N55" i="86"/>
  <c r="J55" i="86"/>
  <c r="O55" i="86" s="1"/>
  <c r="N20" i="86"/>
  <c r="J20" i="86"/>
  <c r="O20" i="86" s="1"/>
  <c r="J35" i="86"/>
  <c r="O35" i="86" s="1"/>
  <c r="N35" i="86"/>
  <c r="J48" i="86"/>
  <c r="O48" i="86" s="1"/>
  <c r="N48" i="86"/>
  <c r="N25" i="86"/>
  <c r="J25" i="86"/>
  <c r="O25" i="86" s="1"/>
  <c r="N22" i="86"/>
  <c r="J22" i="86"/>
  <c r="O22" i="86" s="1"/>
  <c r="J26" i="86"/>
  <c r="O26" i="86" s="1"/>
  <c r="N32" i="86"/>
  <c r="J32" i="86"/>
  <c r="O32" i="86" s="1"/>
  <c r="N43" i="86"/>
  <c r="J43" i="86"/>
  <c r="O43" i="86" s="1"/>
  <c r="J46" i="86"/>
  <c r="O46" i="86" s="1"/>
  <c r="N46" i="86"/>
  <c r="N51" i="86"/>
  <c r="J42" i="86"/>
  <c r="O42" i="86" s="1"/>
  <c r="J49" i="86"/>
  <c r="O49" i="86" s="1"/>
  <c r="J50" i="86"/>
  <c r="O50" i="86" s="1"/>
  <c r="N59" i="86"/>
  <c r="N23" i="85"/>
  <c r="J23" i="85"/>
  <c r="O23" i="85" s="1"/>
  <c r="H22" i="85"/>
  <c r="N20" i="85"/>
  <c r="J20" i="85"/>
  <c r="O20" i="85" s="1"/>
  <c r="J18" i="85"/>
  <c r="O18" i="85" s="1"/>
  <c r="N18" i="85"/>
  <c r="E24" i="85"/>
  <c r="H24" i="85" s="1"/>
  <c r="E16" i="84"/>
  <c r="N9" i="84"/>
  <c r="M26" i="84"/>
  <c r="AC7" i="84"/>
  <c r="AE7" i="84" s="1"/>
  <c r="O18" i="27"/>
  <c r="O19" i="27" s="1"/>
  <c r="P19" i="27" s="1"/>
  <c r="P20" i="27" s="1"/>
  <c r="T259" i="91" l="1"/>
  <c r="P259" i="91"/>
  <c r="R259" i="91" s="1"/>
  <c r="T276" i="91"/>
  <c r="P276" i="91"/>
  <c r="R276" i="91" s="1"/>
  <c r="T308" i="91"/>
  <c r="P308" i="91"/>
  <c r="R308" i="91" s="1"/>
  <c r="J305" i="91"/>
  <c r="M305" i="91" s="1"/>
  <c r="J303" i="91"/>
  <c r="M303" i="91" s="1"/>
  <c r="T262" i="91"/>
  <c r="P262" i="91"/>
  <c r="R262" i="91" s="1"/>
  <c r="T237" i="91"/>
  <c r="P237" i="91"/>
  <c r="R237" i="91" s="1"/>
  <c r="P271" i="91"/>
  <c r="R271" i="91" s="1"/>
  <c r="T271" i="91"/>
  <c r="T286" i="91"/>
  <c r="P286" i="91"/>
  <c r="R286" i="91" s="1"/>
  <c r="T296" i="91"/>
  <c r="P296" i="91"/>
  <c r="R296" i="91" s="1"/>
  <c r="J300" i="91"/>
  <c r="M300" i="91" s="1"/>
  <c r="J302" i="91"/>
  <c r="M302" i="91" s="1"/>
  <c r="J307" i="91"/>
  <c r="M307" i="91" s="1"/>
  <c r="T252" i="91"/>
  <c r="P252" i="91"/>
  <c r="R252" i="91" s="1"/>
  <c r="V251" i="91" s="1"/>
  <c r="T297" i="91"/>
  <c r="P297" i="91"/>
  <c r="R297" i="91" s="1"/>
  <c r="T269" i="91"/>
  <c r="P269" i="91"/>
  <c r="R269" i="91" s="1"/>
  <c r="I291" i="91"/>
  <c r="J268" i="91"/>
  <c r="M268" i="91" s="1"/>
  <c r="T287" i="91"/>
  <c r="P287" i="91"/>
  <c r="R287" i="91" s="1"/>
  <c r="J304" i="91"/>
  <c r="M304" i="91" s="1"/>
  <c r="J306" i="91"/>
  <c r="M306" i="91" s="1"/>
  <c r="T295" i="91"/>
  <c r="P295" i="91"/>
  <c r="R295" i="91" s="1"/>
  <c r="S238" i="91"/>
  <c r="E238" i="91"/>
  <c r="D238" i="91"/>
  <c r="K238" i="91"/>
  <c r="M238" i="91" s="1"/>
  <c r="P241" i="91"/>
  <c r="R241" i="91" s="1"/>
  <c r="T241" i="91"/>
  <c r="P272" i="91"/>
  <c r="R272" i="91" s="1"/>
  <c r="T272" i="91"/>
  <c r="T270" i="91"/>
  <c r="P270" i="91"/>
  <c r="R270" i="91" s="1"/>
  <c r="T288" i="91"/>
  <c r="P288" i="91"/>
  <c r="R288" i="91" s="1"/>
  <c r="T279" i="91"/>
  <c r="P279" i="91"/>
  <c r="R279" i="91" s="1"/>
  <c r="J301" i="91"/>
  <c r="M301" i="91" s="1"/>
  <c r="T299" i="91"/>
  <c r="P299" i="91"/>
  <c r="R299" i="91" s="1"/>
  <c r="T242" i="91"/>
  <c r="P242" i="91"/>
  <c r="R242" i="91" s="1"/>
  <c r="T246" i="91"/>
  <c r="P246" i="91"/>
  <c r="R246" i="91" s="1"/>
  <c r="V239" i="91" s="1"/>
  <c r="T278" i="91"/>
  <c r="P278" i="91"/>
  <c r="R278" i="91" s="1"/>
  <c r="T294" i="91"/>
  <c r="P294" i="91"/>
  <c r="R294" i="91" s="1"/>
  <c r="T285" i="91"/>
  <c r="P285" i="91"/>
  <c r="R285" i="91" s="1"/>
  <c r="O86" i="89"/>
  <c r="P72" i="90"/>
  <c r="S82" i="90"/>
  <c r="Q50" i="90"/>
  <c r="O86" i="90"/>
  <c r="S86" i="90" s="1"/>
  <c r="O83" i="90"/>
  <c r="Q83" i="90" s="1"/>
  <c r="J28" i="86"/>
  <c r="O28" i="86" s="1"/>
  <c r="N30" i="86"/>
  <c r="J61" i="87"/>
  <c r="O61" i="87" s="1"/>
  <c r="H53" i="87"/>
  <c r="J53" i="87" s="1"/>
  <c r="O53" i="87" s="1"/>
  <c r="H88" i="87"/>
  <c r="S84" i="90"/>
  <c r="N52" i="86"/>
  <c r="J38" i="86"/>
  <c r="O38" i="86" s="1"/>
  <c r="J27" i="86"/>
  <c r="O27" i="86" s="1"/>
  <c r="N60" i="87"/>
  <c r="N49" i="87"/>
  <c r="J45" i="87"/>
  <c r="O45" i="87" s="1"/>
  <c r="N45" i="87"/>
  <c r="H93" i="87"/>
  <c r="H63" i="87"/>
  <c r="J63" i="87" s="1"/>
  <c r="O63" i="87" s="1"/>
  <c r="J52" i="87"/>
  <c r="O52" i="87" s="1"/>
  <c r="E69" i="87"/>
  <c r="N22" i="87"/>
  <c r="S85" i="90"/>
  <c r="Q85" i="90"/>
  <c r="J64" i="90"/>
  <c r="P46" i="90"/>
  <c r="Q46" i="90" s="1"/>
  <c r="B58" i="90" s="1"/>
  <c r="I52" i="90"/>
  <c r="K52" i="90" s="1"/>
  <c r="L52" i="90" s="1"/>
  <c r="O52" i="90" s="1"/>
  <c r="I51" i="90"/>
  <c r="K51" i="90" s="1"/>
  <c r="L51" i="90" s="1"/>
  <c r="O51" i="90" s="1"/>
  <c r="I77" i="90"/>
  <c r="K77" i="90" s="1"/>
  <c r="L77" i="90" s="1"/>
  <c r="O77" i="90" s="1"/>
  <c r="P73" i="90"/>
  <c r="Q73" i="90" s="1"/>
  <c r="I79" i="90"/>
  <c r="K79" i="90" s="1"/>
  <c r="L79" i="90" s="1"/>
  <c r="O79" i="90" s="1"/>
  <c r="N56" i="90"/>
  <c r="O56" i="90" s="1"/>
  <c r="I65" i="90"/>
  <c r="K65" i="90" s="1"/>
  <c r="K64" i="90"/>
  <c r="I66" i="90"/>
  <c r="K66" i="90" s="1"/>
  <c r="Q78" i="90"/>
  <c r="S78" i="90"/>
  <c r="S91" i="90"/>
  <c r="Q91" i="90"/>
  <c r="S89" i="90"/>
  <c r="Q89" i="90"/>
  <c r="I80" i="90"/>
  <c r="K80" i="90" s="1"/>
  <c r="L80" i="90" s="1"/>
  <c r="O80" i="90" s="1"/>
  <c r="I81" i="90"/>
  <c r="K81" i="90" s="1"/>
  <c r="L81" i="90" s="1"/>
  <c r="O81" i="90" s="1"/>
  <c r="I53" i="90"/>
  <c r="I54" i="90"/>
  <c r="K54" i="90" s="1"/>
  <c r="L54" i="90" s="1"/>
  <c r="K53" i="90"/>
  <c r="L53" i="90" s="1"/>
  <c r="O53" i="90" s="1"/>
  <c r="Q78" i="89"/>
  <c r="S78" i="89"/>
  <c r="N56" i="89"/>
  <c r="O56" i="89" s="1"/>
  <c r="I77" i="89"/>
  <c r="K77" i="89" s="1"/>
  <c r="L77" i="89" s="1"/>
  <c r="O77" i="89" s="1"/>
  <c r="P73" i="89"/>
  <c r="Q73" i="89" s="1"/>
  <c r="I79" i="89"/>
  <c r="K79" i="89" s="1"/>
  <c r="L79" i="89" s="1"/>
  <c r="O79" i="89" s="1"/>
  <c r="P46" i="89"/>
  <c r="Q46" i="89" s="1"/>
  <c r="B58" i="89" s="1"/>
  <c r="I51" i="89"/>
  <c r="K51" i="89" s="1"/>
  <c r="L51" i="89" s="1"/>
  <c r="O51" i="89" s="1"/>
  <c r="I52" i="89"/>
  <c r="K52" i="89" s="1"/>
  <c r="L52" i="89" s="1"/>
  <c r="S83" i="89"/>
  <c r="Q83" i="89"/>
  <c r="S91" i="89"/>
  <c r="Q91" i="89"/>
  <c r="J64" i="89"/>
  <c r="S89" i="89"/>
  <c r="Q89" i="89"/>
  <c r="S50" i="89"/>
  <c r="Q50" i="89"/>
  <c r="N52" i="89"/>
  <c r="I64" i="89"/>
  <c r="S85" i="89"/>
  <c r="Q85" i="89"/>
  <c r="I80" i="89"/>
  <c r="K80" i="89" s="1"/>
  <c r="L80" i="89" s="1"/>
  <c r="O80" i="89" s="1"/>
  <c r="I81" i="89"/>
  <c r="K81" i="89" s="1"/>
  <c r="L81" i="89" s="1"/>
  <c r="O81" i="89" s="1"/>
  <c r="Q86" i="89"/>
  <c r="S86" i="89"/>
  <c r="Q45" i="89"/>
  <c r="H51" i="87"/>
  <c r="N51" i="87" s="1"/>
  <c r="E31" i="87"/>
  <c r="E43" i="87" s="1"/>
  <c r="H43" i="87" s="1"/>
  <c r="H25" i="87"/>
  <c r="E35" i="87"/>
  <c r="H35" i="87" s="1"/>
  <c r="J35" i="87" s="1"/>
  <c r="H23" i="87"/>
  <c r="N19" i="85"/>
  <c r="J19" i="85"/>
  <c r="O19" i="85" s="1"/>
  <c r="J55" i="87"/>
  <c r="O55" i="87" s="1"/>
  <c r="N55" i="87"/>
  <c r="J51" i="87"/>
  <c r="O51" i="87" s="1"/>
  <c r="J73" i="87"/>
  <c r="E40" i="87"/>
  <c r="H40" i="87" s="1"/>
  <c r="H28" i="87"/>
  <c r="J83" i="87"/>
  <c r="O83" i="87" s="1"/>
  <c r="N83" i="87"/>
  <c r="J21" i="87"/>
  <c r="O21" i="87" s="1"/>
  <c r="N21" i="87"/>
  <c r="J87" i="87"/>
  <c r="O87" i="87" s="1"/>
  <c r="N87" i="87"/>
  <c r="H67" i="87"/>
  <c r="E79" i="87"/>
  <c r="H79" i="87" s="1"/>
  <c r="J91" i="87"/>
  <c r="O91" i="87" s="1"/>
  <c r="N91" i="87"/>
  <c r="H69" i="87"/>
  <c r="E81" i="87"/>
  <c r="H81" i="87" s="1"/>
  <c r="E39" i="87"/>
  <c r="H39" i="87" s="1"/>
  <c r="H27" i="87"/>
  <c r="H84" i="87"/>
  <c r="J64" i="87"/>
  <c r="O64" i="87" s="1"/>
  <c r="N64" i="87"/>
  <c r="N88" i="87"/>
  <c r="J88" i="87"/>
  <c r="O88" i="87" s="1"/>
  <c r="J59" i="87"/>
  <c r="O59" i="87" s="1"/>
  <c r="N59" i="87"/>
  <c r="O37" i="87"/>
  <c r="L37" i="87"/>
  <c r="N37" i="87" s="1"/>
  <c r="J93" i="87"/>
  <c r="O93" i="87" s="1"/>
  <c r="N93" i="87"/>
  <c r="J89" i="87"/>
  <c r="O89" i="87" s="1"/>
  <c r="N89" i="87"/>
  <c r="J47" i="87"/>
  <c r="O47" i="87" s="1"/>
  <c r="N47" i="87"/>
  <c r="H62" i="87"/>
  <c r="E74" i="87"/>
  <c r="H74" i="87" s="1"/>
  <c r="E68" i="87"/>
  <c r="H66" i="87"/>
  <c r="E78" i="87"/>
  <c r="H78" i="87" s="1"/>
  <c r="H92" i="87"/>
  <c r="J75" i="87"/>
  <c r="E38" i="87"/>
  <c r="H38" i="87" s="1"/>
  <c r="H26" i="87"/>
  <c r="N86" i="87"/>
  <c r="J86" i="87"/>
  <c r="O86" i="87" s="1"/>
  <c r="H70" i="87"/>
  <c r="E82" i="87"/>
  <c r="H82" i="87" s="1"/>
  <c r="H90" i="87"/>
  <c r="H65" i="87"/>
  <c r="E77" i="87"/>
  <c r="H77" i="87" s="1"/>
  <c r="L35" i="87"/>
  <c r="N35" i="87" s="1"/>
  <c r="O35" i="87"/>
  <c r="N94" i="87"/>
  <c r="J94" i="87"/>
  <c r="O94" i="87" s="1"/>
  <c r="E41" i="87"/>
  <c r="H41" i="87" s="1"/>
  <c r="H29" i="87"/>
  <c r="N20" i="87"/>
  <c r="J20" i="87"/>
  <c r="O20" i="87" s="1"/>
  <c r="H85" i="87"/>
  <c r="J25" i="87"/>
  <c r="O25" i="87" s="1"/>
  <c r="N25" i="87"/>
  <c r="J76" i="87"/>
  <c r="L72" i="87"/>
  <c r="N72" i="87" s="1"/>
  <c r="O72" i="87"/>
  <c r="J71" i="87"/>
  <c r="E36" i="87"/>
  <c r="H36" i="87" s="1"/>
  <c r="E30" i="87"/>
  <c r="H24" i="87"/>
  <c r="L32" i="87"/>
  <c r="N32" i="87" s="1"/>
  <c r="O32" i="87"/>
  <c r="L34" i="87"/>
  <c r="N34" i="87" s="1"/>
  <c r="O34" i="87"/>
  <c r="L33" i="87"/>
  <c r="N33" i="87" s="1"/>
  <c r="O33" i="87"/>
  <c r="N24" i="86"/>
  <c r="N60" i="86" s="1"/>
  <c r="J24" i="86"/>
  <c r="O24" i="86" s="1"/>
  <c r="O60" i="86" s="1"/>
  <c r="M24" i="84" s="1"/>
  <c r="L24" i="84" s="1"/>
  <c r="J24" i="85"/>
  <c r="O24" i="85" s="1"/>
  <c r="N24" i="85"/>
  <c r="J22" i="85"/>
  <c r="O22" i="85" s="1"/>
  <c r="N22" i="85"/>
  <c r="AE13" i="84"/>
  <c r="E23" i="84" s="1"/>
  <c r="N23" i="84" s="1"/>
  <c r="AG7" i="84"/>
  <c r="E17" i="84"/>
  <c r="N17" i="84" s="1"/>
  <c r="N16" i="84"/>
  <c r="J291" i="91" l="1"/>
  <c r="M291" i="91" s="1"/>
  <c r="I293" i="91"/>
  <c r="J293" i="91" s="1"/>
  <c r="M293" i="91" s="1"/>
  <c r="I292" i="91"/>
  <c r="J292" i="91" s="1"/>
  <c r="M292" i="91" s="1"/>
  <c r="T302" i="91"/>
  <c r="P302" i="91"/>
  <c r="R302" i="91" s="1"/>
  <c r="T303" i="91"/>
  <c r="P303" i="91"/>
  <c r="R303" i="91" s="1"/>
  <c r="T238" i="91"/>
  <c r="P238" i="91"/>
  <c r="R238" i="91" s="1"/>
  <c r="T300" i="91"/>
  <c r="P300" i="91"/>
  <c r="R300" i="91" s="1"/>
  <c r="T305" i="91"/>
  <c r="P305" i="91"/>
  <c r="R305" i="91" s="1"/>
  <c r="T306" i="91"/>
  <c r="P306" i="91"/>
  <c r="R306" i="91" s="1"/>
  <c r="P301" i="91"/>
  <c r="R301" i="91" s="1"/>
  <c r="V298" i="91" s="1"/>
  <c r="T301" i="91"/>
  <c r="T304" i="91"/>
  <c r="P304" i="91"/>
  <c r="R304" i="91" s="1"/>
  <c r="T268" i="91"/>
  <c r="P268" i="91"/>
  <c r="R268" i="91" s="1"/>
  <c r="T307" i="91"/>
  <c r="P307" i="91"/>
  <c r="R307" i="91" s="1"/>
  <c r="O52" i="89"/>
  <c r="Q86" i="90"/>
  <c r="S83" i="90"/>
  <c r="N53" i="87"/>
  <c r="O25" i="85"/>
  <c r="M23" i="84" s="1"/>
  <c r="L23" i="84" s="1"/>
  <c r="N63" i="87"/>
  <c r="H31" i="87"/>
  <c r="J31" i="87" s="1"/>
  <c r="O31" i="87" s="1"/>
  <c r="N25" i="85"/>
  <c r="P58" i="90"/>
  <c r="Q58" i="90" s="1"/>
  <c r="D58" i="90"/>
  <c r="R58" i="90"/>
  <c r="S58" i="90" s="1"/>
  <c r="S53" i="90"/>
  <c r="Q53" i="90"/>
  <c r="Q81" i="90"/>
  <c r="S81" i="90"/>
  <c r="N54" i="90"/>
  <c r="O54" i="90" s="1"/>
  <c r="S77" i="90"/>
  <c r="Q77" i="90"/>
  <c r="J66" i="90"/>
  <c r="L66" i="90" s="1"/>
  <c r="S66" i="90" s="1"/>
  <c r="J65" i="90"/>
  <c r="L65" i="90" s="1"/>
  <c r="S65" i="90" s="1"/>
  <c r="L64" i="90"/>
  <c r="S64" i="90" s="1"/>
  <c r="Q80" i="90"/>
  <c r="S80" i="90"/>
  <c r="S56" i="90"/>
  <c r="Q56" i="90"/>
  <c r="S51" i="90"/>
  <c r="Q51" i="90"/>
  <c r="S79" i="90"/>
  <c r="Q79" i="90"/>
  <c r="Q52" i="90"/>
  <c r="S52" i="90"/>
  <c r="I53" i="89"/>
  <c r="I54" i="89"/>
  <c r="K54" i="89" s="1"/>
  <c r="L54" i="89" s="1"/>
  <c r="K53" i="89"/>
  <c r="L53" i="89" s="1"/>
  <c r="O53" i="89" s="1"/>
  <c r="Q80" i="89"/>
  <c r="S80" i="89"/>
  <c r="P58" i="89"/>
  <c r="Q58" i="89" s="1"/>
  <c r="D58" i="89"/>
  <c r="R58" i="89"/>
  <c r="S58" i="89" s="1"/>
  <c r="N54" i="89"/>
  <c r="Q81" i="89"/>
  <c r="S81" i="89"/>
  <c r="J66" i="89"/>
  <c r="J65" i="89"/>
  <c r="S79" i="89"/>
  <c r="Q79" i="89"/>
  <c r="S56" i="89"/>
  <c r="Q56" i="89"/>
  <c r="Q52" i="89"/>
  <c r="S52" i="89"/>
  <c r="I65" i="89"/>
  <c r="K65" i="89" s="1"/>
  <c r="K64" i="89"/>
  <c r="L64" i="89" s="1"/>
  <c r="S64" i="89" s="1"/>
  <c r="I66" i="89"/>
  <c r="K66" i="89" s="1"/>
  <c r="S51" i="89"/>
  <c r="Q51" i="89"/>
  <c r="S77" i="89"/>
  <c r="Q77" i="89"/>
  <c r="N23" i="87"/>
  <c r="J23" i="87"/>
  <c r="O23" i="87" s="1"/>
  <c r="E18" i="84"/>
  <c r="E19" i="84" s="1"/>
  <c r="N90" i="87"/>
  <c r="J90" i="87"/>
  <c r="O90" i="87" s="1"/>
  <c r="J78" i="87"/>
  <c r="L76" i="87"/>
  <c r="N76" i="87" s="1"/>
  <c r="O76" i="87"/>
  <c r="J85" i="87"/>
  <c r="O85" i="87" s="1"/>
  <c r="N85" i="87"/>
  <c r="J41" i="87"/>
  <c r="J82" i="87"/>
  <c r="N26" i="87"/>
  <c r="J26" i="87"/>
  <c r="O26" i="87" s="1"/>
  <c r="N66" i="87"/>
  <c r="J66" i="87"/>
  <c r="O66" i="87" s="1"/>
  <c r="N84" i="87"/>
  <c r="J84" i="87"/>
  <c r="O84" i="87" s="1"/>
  <c r="N69" i="87"/>
  <c r="J69" i="87"/>
  <c r="O69" i="87" s="1"/>
  <c r="N67" i="87"/>
  <c r="J67" i="87"/>
  <c r="O67" i="87" s="1"/>
  <c r="J40" i="87"/>
  <c r="N29" i="87"/>
  <c r="J29" i="87"/>
  <c r="O29" i="87" s="1"/>
  <c r="N62" i="87"/>
  <c r="J62" i="87"/>
  <c r="O62" i="87" s="1"/>
  <c r="J81" i="87"/>
  <c r="N24" i="87"/>
  <c r="J24" i="87"/>
  <c r="O24" i="87" s="1"/>
  <c r="J77" i="87"/>
  <c r="N70" i="87"/>
  <c r="J70" i="87"/>
  <c r="O70" i="87" s="1"/>
  <c r="J38" i="87"/>
  <c r="L75" i="87"/>
  <c r="N75" i="87" s="1"/>
  <c r="O75" i="87"/>
  <c r="E80" i="87"/>
  <c r="H80" i="87" s="1"/>
  <c r="H68" i="87"/>
  <c r="N27" i="87"/>
  <c r="J27" i="87"/>
  <c r="O27" i="87" s="1"/>
  <c r="L73" i="87"/>
  <c r="N73" i="87" s="1"/>
  <c r="O73" i="87"/>
  <c r="J36" i="87"/>
  <c r="J43" i="87"/>
  <c r="J79" i="87"/>
  <c r="N28" i="87"/>
  <c r="J28" i="87"/>
  <c r="O28" i="87" s="1"/>
  <c r="L71" i="87"/>
  <c r="N71" i="87" s="1"/>
  <c r="O71" i="87"/>
  <c r="E42" i="87"/>
  <c r="H42" i="87" s="1"/>
  <c r="H30" i="87"/>
  <c r="N65" i="87"/>
  <c r="J65" i="87"/>
  <c r="O65" i="87" s="1"/>
  <c r="N92" i="87"/>
  <c r="J92" i="87"/>
  <c r="O92" i="87" s="1"/>
  <c r="J74" i="87"/>
  <c r="J39" i="87"/>
  <c r="AG13" i="84"/>
  <c r="AH13" i="84" s="1"/>
  <c r="AI7" i="84"/>
  <c r="T292" i="91" l="1"/>
  <c r="P292" i="91"/>
  <c r="R292" i="91" s="1"/>
  <c r="T293" i="91"/>
  <c r="P293" i="91"/>
  <c r="R293" i="91" s="1"/>
  <c r="V235" i="91"/>
  <c r="T291" i="91"/>
  <c r="P291" i="91"/>
  <c r="R291" i="91" s="1"/>
  <c r="V267" i="91" s="1"/>
  <c r="T313" i="91"/>
  <c r="N31" i="87"/>
  <c r="S92" i="89"/>
  <c r="S94" i="89" s="1"/>
  <c r="S95" i="89" s="1"/>
  <c r="Q54" i="90"/>
  <c r="Q59" i="90" s="1"/>
  <c r="S54" i="90"/>
  <c r="S59" i="90" s="1"/>
  <c r="Q92" i="90"/>
  <c r="S92" i="90"/>
  <c r="S94" i="90" s="1"/>
  <c r="L65" i="89"/>
  <c r="S65" i="89" s="1"/>
  <c r="S53" i="89"/>
  <c r="Q53" i="89"/>
  <c r="O54" i="89"/>
  <c r="Q92" i="89"/>
  <c r="L66" i="89"/>
  <c r="S66" i="89" s="1"/>
  <c r="L74" i="87"/>
  <c r="N74" i="87" s="1"/>
  <c r="O74" i="87"/>
  <c r="N30" i="87"/>
  <c r="J30" i="87"/>
  <c r="O30" i="87" s="1"/>
  <c r="N68" i="87"/>
  <c r="J68" i="87"/>
  <c r="O68" i="87" s="1"/>
  <c r="L77" i="87"/>
  <c r="N77" i="87" s="1"/>
  <c r="O77" i="87"/>
  <c r="O82" i="87"/>
  <c r="L82" i="87"/>
  <c r="N82" i="87" s="1"/>
  <c r="O78" i="87"/>
  <c r="L78" i="87"/>
  <c r="N78" i="87" s="1"/>
  <c r="O79" i="87"/>
  <c r="L79" i="87"/>
  <c r="N79" i="87" s="1"/>
  <c r="L39" i="87"/>
  <c r="N39" i="87" s="1"/>
  <c r="O39" i="87"/>
  <c r="J42" i="87"/>
  <c r="L43" i="87"/>
  <c r="N43" i="87" s="1"/>
  <c r="O43" i="87"/>
  <c r="J80" i="87"/>
  <c r="O38" i="87"/>
  <c r="L38" i="87"/>
  <c r="N38" i="87" s="1"/>
  <c r="L81" i="87"/>
  <c r="N81" i="87" s="1"/>
  <c r="O81" i="87"/>
  <c r="L40" i="87"/>
  <c r="N40" i="87" s="1"/>
  <c r="O40" i="87"/>
  <c r="L36" i="87"/>
  <c r="N36" i="87" s="1"/>
  <c r="O36" i="87"/>
  <c r="O41" i="87"/>
  <c r="L41" i="87"/>
  <c r="N41" i="87" s="1"/>
  <c r="V313" i="91" l="1"/>
  <c r="W235" i="91"/>
  <c r="R313" i="91"/>
  <c r="R315" i="91" s="1"/>
  <c r="R316" i="91" s="1"/>
  <c r="S93" i="89"/>
  <c r="G28" i="84"/>
  <c r="S61" i="90"/>
  <c r="T59" i="90"/>
  <c r="S95" i="90"/>
  <c r="S93" i="90"/>
  <c r="Q54" i="89"/>
  <c r="Q59" i="89" s="1"/>
  <c r="S54" i="89"/>
  <c r="S59" i="89" s="1"/>
  <c r="G29" i="84" s="1"/>
  <c r="L80" i="87"/>
  <c r="N80" i="87" s="1"/>
  <c r="O80" i="87"/>
  <c r="O42" i="87"/>
  <c r="L42" i="87"/>
  <c r="N42" i="87" s="1"/>
  <c r="W247" i="91" l="1"/>
  <c r="W309" i="91"/>
  <c r="W239" i="91"/>
  <c r="W313" i="91" s="1"/>
  <c r="W251" i="91"/>
  <c r="W298" i="91"/>
  <c r="W267" i="91"/>
  <c r="N96" i="87"/>
  <c r="O96" i="87"/>
  <c r="M21" i="84" s="1"/>
  <c r="L21" i="84" s="1"/>
  <c r="S60" i="90"/>
  <c r="T61" i="90"/>
  <c r="S61" i="89"/>
  <c r="T59" i="89"/>
  <c r="K61" i="84" l="1"/>
  <c r="L61" i="84" s="1"/>
  <c r="M61" i="84" s="1"/>
  <c r="S60" i="89"/>
  <c r="T61" i="89"/>
  <c r="K40" i="27" l="1"/>
  <c r="L40" i="27" s="1"/>
  <c r="K29" i="27" l="1"/>
  <c r="L29" i="27" s="1"/>
  <c r="K28" i="84"/>
  <c r="L28" i="84" s="1"/>
  <c r="M28" i="84" s="1"/>
  <c r="K29" i="84" l="1"/>
  <c r="L29" i="84" s="1"/>
  <c r="M29" i="84" s="1"/>
  <c r="Y8" i="35" l="1"/>
  <c r="J20" i="56" l="1"/>
  <c r="H20" i="56"/>
  <c r="F20" i="56"/>
  <c r="R19" i="56"/>
  <c r="P19" i="56"/>
  <c r="N19" i="56"/>
  <c r="G39" i="56" s="1"/>
  <c r="H39" i="56" s="1"/>
  <c r="L19" i="56"/>
  <c r="J19" i="56"/>
  <c r="H19" i="56"/>
  <c r="F19" i="56"/>
  <c r="R18" i="56"/>
  <c r="P18" i="56"/>
  <c r="N18" i="56"/>
  <c r="L18" i="56"/>
  <c r="E38" i="56" s="1"/>
  <c r="F38" i="56" s="1"/>
  <c r="J18" i="56"/>
  <c r="I38" i="56" s="1"/>
  <c r="J38" i="56" s="1"/>
  <c r="H18" i="56"/>
  <c r="F18" i="56"/>
  <c r="R17" i="56"/>
  <c r="P17" i="56"/>
  <c r="N17" i="56"/>
  <c r="L17" i="56"/>
  <c r="J17" i="56"/>
  <c r="H17" i="56"/>
  <c r="G37" i="56" s="1"/>
  <c r="H37" i="56" s="1"/>
  <c r="F17" i="56"/>
  <c r="R16" i="56"/>
  <c r="P16" i="56"/>
  <c r="I36" i="56" s="1"/>
  <c r="J36" i="56" s="1"/>
  <c r="N16" i="56"/>
  <c r="L16" i="56"/>
  <c r="J16" i="56"/>
  <c r="H16" i="56"/>
  <c r="F16" i="56"/>
  <c r="E36" i="56" s="1"/>
  <c r="F36" i="56" s="1"/>
  <c r="R15" i="56"/>
  <c r="P15" i="56"/>
  <c r="N15" i="56"/>
  <c r="G35" i="56" s="1"/>
  <c r="H35" i="56" s="1"/>
  <c r="L15" i="56"/>
  <c r="J15" i="56"/>
  <c r="H15" i="56"/>
  <c r="F15" i="56"/>
  <c r="R14" i="56"/>
  <c r="P14" i="56"/>
  <c r="N14" i="56"/>
  <c r="L14" i="56"/>
  <c r="E34" i="56" s="1"/>
  <c r="F34" i="56" s="1"/>
  <c r="J14" i="56"/>
  <c r="I34" i="56" s="1"/>
  <c r="J34" i="56" s="1"/>
  <c r="H14" i="56"/>
  <c r="F14" i="56"/>
  <c r="R13" i="56"/>
  <c r="P13" i="56"/>
  <c r="N13" i="56"/>
  <c r="L13" i="56"/>
  <c r="J13" i="56"/>
  <c r="H13" i="56"/>
  <c r="G33" i="56" s="1"/>
  <c r="H33" i="56" s="1"/>
  <c r="F13" i="56"/>
  <c r="R12" i="56"/>
  <c r="P12" i="56"/>
  <c r="I32" i="56" s="1"/>
  <c r="J32" i="56" s="1"/>
  <c r="N12" i="56"/>
  <c r="L12" i="56"/>
  <c r="J12" i="56"/>
  <c r="H12" i="56"/>
  <c r="F12" i="56"/>
  <c r="E32" i="56" s="1"/>
  <c r="F32" i="56" s="1"/>
  <c r="R11" i="56"/>
  <c r="P11" i="56"/>
  <c r="N11" i="56"/>
  <c r="G31" i="56" s="1"/>
  <c r="H31" i="56" s="1"/>
  <c r="L11" i="56"/>
  <c r="J11" i="56"/>
  <c r="H11" i="56"/>
  <c r="F11" i="56"/>
  <c r="R10" i="56"/>
  <c r="P10" i="56"/>
  <c r="N10" i="56"/>
  <c r="L10" i="56"/>
  <c r="E30" i="56" s="1"/>
  <c r="F30" i="56" s="1"/>
  <c r="J10" i="56"/>
  <c r="I30" i="56" s="1"/>
  <c r="J30" i="56" s="1"/>
  <c r="H10" i="56"/>
  <c r="F10" i="56"/>
  <c r="R9" i="56"/>
  <c r="P9" i="56"/>
  <c r="N9" i="56"/>
  <c r="L9" i="56"/>
  <c r="J9" i="56"/>
  <c r="H9" i="56"/>
  <c r="G29" i="56" s="1"/>
  <c r="H29" i="56" s="1"/>
  <c r="F9" i="56"/>
  <c r="R8" i="56"/>
  <c r="P8" i="56"/>
  <c r="I28" i="56" s="1"/>
  <c r="J28" i="56" s="1"/>
  <c r="N8" i="56"/>
  <c r="L8" i="56"/>
  <c r="J8" i="56"/>
  <c r="H8" i="56"/>
  <c r="F8" i="56"/>
  <c r="E28" i="56" s="1"/>
  <c r="F28" i="56" s="1"/>
  <c r="R7" i="56"/>
  <c r="P7" i="56"/>
  <c r="G27" i="56"/>
  <c r="H27" i="56" s="1"/>
  <c r="L7" i="56"/>
  <c r="J7" i="56"/>
  <c r="I27" i="56" s="1"/>
  <c r="J27" i="56" s="1"/>
  <c r="H7" i="56"/>
  <c r="F7" i="56"/>
  <c r="E27" i="56" l="1"/>
  <c r="F27" i="56" s="1"/>
  <c r="E31" i="56"/>
  <c r="F31" i="56" s="1"/>
  <c r="I33" i="56"/>
  <c r="J33" i="56" s="1"/>
  <c r="G36" i="56"/>
  <c r="H36" i="56" s="1"/>
  <c r="I37" i="56"/>
  <c r="J37" i="56" s="1"/>
  <c r="E39" i="56"/>
  <c r="F39" i="56" s="1"/>
  <c r="G28" i="56"/>
  <c r="H28" i="56" s="1"/>
  <c r="I29" i="56"/>
  <c r="J29" i="56" s="1"/>
  <c r="G32" i="56"/>
  <c r="H32" i="56" s="1"/>
  <c r="E35" i="56"/>
  <c r="F35" i="56" s="1"/>
  <c r="E29" i="56"/>
  <c r="F29" i="56" s="1"/>
  <c r="G30" i="56"/>
  <c r="H30" i="56" s="1"/>
  <c r="I31" i="56"/>
  <c r="J31" i="56" s="1"/>
  <c r="E33" i="56"/>
  <c r="F33" i="56" s="1"/>
  <c r="G34" i="56"/>
  <c r="H34" i="56" s="1"/>
  <c r="I35" i="56"/>
  <c r="J35" i="56" s="1"/>
  <c r="E37" i="56"/>
  <c r="F37" i="56" s="1"/>
  <c r="G38" i="56"/>
  <c r="H38" i="56" s="1"/>
  <c r="I39" i="56"/>
  <c r="J39" i="56" s="1"/>
  <c r="J14" i="51"/>
  <c r="J13" i="51"/>
  <c r="J12" i="51"/>
  <c r="J11" i="51"/>
  <c r="J10" i="51"/>
  <c r="J9" i="51"/>
  <c r="J8" i="51"/>
  <c r="J7" i="51"/>
  <c r="J6" i="51"/>
  <c r="J5" i="51"/>
  <c r="J4" i="51"/>
  <c r="Q59" i="27" l="1"/>
  <c r="R59" i="27" l="1"/>
  <c r="L11" i="27" l="1"/>
  <c r="AA639" i="42" l="1"/>
  <c r="AA627" i="42"/>
  <c r="AA624" i="42"/>
  <c r="AA623" i="42"/>
  <c r="AA622" i="42"/>
  <c r="AA617" i="42"/>
  <c r="AA588" i="42"/>
  <c r="AA559" i="42"/>
  <c r="AA532" i="42"/>
  <c r="AA500" i="42"/>
  <c r="AA440" i="42"/>
  <c r="AA413" i="42"/>
  <c r="AA372" i="42"/>
  <c r="AA352" i="42"/>
  <c r="AA341" i="42"/>
  <c r="AA330" i="42"/>
  <c r="AA298" i="42"/>
  <c r="AA278" i="42"/>
  <c r="AA251" i="42"/>
  <c r="AA243" i="42"/>
  <c r="AA235" i="42"/>
  <c r="AA227" i="42"/>
  <c r="AA219" i="42"/>
  <c r="AA188" i="42"/>
  <c r="AA187" i="42"/>
  <c r="AA185" i="42"/>
  <c r="AA183" i="42"/>
  <c r="AA181" i="42"/>
  <c r="AA179" i="42"/>
  <c r="AA170" i="42"/>
  <c r="AA169" i="42"/>
  <c r="AA167" i="42"/>
  <c r="AA165" i="42"/>
  <c r="AA163" i="42"/>
  <c r="AA161" i="42"/>
  <c r="AA152" i="42"/>
  <c r="AA151" i="42"/>
  <c r="AA145" i="42"/>
  <c r="AA144" i="42"/>
  <c r="AA138" i="42"/>
  <c r="AA136" i="42"/>
  <c r="AA134" i="42"/>
  <c r="AA132" i="42"/>
  <c r="AA130" i="42"/>
  <c r="AA128" i="42"/>
  <c r="AA127" i="42"/>
  <c r="AA125" i="42"/>
  <c r="AA123" i="42"/>
  <c r="AA121" i="42"/>
  <c r="AA119" i="42"/>
  <c r="AA117" i="42"/>
  <c r="AA115" i="42"/>
  <c r="AA113" i="42"/>
  <c r="AA110" i="42"/>
  <c r="AA108" i="42"/>
  <c r="AA106" i="42"/>
  <c r="AA104" i="42"/>
  <c r="AA100" i="42"/>
  <c r="AA98" i="42"/>
  <c r="AA94" i="42"/>
  <c r="AA92" i="42"/>
  <c r="AA90" i="42"/>
  <c r="AA89" i="42"/>
  <c r="AA87" i="42"/>
  <c r="AA85" i="42"/>
  <c r="AA84" i="42"/>
  <c r="AA78" i="42"/>
  <c r="AA72" i="42"/>
  <c r="AF646" i="42"/>
  <c r="AE646" i="42"/>
  <c r="V645" i="42"/>
  <c r="R645" i="42"/>
  <c r="N645" i="42"/>
  <c r="P645" i="42" s="1"/>
  <c r="V644" i="42"/>
  <c r="R644" i="42"/>
  <c r="N644" i="42"/>
  <c r="P644" i="42" s="1"/>
  <c r="V643" i="42"/>
  <c r="R643" i="42"/>
  <c r="N643" i="42"/>
  <c r="P643" i="42" s="1"/>
  <c r="V642" i="42"/>
  <c r="R642" i="42"/>
  <c r="N642" i="42"/>
  <c r="P642" i="42" s="1"/>
  <c r="V641" i="42"/>
  <c r="R641" i="42"/>
  <c r="N641" i="42"/>
  <c r="P641" i="42" s="1"/>
  <c r="V640" i="42"/>
  <c r="R640" i="42"/>
  <c r="P640" i="42"/>
  <c r="N640" i="42"/>
  <c r="AF639" i="42"/>
  <c r="AE639" i="42"/>
  <c r="AD639" i="42"/>
  <c r="AC639" i="42"/>
  <c r="V638" i="42"/>
  <c r="R638" i="42"/>
  <c r="N638" i="42"/>
  <c r="P638" i="42" s="1"/>
  <c r="V637" i="42"/>
  <c r="R637" i="42"/>
  <c r="N637" i="42"/>
  <c r="P637" i="42" s="1"/>
  <c r="V636" i="42"/>
  <c r="R636" i="42"/>
  <c r="N636" i="42"/>
  <c r="P636" i="42" s="1"/>
  <c r="Y636" i="42" s="1"/>
  <c r="AJ636" i="42" s="1"/>
  <c r="V635" i="42"/>
  <c r="R635" i="42"/>
  <c r="N635" i="42"/>
  <c r="P635" i="42" s="1"/>
  <c r="V634" i="42"/>
  <c r="R634" i="42"/>
  <c r="N634" i="42"/>
  <c r="P634" i="42" s="1"/>
  <c r="V633" i="42"/>
  <c r="R633" i="42"/>
  <c r="N633" i="42"/>
  <c r="P633" i="42" s="1"/>
  <c r="V632" i="42"/>
  <c r="R632" i="42"/>
  <c r="N632" i="42"/>
  <c r="P632" i="42" s="1"/>
  <c r="V631" i="42"/>
  <c r="R631" i="42"/>
  <c r="N631" i="42"/>
  <c r="P631" i="42" s="1"/>
  <c r="V630" i="42"/>
  <c r="R630" i="42"/>
  <c r="N630" i="42"/>
  <c r="P630" i="42" s="1"/>
  <c r="V629" i="42"/>
  <c r="R629" i="42"/>
  <c r="N629" i="42"/>
  <c r="P629" i="42" s="1"/>
  <c r="V628" i="42"/>
  <c r="R628" i="42"/>
  <c r="N628" i="42"/>
  <c r="P628" i="42" s="1"/>
  <c r="AF627" i="42"/>
  <c r="AE627" i="42"/>
  <c r="AD627" i="42"/>
  <c r="AC627" i="42"/>
  <c r="V626" i="42"/>
  <c r="N626" i="42"/>
  <c r="P626" i="42" s="1"/>
  <c r="V625" i="42"/>
  <c r="R625" i="42"/>
  <c r="N625" i="42"/>
  <c r="P625" i="42" s="1"/>
  <c r="AF624" i="42"/>
  <c r="AE624" i="42"/>
  <c r="AD624" i="42"/>
  <c r="AC624" i="42"/>
  <c r="AF623" i="42"/>
  <c r="AE623" i="42"/>
  <c r="AD623" i="42"/>
  <c r="AC623" i="42"/>
  <c r="V623" i="42"/>
  <c r="U623" i="42"/>
  <c r="R623" i="42"/>
  <c r="Q623" i="42"/>
  <c r="P623" i="42"/>
  <c r="N623" i="42"/>
  <c r="AF622" i="42"/>
  <c r="AE622" i="42"/>
  <c r="AD622" i="42"/>
  <c r="AC622" i="42"/>
  <c r="V621" i="42"/>
  <c r="R621" i="42"/>
  <c r="M621" i="42"/>
  <c r="V620" i="42"/>
  <c r="R620" i="42"/>
  <c r="O620" i="42"/>
  <c r="N620" i="42"/>
  <c r="M620" i="42"/>
  <c r="V619" i="42"/>
  <c r="U619" i="42"/>
  <c r="R619" i="42"/>
  <c r="V618" i="42"/>
  <c r="U618" i="42"/>
  <c r="R618" i="42"/>
  <c r="AF617" i="42"/>
  <c r="AE617" i="42"/>
  <c r="AD617" i="42"/>
  <c r="AC617" i="42"/>
  <c r="V616" i="42"/>
  <c r="U616" i="42"/>
  <c r="R616" i="42"/>
  <c r="N616" i="42"/>
  <c r="P616" i="42" s="1"/>
  <c r="V615" i="42"/>
  <c r="U615" i="42"/>
  <c r="R615" i="42"/>
  <c r="N615" i="42"/>
  <c r="P615" i="42" s="1"/>
  <c r="V614" i="42"/>
  <c r="U614" i="42"/>
  <c r="R614" i="42"/>
  <c r="N614" i="42"/>
  <c r="P614" i="42" s="1"/>
  <c r="V613" i="42"/>
  <c r="U613" i="42"/>
  <c r="R613" i="42"/>
  <c r="N613" i="42"/>
  <c r="P613" i="42" s="1"/>
  <c r="V612" i="42"/>
  <c r="U612" i="42"/>
  <c r="R612" i="42"/>
  <c r="N612" i="42"/>
  <c r="P612" i="42" s="1"/>
  <c r="V611" i="42"/>
  <c r="U611" i="42"/>
  <c r="R611" i="42"/>
  <c r="N611" i="42"/>
  <c r="P611" i="42" s="1"/>
  <c r="V610" i="42"/>
  <c r="U610" i="42"/>
  <c r="R610" i="42"/>
  <c r="N610" i="42"/>
  <c r="P610" i="42" s="1"/>
  <c r="V609" i="42"/>
  <c r="U609" i="42"/>
  <c r="R609" i="42"/>
  <c r="N609" i="42"/>
  <c r="P609" i="42" s="1"/>
  <c r="V608" i="42"/>
  <c r="U608" i="42"/>
  <c r="R608" i="42"/>
  <c r="N608" i="42"/>
  <c r="P608" i="42" s="1"/>
  <c r="V607" i="42"/>
  <c r="U607" i="42"/>
  <c r="R607" i="42"/>
  <c r="N607" i="42"/>
  <c r="P607" i="42" s="1"/>
  <c r="V606" i="42"/>
  <c r="U606" i="42"/>
  <c r="R606" i="42"/>
  <c r="N606" i="42"/>
  <c r="P606" i="42" s="1"/>
  <c r="V605" i="42"/>
  <c r="U605" i="42"/>
  <c r="R605" i="42"/>
  <c r="N605" i="42"/>
  <c r="P605" i="42" s="1"/>
  <c r="V604" i="42"/>
  <c r="U604" i="42"/>
  <c r="R604" i="42"/>
  <c r="N604" i="42"/>
  <c r="P604" i="42" s="1"/>
  <c r="V603" i="42"/>
  <c r="U603" i="42"/>
  <c r="R603" i="42"/>
  <c r="N603" i="42"/>
  <c r="P603" i="42" s="1"/>
  <c r="V602" i="42"/>
  <c r="U602" i="42"/>
  <c r="R602" i="42"/>
  <c r="N602" i="42"/>
  <c r="P602" i="42" s="1"/>
  <c r="V601" i="42"/>
  <c r="U601" i="42"/>
  <c r="R601" i="42"/>
  <c r="N601" i="42"/>
  <c r="P601" i="42" s="1"/>
  <c r="V600" i="42"/>
  <c r="R600" i="42"/>
  <c r="N600" i="42"/>
  <c r="P600" i="42" s="1"/>
  <c r="V599" i="42"/>
  <c r="U599" i="42"/>
  <c r="R599" i="42"/>
  <c r="N599" i="42"/>
  <c r="P599" i="42" s="1"/>
  <c r="V598" i="42"/>
  <c r="U598" i="42"/>
  <c r="R598" i="42"/>
  <c r="N598" i="42"/>
  <c r="P598" i="42" s="1"/>
  <c r="V597" i="42"/>
  <c r="U597" i="42"/>
  <c r="R597" i="42"/>
  <c r="N597" i="42"/>
  <c r="P597" i="42" s="1"/>
  <c r="V596" i="42"/>
  <c r="U596" i="42"/>
  <c r="R596" i="42"/>
  <c r="P596" i="42"/>
  <c r="N596" i="42"/>
  <c r="V595" i="42"/>
  <c r="U595" i="42"/>
  <c r="R595" i="42"/>
  <c r="N595" i="42"/>
  <c r="P595" i="42" s="1"/>
  <c r="V594" i="42"/>
  <c r="U594" i="42"/>
  <c r="R594" i="42"/>
  <c r="N594" i="42"/>
  <c r="P594" i="42" s="1"/>
  <c r="V593" i="42"/>
  <c r="U593" i="42"/>
  <c r="R593" i="42"/>
  <c r="N593" i="42"/>
  <c r="P593" i="42" s="1"/>
  <c r="V592" i="42"/>
  <c r="U592" i="42"/>
  <c r="R592" i="42"/>
  <c r="N592" i="42"/>
  <c r="P592" i="42" s="1"/>
  <c r="V591" i="42"/>
  <c r="R591" i="42"/>
  <c r="N591" i="42"/>
  <c r="P591" i="42" s="1"/>
  <c r="X590" i="42"/>
  <c r="V590" i="42"/>
  <c r="R590" i="42"/>
  <c r="N590" i="42"/>
  <c r="P590" i="42" s="1"/>
  <c r="X589" i="42"/>
  <c r="V589" i="42"/>
  <c r="R589" i="42"/>
  <c r="N589" i="42"/>
  <c r="P589" i="42" s="1"/>
  <c r="AF588" i="42"/>
  <c r="AE588" i="42"/>
  <c r="AD588" i="42"/>
  <c r="AC588" i="42"/>
  <c r="V587" i="42"/>
  <c r="R587" i="42"/>
  <c r="N587" i="42"/>
  <c r="P587" i="42" s="1"/>
  <c r="V586" i="42"/>
  <c r="R586" i="42"/>
  <c r="N586" i="42"/>
  <c r="P586" i="42" s="1"/>
  <c r="V585" i="42"/>
  <c r="R585" i="42"/>
  <c r="N585" i="42"/>
  <c r="P585" i="42" s="1"/>
  <c r="V584" i="42"/>
  <c r="R584" i="42"/>
  <c r="P584" i="42"/>
  <c r="N584" i="42"/>
  <c r="V583" i="42"/>
  <c r="R583" i="42"/>
  <c r="N583" i="42"/>
  <c r="P583" i="42" s="1"/>
  <c r="V582" i="42"/>
  <c r="R582" i="42"/>
  <c r="N582" i="42"/>
  <c r="P582" i="42" s="1"/>
  <c r="V581" i="42"/>
  <c r="R581" i="42"/>
  <c r="N581" i="42"/>
  <c r="P581" i="42" s="1"/>
  <c r="V580" i="42"/>
  <c r="R580" i="42"/>
  <c r="N580" i="42"/>
  <c r="P580" i="42" s="1"/>
  <c r="V579" i="42"/>
  <c r="R579" i="42"/>
  <c r="N579" i="42"/>
  <c r="P579" i="42" s="1"/>
  <c r="V578" i="42"/>
  <c r="R578" i="42"/>
  <c r="N578" i="42"/>
  <c r="P578" i="42" s="1"/>
  <c r="V577" i="42"/>
  <c r="R577" i="42"/>
  <c r="N577" i="42"/>
  <c r="P577" i="42" s="1"/>
  <c r="V576" i="42"/>
  <c r="R576" i="42"/>
  <c r="N576" i="42"/>
  <c r="P576" i="42" s="1"/>
  <c r="V575" i="42"/>
  <c r="R575" i="42"/>
  <c r="N575" i="42"/>
  <c r="P575" i="42" s="1"/>
  <c r="V574" i="42"/>
  <c r="R574" i="42"/>
  <c r="N574" i="42"/>
  <c r="P574" i="42" s="1"/>
  <c r="V573" i="42"/>
  <c r="R573" i="42"/>
  <c r="N573" i="42"/>
  <c r="P573" i="42" s="1"/>
  <c r="V572" i="42"/>
  <c r="R572" i="42"/>
  <c r="P572" i="42"/>
  <c r="N572" i="42"/>
  <c r="V571" i="42"/>
  <c r="R571" i="42"/>
  <c r="N571" i="42"/>
  <c r="P571" i="42" s="1"/>
  <c r="V570" i="42"/>
  <c r="R570" i="42"/>
  <c r="N570" i="42"/>
  <c r="P570" i="42" s="1"/>
  <c r="V569" i="42"/>
  <c r="R569" i="42"/>
  <c r="N569" i="42"/>
  <c r="P569" i="42" s="1"/>
  <c r="V568" i="42"/>
  <c r="R568" i="42"/>
  <c r="N568" i="42"/>
  <c r="P568" i="42" s="1"/>
  <c r="V567" i="42"/>
  <c r="R567" i="42"/>
  <c r="N567" i="42"/>
  <c r="P567" i="42" s="1"/>
  <c r="V566" i="42"/>
  <c r="R566" i="42"/>
  <c r="P566" i="42"/>
  <c r="N566" i="42"/>
  <c r="V565" i="42"/>
  <c r="R565" i="42"/>
  <c r="N565" i="42"/>
  <c r="P565" i="42" s="1"/>
  <c r="Y565" i="42" s="1"/>
  <c r="AJ565" i="42" s="1"/>
  <c r="V564" i="42"/>
  <c r="R564" i="42"/>
  <c r="N564" i="42"/>
  <c r="P564" i="42" s="1"/>
  <c r="V563" i="42"/>
  <c r="R563" i="42"/>
  <c r="N563" i="42"/>
  <c r="P563" i="42" s="1"/>
  <c r="V562" i="42"/>
  <c r="R562" i="42"/>
  <c r="N562" i="42"/>
  <c r="P562" i="42" s="1"/>
  <c r="V561" i="42"/>
  <c r="R561" i="42"/>
  <c r="N561" i="42"/>
  <c r="P561" i="42" s="1"/>
  <c r="V560" i="42"/>
  <c r="R560" i="42"/>
  <c r="N560" i="42"/>
  <c r="P560" i="42" s="1"/>
  <c r="AF559" i="42"/>
  <c r="AE559" i="42"/>
  <c r="AD559" i="42"/>
  <c r="AC559" i="42"/>
  <c r="V558" i="42"/>
  <c r="N558" i="42"/>
  <c r="P558" i="42" s="1"/>
  <c r="B558" i="42"/>
  <c r="AQ557" i="42"/>
  <c r="AL557" i="42"/>
  <c r="AJ557" i="42"/>
  <c r="V556" i="42"/>
  <c r="N556" i="42"/>
  <c r="P556" i="42" s="1"/>
  <c r="B556" i="42"/>
  <c r="V555" i="42"/>
  <c r="N555" i="42"/>
  <c r="P555" i="42" s="1"/>
  <c r="B555" i="42"/>
  <c r="V554" i="42"/>
  <c r="N554" i="42"/>
  <c r="P554" i="42" s="1"/>
  <c r="B554" i="42"/>
  <c r="AQ553" i="42"/>
  <c r="AL553" i="42"/>
  <c r="AJ553" i="42"/>
  <c r="V552" i="42"/>
  <c r="N552" i="42"/>
  <c r="P552" i="42" s="1"/>
  <c r="B552" i="42"/>
  <c r="AQ551" i="42"/>
  <c r="AL551" i="42"/>
  <c r="AJ551" i="42"/>
  <c r="V550" i="42"/>
  <c r="L550" i="42"/>
  <c r="N550" i="42" s="1"/>
  <c r="P550" i="42" s="1"/>
  <c r="B550" i="42"/>
  <c r="AQ549" i="42"/>
  <c r="AL549" i="42"/>
  <c r="AJ549" i="42"/>
  <c r="V548" i="42"/>
  <c r="N548" i="42"/>
  <c r="P548" i="42" s="1"/>
  <c r="B548" i="42"/>
  <c r="AQ547" i="42"/>
  <c r="AL547" i="42"/>
  <c r="AJ547" i="42"/>
  <c r="V546" i="42"/>
  <c r="N546" i="42"/>
  <c r="P546" i="42" s="1"/>
  <c r="B546" i="42"/>
  <c r="V545" i="42"/>
  <c r="N545" i="42"/>
  <c r="P545" i="42" s="1"/>
  <c r="B545" i="42"/>
  <c r="AQ544" i="42"/>
  <c r="AL544" i="42"/>
  <c r="AJ544" i="42"/>
  <c r="V543" i="42"/>
  <c r="N543" i="42"/>
  <c r="P543" i="42" s="1"/>
  <c r="B543" i="42"/>
  <c r="V542" i="42"/>
  <c r="N542" i="42"/>
  <c r="P542" i="42" s="1"/>
  <c r="B542" i="42"/>
  <c r="BM541" i="42"/>
  <c r="V541" i="42"/>
  <c r="N541" i="42"/>
  <c r="P541" i="42" s="1"/>
  <c r="B541" i="42"/>
  <c r="BM540" i="42"/>
  <c r="V540" i="42"/>
  <c r="N540" i="42"/>
  <c r="P540" i="42" s="1"/>
  <c r="B540" i="42"/>
  <c r="AQ539" i="42"/>
  <c r="AL539" i="42"/>
  <c r="AJ539" i="42"/>
  <c r="CE538" i="42"/>
  <c r="BV538" i="42"/>
  <c r="V538" i="42"/>
  <c r="B538" i="42"/>
  <c r="CE537" i="42"/>
  <c r="BV537" i="42"/>
  <c r="V537" i="42"/>
  <c r="B537" i="42"/>
  <c r="CE536" i="42"/>
  <c r="BV536" i="42"/>
  <c r="V536" i="42"/>
  <c r="B536" i="42"/>
  <c r="CE535" i="42"/>
  <c r="BV535" i="42"/>
  <c r="BM535" i="42"/>
  <c r="V535" i="42"/>
  <c r="B535" i="42"/>
  <c r="AQ534" i="42"/>
  <c r="AL534" i="42"/>
  <c r="AJ534" i="42"/>
  <c r="AQ533" i="42"/>
  <c r="AX533" i="42" s="1"/>
  <c r="BH533" i="42" s="1"/>
  <c r="AL533" i="42"/>
  <c r="AJ533" i="42"/>
  <c r="AF532" i="42"/>
  <c r="AE532" i="42"/>
  <c r="AD532" i="42"/>
  <c r="AC532" i="42"/>
  <c r="R532" i="42"/>
  <c r="R548" i="42" s="1"/>
  <c r="BA531" i="42"/>
  <c r="V531" i="42"/>
  <c r="N531" i="42"/>
  <c r="P531" i="42" s="1"/>
  <c r="B531" i="42"/>
  <c r="BA530" i="42"/>
  <c r="V530" i="42"/>
  <c r="N530" i="42"/>
  <c r="P530" i="42" s="1"/>
  <c r="BA529" i="42"/>
  <c r="V529" i="42"/>
  <c r="N529" i="42"/>
  <c r="P529" i="42" s="1"/>
  <c r="AQ528" i="42"/>
  <c r="AL528" i="42"/>
  <c r="AJ528" i="42"/>
  <c r="BB527" i="42"/>
  <c r="BA527" i="42"/>
  <c r="AZ527" i="42"/>
  <c r="V527" i="42"/>
  <c r="N527" i="42"/>
  <c r="P527" i="42" s="1"/>
  <c r="B527" i="42"/>
  <c r="BB526" i="42"/>
  <c r="BA526" i="42"/>
  <c r="AZ526" i="42"/>
  <c r="V526" i="42"/>
  <c r="N526" i="42"/>
  <c r="P526" i="42" s="1"/>
  <c r="B526" i="42"/>
  <c r="AQ525" i="42"/>
  <c r="AL525" i="42"/>
  <c r="AJ525" i="42"/>
  <c r="BA524" i="42"/>
  <c r="V524" i="42"/>
  <c r="N524" i="42"/>
  <c r="P524" i="42" s="1"/>
  <c r="B524" i="42"/>
  <c r="BA523" i="42"/>
  <c r="V523" i="42"/>
  <c r="N523" i="42"/>
  <c r="P523" i="42" s="1"/>
  <c r="BA522" i="42"/>
  <c r="V522" i="42"/>
  <c r="N522" i="42"/>
  <c r="P522" i="42" s="1"/>
  <c r="AQ521" i="42"/>
  <c r="AL521" i="42"/>
  <c r="AJ521" i="42"/>
  <c r="BB520" i="42"/>
  <c r="BA520" i="42"/>
  <c r="AZ520" i="42"/>
  <c r="V520" i="42"/>
  <c r="N520" i="42"/>
  <c r="P520" i="42" s="1"/>
  <c r="B520" i="42"/>
  <c r="BB519" i="42"/>
  <c r="BA519" i="42"/>
  <c r="AZ519" i="42"/>
  <c r="V519" i="42"/>
  <c r="N519" i="42"/>
  <c r="P519" i="42" s="1"/>
  <c r="B519" i="42"/>
  <c r="BB518" i="42"/>
  <c r="BA518" i="42"/>
  <c r="AZ518" i="42"/>
  <c r="V518" i="42"/>
  <c r="N518" i="42"/>
  <c r="P518" i="42" s="1"/>
  <c r="B518" i="42"/>
  <c r="AQ517" i="42"/>
  <c r="AL517" i="42"/>
  <c r="AJ517" i="42"/>
  <c r="AL516" i="42"/>
  <c r="AJ516" i="42"/>
  <c r="V515" i="42"/>
  <c r="B515" i="42"/>
  <c r="V514" i="42"/>
  <c r="B514" i="42"/>
  <c r="BA513" i="42"/>
  <c r="V513" i="42"/>
  <c r="B513" i="42"/>
  <c r="AQ512" i="42"/>
  <c r="AL512" i="42"/>
  <c r="AJ512" i="42"/>
  <c r="V511" i="42"/>
  <c r="B511" i="42"/>
  <c r="AQ510" i="42"/>
  <c r="AL510" i="42"/>
  <c r="AJ510" i="42"/>
  <c r="AZ509" i="42"/>
  <c r="V509" i="42"/>
  <c r="B509" i="42"/>
  <c r="AZ508" i="42"/>
  <c r="V508" i="42"/>
  <c r="B508" i="42"/>
  <c r="AQ507" i="42"/>
  <c r="AL507" i="42"/>
  <c r="AJ507" i="42"/>
  <c r="CE506" i="42"/>
  <c r="BV506" i="42"/>
  <c r="AZ506" i="42"/>
  <c r="V506" i="42"/>
  <c r="B506" i="42"/>
  <c r="CE505" i="42"/>
  <c r="BV505" i="42"/>
  <c r="AZ505" i="42"/>
  <c r="V505" i="42"/>
  <c r="B505" i="42"/>
  <c r="CE504" i="42"/>
  <c r="BV504" i="42"/>
  <c r="AZ504" i="42"/>
  <c r="V504" i="42"/>
  <c r="B504" i="42"/>
  <c r="CE503" i="42"/>
  <c r="BV503" i="42"/>
  <c r="BM503" i="42"/>
  <c r="AZ503" i="42"/>
  <c r="V503" i="42"/>
  <c r="B503" i="42"/>
  <c r="AQ502" i="42"/>
  <c r="AL502" i="42"/>
  <c r="AJ502" i="42"/>
  <c r="AQ501" i="42"/>
  <c r="AX501" i="42" s="1"/>
  <c r="BH501" i="42" s="1"/>
  <c r="AL501" i="42"/>
  <c r="AJ501" i="42"/>
  <c r="AF500" i="42"/>
  <c r="AE500" i="42"/>
  <c r="AD500" i="42"/>
  <c r="AC500" i="42"/>
  <c r="R500" i="42"/>
  <c r="R509" i="42" s="1"/>
  <c r="V498" i="42"/>
  <c r="R498" i="42"/>
  <c r="N498" i="42"/>
  <c r="P498" i="42" s="1"/>
  <c r="V497" i="42"/>
  <c r="R497" i="42"/>
  <c r="N497" i="42"/>
  <c r="P497" i="42" s="1"/>
  <c r="V496" i="42"/>
  <c r="R496" i="42"/>
  <c r="N496" i="42"/>
  <c r="P496" i="42" s="1"/>
  <c r="V495" i="42"/>
  <c r="R495" i="42"/>
  <c r="N495" i="42"/>
  <c r="P495" i="42" s="1"/>
  <c r="AL494" i="42"/>
  <c r="AJ494" i="42"/>
  <c r="V493" i="42"/>
  <c r="R493" i="42"/>
  <c r="P493" i="42"/>
  <c r="N493" i="42"/>
  <c r="V492" i="42"/>
  <c r="R492" i="42"/>
  <c r="N492" i="42"/>
  <c r="P492" i="42" s="1"/>
  <c r="V491" i="42"/>
  <c r="R491" i="42"/>
  <c r="N491" i="42"/>
  <c r="P491" i="42" s="1"/>
  <c r="V490" i="42"/>
  <c r="R490" i="42"/>
  <c r="N490" i="42"/>
  <c r="P490" i="42" s="1"/>
  <c r="V489" i="42"/>
  <c r="R489" i="42"/>
  <c r="N489" i="42"/>
  <c r="P489" i="42" s="1"/>
  <c r="V488" i="42"/>
  <c r="R488" i="42"/>
  <c r="N488" i="42"/>
  <c r="P488" i="42" s="1"/>
  <c r="V487" i="42"/>
  <c r="R487" i="42"/>
  <c r="N487" i="42"/>
  <c r="P487" i="42" s="1"/>
  <c r="V486" i="42"/>
  <c r="R486" i="42"/>
  <c r="N486" i="42"/>
  <c r="P486" i="42" s="1"/>
  <c r="AL485" i="42"/>
  <c r="AJ485" i="42"/>
  <c r="V484" i="42"/>
  <c r="R484" i="42"/>
  <c r="N484" i="42"/>
  <c r="P484" i="42" s="1"/>
  <c r="V483" i="42"/>
  <c r="R483" i="42"/>
  <c r="N483" i="42"/>
  <c r="P483" i="42" s="1"/>
  <c r="V482" i="42"/>
  <c r="R482" i="42"/>
  <c r="N482" i="42"/>
  <c r="P482" i="42" s="1"/>
  <c r="V481" i="42"/>
  <c r="R481" i="42"/>
  <c r="N481" i="42"/>
  <c r="P481" i="42" s="1"/>
  <c r="S481" i="42" s="1"/>
  <c r="Z481" i="42" s="1"/>
  <c r="AL481" i="42" s="1"/>
  <c r="V480" i="42"/>
  <c r="R480" i="42"/>
  <c r="N480" i="42"/>
  <c r="P480" i="42" s="1"/>
  <c r="V479" i="42"/>
  <c r="R479" i="42"/>
  <c r="N479" i="42"/>
  <c r="P479" i="42" s="1"/>
  <c r="AL478" i="42"/>
  <c r="AJ478" i="42"/>
  <c r="V477" i="42"/>
  <c r="R477" i="42"/>
  <c r="N477" i="42"/>
  <c r="P477" i="42" s="1"/>
  <c r="V476" i="42"/>
  <c r="R476" i="42"/>
  <c r="N476" i="42"/>
  <c r="P476" i="42" s="1"/>
  <c r="V475" i="42"/>
  <c r="R475" i="42"/>
  <c r="N475" i="42"/>
  <c r="P475" i="42" s="1"/>
  <c r="V474" i="42"/>
  <c r="R474" i="42"/>
  <c r="N474" i="42"/>
  <c r="P474" i="42" s="1"/>
  <c r="AL473" i="42"/>
  <c r="AJ473" i="42"/>
  <c r="V472" i="42"/>
  <c r="R472" i="42"/>
  <c r="N472" i="42"/>
  <c r="P472" i="42" s="1"/>
  <c r="V471" i="42"/>
  <c r="R471" i="42"/>
  <c r="N471" i="42"/>
  <c r="P471" i="42" s="1"/>
  <c r="V470" i="42"/>
  <c r="R470" i="42"/>
  <c r="N470" i="42"/>
  <c r="P470" i="42" s="1"/>
  <c r="V469" i="42"/>
  <c r="R469" i="42"/>
  <c r="N469" i="42"/>
  <c r="P469" i="42" s="1"/>
  <c r="V468" i="42"/>
  <c r="R468" i="42"/>
  <c r="N468" i="42"/>
  <c r="P468" i="42" s="1"/>
  <c r="AL467" i="42"/>
  <c r="AJ467" i="42"/>
  <c r="V466" i="42"/>
  <c r="R466" i="42"/>
  <c r="P466" i="42"/>
  <c r="N466" i="42"/>
  <c r="V465" i="42"/>
  <c r="R465" i="42"/>
  <c r="P465" i="42"/>
  <c r="N465" i="42"/>
  <c r="V464" i="42"/>
  <c r="R464" i="42"/>
  <c r="P464" i="42"/>
  <c r="N464" i="42"/>
  <c r="V463" i="42"/>
  <c r="R463" i="42"/>
  <c r="N463" i="42"/>
  <c r="P463" i="42" s="1"/>
  <c r="S463" i="42" s="1"/>
  <c r="V462" i="42"/>
  <c r="R462" i="42"/>
  <c r="N462" i="42"/>
  <c r="P462" i="42" s="1"/>
  <c r="V461" i="42"/>
  <c r="R461" i="42"/>
  <c r="N461" i="42"/>
  <c r="P461" i="42" s="1"/>
  <c r="V460" i="42"/>
  <c r="R460" i="42"/>
  <c r="N460" i="42"/>
  <c r="P460" i="42" s="1"/>
  <c r="AL459" i="42"/>
  <c r="AJ459" i="42"/>
  <c r="V458" i="42"/>
  <c r="R458" i="42"/>
  <c r="N458" i="42"/>
  <c r="P458" i="42" s="1"/>
  <c r="V457" i="42"/>
  <c r="R457" i="42"/>
  <c r="N457" i="42"/>
  <c r="P457" i="42" s="1"/>
  <c r="V456" i="42"/>
  <c r="R456" i="42"/>
  <c r="N456" i="42"/>
  <c r="P456" i="42" s="1"/>
  <c r="V455" i="42"/>
  <c r="R455" i="42"/>
  <c r="N455" i="42"/>
  <c r="P455" i="42" s="1"/>
  <c r="V454" i="42"/>
  <c r="R454" i="42"/>
  <c r="N454" i="42"/>
  <c r="P454" i="42" s="1"/>
  <c r="Y454" i="42" s="1"/>
  <c r="AJ454" i="42" s="1"/>
  <c r="V453" i="42"/>
  <c r="R453" i="42"/>
  <c r="N453" i="42"/>
  <c r="P453" i="42" s="1"/>
  <c r="Y453" i="42" s="1"/>
  <c r="AJ453" i="42" s="1"/>
  <c r="V452" i="42"/>
  <c r="R452" i="42"/>
  <c r="N452" i="42"/>
  <c r="P452" i="42" s="1"/>
  <c r="S452" i="42" s="1"/>
  <c r="V451" i="42"/>
  <c r="R451" i="42"/>
  <c r="N451" i="42"/>
  <c r="P451" i="42" s="1"/>
  <c r="V450" i="42"/>
  <c r="R450" i="42"/>
  <c r="N450" i="42"/>
  <c r="P450" i="42" s="1"/>
  <c r="V449" i="42"/>
  <c r="R449" i="42"/>
  <c r="N449" i="42"/>
  <c r="P449" i="42" s="1"/>
  <c r="V448" i="42"/>
  <c r="R448" i="42"/>
  <c r="N448" i="42"/>
  <c r="P448" i="42" s="1"/>
  <c r="V447" i="42"/>
  <c r="R447" i="42"/>
  <c r="N447" i="42"/>
  <c r="P447" i="42" s="1"/>
  <c r="AL446" i="42"/>
  <c r="AJ446" i="42"/>
  <c r="V445" i="42"/>
  <c r="R445" i="42"/>
  <c r="N445" i="42"/>
  <c r="P445" i="42" s="1"/>
  <c r="V444" i="42"/>
  <c r="R444" i="42"/>
  <c r="N444" i="42"/>
  <c r="P444" i="42" s="1"/>
  <c r="V443" i="42"/>
  <c r="R443" i="42"/>
  <c r="N443" i="42"/>
  <c r="P443" i="42" s="1"/>
  <c r="V442" i="42"/>
  <c r="R442" i="42"/>
  <c r="N442" i="42"/>
  <c r="P442" i="42" s="1"/>
  <c r="AL441" i="42"/>
  <c r="AJ441" i="42"/>
  <c r="AF440" i="42"/>
  <c r="AE440" i="42"/>
  <c r="AD440" i="42"/>
  <c r="AC440" i="42"/>
  <c r="V439" i="42"/>
  <c r="R439" i="42"/>
  <c r="N439" i="42"/>
  <c r="P439" i="42" s="1"/>
  <c r="V438" i="42"/>
  <c r="R438" i="42"/>
  <c r="N438" i="42"/>
  <c r="P438" i="42" s="1"/>
  <c r="V437" i="42"/>
  <c r="N437" i="42"/>
  <c r="P437" i="42" s="1"/>
  <c r="V436" i="42"/>
  <c r="N436" i="42"/>
  <c r="P436" i="42" s="1"/>
  <c r="V435" i="42"/>
  <c r="N435" i="42"/>
  <c r="P435" i="42" s="1"/>
  <c r="V434" i="42"/>
  <c r="N434" i="42"/>
  <c r="P434" i="42" s="1"/>
  <c r="V433" i="42"/>
  <c r="N433" i="42"/>
  <c r="P433" i="42" s="1"/>
  <c r="V431" i="42"/>
  <c r="R431" i="42"/>
  <c r="N431" i="42"/>
  <c r="P431" i="42" s="1"/>
  <c r="B431" i="42"/>
  <c r="V430" i="42"/>
  <c r="R430" i="42"/>
  <c r="N430" i="42"/>
  <c r="P430" i="42" s="1"/>
  <c r="B430" i="42"/>
  <c r="AQ429" i="42"/>
  <c r="V428" i="42"/>
  <c r="R428" i="42"/>
  <c r="N428" i="42"/>
  <c r="P428" i="42" s="1"/>
  <c r="B428" i="42"/>
  <c r="V427" i="42"/>
  <c r="R427" i="42"/>
  <c r="N427" i="42"/>
  <c r="P427" i="42" s="1"/>
  <c r="B427" i="42"/>
  <c r="AQ426" i="42"/>
  <c r="V425" i="42"/>
  <c r="R425" i="42"/>
  <c r="N425" i="42"/>
  <c r="P425" i="42" s="1"/>
  <c r="B425" i="42"/>
  <c r="V424" i="42"/>
  <c r="R424" i="42"/>
  <c r="N424" i="42"/>
  <c r="P424" i="42" s="1"/>
  <c r="B424" i="42"/>
  <c r="V423" i="42"/>
  <c r="R423" i="42"/>
  <c r="N423" i="42"/>
  <c r="P423" i="42" s="1"/>
  <c r="B423" i="42"/>
  <c r="V422" i="42"/>
  <c r="R422" i="42"/>
  <c r="N422" i="42"/>
  <c r="P422" i="42" s="1"/>
  <c r="B422" i="42"/>
  <c r="AQ421" i="42"/>
  <c r="V420" i="42"/>
  <c r="R420" i="42"/>
  <c r="N420" i="42"/>
  <c r="P420" i="42" s="1"/>
  <c r="B420" i="42"/>
  <c r="V419" i="42"/>
  <c r="R419" i="42"/>
  <c r="N419" i="42"/>
  <c r="P419" i="42" s="1"/>
  <c r="B419" i="42"/>
  <c r="V418" i="42"/>
  <c r="R418" i="42"/>
  <c r="N418" i="42"/>
  <c r="P418" i="42" s="1"/>
  <c r="B418" i="42"/>
  <c r="V417" i="42"/>
  <c r="R417" i="42"/>
  <c r="N417" i="42"/>
  <c r="P417" i="42" s="1"/>
  <c r="B417" i="42"/>
  <c r="AQ416" i="42"/>
  <c r="V415" i="42"/>
  <c r="R415" i="42"/>
  <c r="N415" i="42"/>
  <c r="P415" i="42" s="1"/>
  <c r="AF413" i="42"/>
  <c r="AE413" i="42"/>
  <c r="AD413" i="42"/>
  <c r="AC413" i="42"/>
  <c r="V412" i="42"/>
  <c r="N412" i="42"/>
  <c r="P412" i="42" s="1"/>
  <c r="B412" i="42"/>
  <c r="V411" i="42"/>
  <c r="N411" i="42"/>
  <c r="P411" i="42" s="1"/>
  <c r="B411" i="42"/>
  <c r="V410" i="42"/>
  <c r="N410" i="42"/>
  <c r="P410" i="42" s="1"/>
  <c r="B410" i="42"/>
  <c r="V409" i="42"/>
  <c r="N409" i="42"/>
  <c r="P409" i="42" s="1"/>
  <c r="B409" i="42"/>
  <c r="AQ408" i="42"/>
  <c r="V407" i="42"/>
  <c r="N407" i="42"/>
  <c r="P407" i="42" s="1"/>
  <c r="B407" i="42"/>
  <c r="V406" i="42"/>
  <c r="N406" i="42"/>
  <c r="P406" i="42" s="1"/>
  <c r="B406" i="42"/>
  <c r="V405" i="42"/>
  <c r="N405" i="42"/>
  <c r="P405" i="42" s="1"/>
  <c r="B405" i="42"/>
  <c r="V404" i="42"/>
  <c r="N404" i="42"/>
  <c r="P404" i="42" s="1"/>
  <c r="B404" i="42"/>
  <c r="AQ403" i="42"/>
  <c r="V402" i="42"/>
  <c r="N402" i="42"/>
  <c r="P402" i="42" s="1"/>
  <c r="B402" i="42"/>
  <c r="V401" i="42"/>
  <c r="N401" i="42"/>
  <c r="P401" i="42" s="1"/>
  <c r="B401" i="42"/>
  <c r="V400" i="42"/>
  <c r="N400" i="42"/>
  <c r="P400" i="42" s="1"/>
  <c r="B400" i="42"/>
  <c r="V399" i="42"/>
  <c r="N399" i="42"/>
  <c r="P399" i="42" s="1"/>
  <c r="B399" i="42"/>
  <c r="AQ398" i="42"/>
  <c r="V397" i="42"/>
  <c r="R397" i="42"/>
  <c r="N397" i="42"/>
  <c r="P397" i="42" s="1"/>
  <c r="B397" i="42"/>
  <c r="V396" i="42"/>
  <c r="R396" i="42"/>
  <c r="N396" i="42"/>
  <c r="P396" i="42" s="1"/>
  <c r="B396" i="42"/>
  <c r="V395" i="42"/>
  <c r="R395" i="42"/>
  <c r="N395" i="42"/>
  <c r="P395" i="42" s="1"/>
  <c r="B395" i="42"/>
  <c r="V394" i="42"/>
  <c r="R394" i="42"/>
  <c r="N394" i="42"/>
  <c r="P394" i="42" s="1"/>
  <c r="B394" i="42"/>
  <c r="AQ393" i="42"/>
  <c r="V392" i="42"/>
  <c r="R392" i="42"/>
  <c r="N392" i="42"/>
  <c r="P392" i="42" s="1"/>
  <c r="B392" i="42"/>
  <c r="V391" i="42"/>
  <c r="R391" i="42"/>
  <c r="N391" i="42"/>
  <c r="P391" i="42" s="1"/>
  <c r="B391" i="42"/>
  <c r="V390" i="42"/>
  <c r="R390" i="42"/>
  <c r="N390" i="42"/>
  <c r="P390" i="42" s="1"/>
  <c r="B390" i="42"/>
  <c r="V389" i="42"/>
  <c r="R389" i="42"/>
  <c r="N389" i="42"/>
  <c r="P389" i="42" s="1"/>
  <c r="B389" i="42"/>
  <c r="AQ388" i="42"/>
  <c r="V387" i="42"/>
  <c r="N387" i="42"/>
  <c r="P387" i="42" s="1"/>
  <c r="B387" i="42"/>
  <c r="V386" i="42"/>
  <c r="N386" i="42"/>
  <c r="P386" i="42" s="1"/>
  <c r="B386" i="42"/>
  <c r="V385" i="42"/>
  <c r="N385" i="42"/>
  <c r="P385" i="42" s="1"/>
  <c r="B385" i="42"/>
  <c r="V384" i="42"/>
  <c r="N384" i="42"/>
  <c r="P384" i="42" s="1"/>
  <c r="B384" i="42"/>
  <c r="AQ383" i="42"/>
  <c r="V382" i="42"/>
  <c r="N382" i="42"/>
  <c r="P382" i="42" s="1"/>
  <c r="B382" i="42"/>
  <c r="BM381" i="42"/>
  <c r="BK381" i="42"/>
  <c r="V381" i="42"/>
  <c r="N381" i="42"/>
  <c r="P381" i="42" s="1"/>
  <c r="B381" i="42"/>
  <c r="BM380" i="42"/>
  <c r="BK380" i="42"/>
  <c r="V380" i="42"/>
  <c r="N380" i="42"/>
  <c r="P380" i="42" s="1"/>
  <c r="B380" i="42"/>
  <c r="BM379" i="42"/>
  <c r="V379" i="42"/>
  <c r="N379" i="42"/>
  <c r="P379" i="42" s="1"/>
  <c r="B379" i="42"/>
  <c r="AQ378" i="42"/>
  <c r="V377" i="42"/>
  <c r="N377" i="42"/>
  <c r="P377" i="42" s="1"/>
  <c r="B377" i="42"/>
  <c r="V376" i="42"/>
  <c r="N376" i="42"/>
  <c r="P376" i="42" s="1"/>
  <c r="B376" i="42"/>
  <c r="V375" i="42"/>
  <c r="N375" i="42"/>
  <c r="P375" i="42" s="1"/>
  <c r="B375" i="42"/>
  <c r="V374" i="42"/>
  <c r="N374" i="42"/>
  <c r="P374" i="42" s="1"/>
  <c r="B374" i="42"/>
  <c r="AQ373" i="42"/>
  <c r="AQ372" i="42"/>
  <c r="AX372" i="42" s="1"/>
  <c r="BH372" i="42" s="1"/>
  <c r="AF372" i="42"/>
  <c r="AE372" i="42"/>
  <c r="AD372" i="42"/>
  <c r="AC372" i="42"/>
  <c r="BH371" i="42"/>
  <c r="V371" i="42"/>
  <c r="K371" i="42"/>
  <c r="J371" i="42"/>
  <c r="I371" i="42"/>
  <c r="BH370" i="42"/>
  <c r="V370" i="42"/>
  <c r="K370" i="42"/>
  <c r="J370" i="42"/>
  <c r="I370" i="42"/>
  <c r="BH369" i="42"/>
  <c r="V369" i="42"/>
  <c r="K369" i="42"/>
  <c r="J369" i="42"/>
  <c r="I369" i="42"/>
  <c r="AQ368" i="42"/>
  <c r="BH367" i="42"/>
  <c r="V367" i="42"/>
  <c r="E367" i="42"/>
  <c r="J367" i="42" s="1"/>
  <c r="D367" i="42"/>
  <c r="I367" i="42" s="1"/>
  <c r="B367" i="42"/>
  <c r="BH366" i="42"/>
  <c r="BJ366" i="42" s="1"/>
  <c r="V366" i="42"/>
  <c r="E366" i="42"/>
  <c r="J366" i="42" s="1"/>
  <c r="D366" i="42"/>
  <c r="I366" i="42" s="1"/>
  <c r="B366" i="42"/>
  <c r="BH365" i="42"/>
  <c r="BJ365" i="42" s="1"/>
  <c r="V365" i="42"/>
  <c r="E365" i="42"/>
  <c r="J365" i="42" s="1"/>
  <c r="D365" i="42"/>
  <c r="I365" i="42" s="1"/>
  <c r="B365" i="42"/>
  <c r="BH364" i="42"/>
  <c r="BJ364" i="42" s="1"/>
  <c r="V364" i="42"/>
  <c r="E364" i="42"/>
  <c r="J364" i="42" s="1"/>
  <c r="D364" i="42"/>
  <c r="I364" i="42" s="1"/>
  <c r="B364" i="42"/>
  <c r="AQ363" i="42"/>
  <c r="BH362" i="42"/>
  <c r="BI362" i="42" s="1"/>
  <c r="BK362" i="42" s="1"/>
  <c r="V362" i="42"/>
  <c r="E362" i="42"/>
  <c r="J362" i="42" s="1"/>
  <c r="D362" i="42"/>
  <c r="I362" i="42" s="1"/>
  <c r="B362" i="42"/>
  <c r="BH361" i="42"/>
  <c r="BI361" i="42" s="1"/>
  <c r="BK361" i="42" s="1"/>
  <c r="V361" i="42"/>
  <c r="E361" i="42"/>
  <c r="J361" i="42" s="1"/>
  <c r="D361" i="42"/>
  <c r="I361" i="42" s="1"/>
  <c r="B361" i="42"/>
  <c r="BH360" i="42"/>
  <c r="BI360" i="42" s="1"/>
  <c r="BK360" i="42" s="1"/>
  <c r="V360" i="42"/>
  <c r="E360" i="42"/>
  <c r="J360" i="42" s="1"/>
  <c r="D360" i="42"/>
  <c r="I360" i="42" s="1"/>
  <c r="B360" i="42"/>
  <c r="BH359" i="42"/>
  <c r="BI359" i="42" s="1"/>
  <c r="BK359" i="42" s="1"/>
  <c r="V359" i="42"/>
  <c r="E359" i="42"/>
  <c r="J359" i="42" s="1"/>
  <c r="D359" i="42"/>
  <c r="I359" i="42" s="1"/>
  <c r="B359" i="42"/>
  <c r="AQ358" i="42"/>
  <c r="BH357" i="42"/>
  <c r="BJ357" i="42" s="1"/>
  <c r="V357" i="42"/>
  <c r="E357" i="42"/>
  <c r="J357" i="42" s="1"/>
  <c r="D357" i="42"/>
  <c r="I357" i="42" s="1"/>
  <c r="B357" i="42"/>
  <c r="BH356" i="42"/>
  <c r="BJ356" i="42" s="1"/>
  <c r="V356" i="42"/>
  <c r="E356" i="42"/>
  <c r="J356" i="42" s="1"/>
  <c r="D356" i="42"/>
  <c r="I356" i="42" s="1"/>
  <c r="B356" i="42"/>
  <c r="BH355" i="42"/>
  <c r="BJ355" i="42" s="1"/>
  <c r="V355" i="42"/>
  <c r="E355" i="42"/>
  <c r="J355" i="42" s="1"/>
  <c r="D355" i="42"/>
  <c r="I355" i="42" s="1"/>
  <c r="B355" i="42"/>
  <c r="BH354" i="42"/>
  <c r="BJ354" i="42" s="1"/>
  <c r="V354" i="42"/>
  <c r="E354" i="42"/>
  <c r="J354" i="42" s="1"/>
  <c r="D354" i="42"/>
  <c r="I354" i="42" s="1"/>
  <c r="B354" i="42"/>
  <c r="AQ353" i="42"/>
  <c r="AQ352" i="42"/>
  <c r="AX352" i="42" s="1"/>
  <c r="AF352" i="42"/>
  <c r="AE352" i="42"/>
  <c r="AD352" i="42"/>
  <c r="AC352" i="42"/>
  <c r="V351" i="42"/>
  <c r="N351" i="42"/>
  <c r="P351" i="42" s="1"/>
  <c r="V350" i="42"/>
  <c r="P350" i="42"/>
  <c r="N350" i="42"/>
  <c r="V349" i="42"/>
  <c r="N349" i="42"/>
  <c r="P349" i="42" s="1"/>
  <c r="V348" i="42"/>
  <c r="N348" i="42"/>
  <c r="P348" i="42" s="1"/>
  <c r="V346" i="42"/>
  <c r="N346" i="42"/>
  <c r="P346" i="42" s="1"/>
  <c r="B346" i="42"/>
  <c r="V345" i="42"/>
  <c r="N345" i="42"/>
  <c r="P345" i="42" s="1"/>
  <c r="B345" i="42"/>
  <c r="V344" i="42"/>
  <c r="N344" i="42"/>
  <c r="P344" i="42" s="1"/>
  <c r="B344" i="42"/>
  <c r="V343" i="42"/>
  <c r="N343" i="42"/>
  <c r="P343" i="42" s="1"/>
  <c r="B343" i="42"/>
  <c r="AQ342" i="42"/>
  <c r="AQ341" i="42"/>
  <c r="AX341" i="42" s="1"/>
  <c r="AF341" i="42"/>
  <c r="AE341" i="42"/>
  <c r="AD341" i="42"/>
  <c r="AC341" i="42"/>
  <c r="R341" i="42"/>
  <c r="R351" i="42" s="1"/>
  <c r="V340" i="42"/>
  <c r="N340" i="42"/>
  <c r="P340" i="42" s="1"/>
  <c r="V339" i="42"/>
  <c r="N339" i="42"/>
  <c r="P339" i="42" s="1"/>
  <c r="V338" i="42"/>
  <c r="N338" i="42"/>
  <c r="P338" i="42" s="1"/>
  <c r="V337" i="42"/>
  <c r="N337" i="42"/>
  <c r="P337" i="42" s="1"/>
  <c r="V335" i="42"/>
  <c r="N335" i="42"/>
  <c r="P335" i="42" s="1"/>
  <c r="B335" i="42"/>
  <c r="V334" i="42"/>
  <c r="N334" i="42"/>
  <c r="P334" i="42" s="1"/>
  <c r="B334" i="42"/>
  <c r="V333" i="42"/>
  <c r="N333" i="42"/>
  <c r="P333" i="42" s="1"/>
  <c r="B333" i="42"/>
  <c r="V332" i="42"/>
  <c r="N332" i="42"/>
  <c r="P332" i="42" s="1"/>
  <c r="B332" i="42"/>
  <c r="AQ331" i="42"/>
  <c r="AQ330" i="42"/>
  <c r="AX330" i="42" s="1"/>
  <c r="BH330" i="42" s="1"/>
  <c r="AF330" i="42"/>
  <c r="AE330" i="42"/>
  <c r="AD330" i="42"/>
  <c r="AC330" i="42"/>
  <c r="R330" i="42"/>
  <c r="V328" i="42"/>
  <c r="N328" i="42"/>
  <c r="P328" i="42" s="1"/>
  <c r="B328" i="42"/>
  <c r="V327" i="42"/>
  <c r="P327" i="42"/>
  <c r="N327" i="42"/>
  <c r="B327" i="42"/>
  <c r="V326" i="42"/>
  <c r="N326" i="42"/>
  <c r="P326" i="42" s="1"/>
  <c r="B326" i="42"/>
  <c r="V325" i="42"/>
  <c r="N325" i="42"/>
  <c r="P325" i="42" s="1"/>
  <c r="B325" i="42"/>
  <c r="AQ324" i="42"/>
  <c r="V323" i="42"/>
  <c r="N323" i="42"/>
  <c r="P323" i="42" s="1"/>
  <c r="B323" i="42"/>
  <c r="V322" i="42"/>
  <c r="N322" i="42"/>
  <c r="P322" i="42" s="1"/>
  <c r="B322" i="42"/>
  <c r="V321" i="42"/>
  <c r="N321" i="42"/>
  <c r="P321" i="42" s="1"/>
  <c r="B321" i="42"/>
  <c r="V320" i="42"/>
  <c r="N320" i="42"/>
  <c r="P320" i="42" s="1"/>
  <c r="B320" i="42"/>
  <c r="AQ319" i="42"/>
  <c r="V318" i="42"/>
  <c r="N318" i="42"/>
  <c r="P318" i="42" s="1"/>
  <c r="B318" i="42"/>
  <c r="V317" i="42"/>
  <c r="N317" i="42"/>
  <c r="P317" i="42" s="1"/>
  <c r="B317" i="42"/>
  <c r="V316" i="42"/>
  <c r="N316" i="42"/>
  <c r="P316" i="42" s="1"/>
  <c r="B316" i="42"/>
  <c r="V315" i="42"/>
  <c r="N315" i="42"/>
  <c r="P315" i="42" s="1"/>
  <c r="B315" i="42"/>
  <c r="AQ314" i="42"/>
  <c r="V313" i="42"/>
  <c r="N313" i="42"/>
  <c r="P313" i="42" s="1"/>
  <c r="B313" i="42"/>
  <c r="V312" i="42"/>
  <c r="N312" i="42"/>
  <c r="P312" i="42" s="1"/>
  <c r="B312" i="42"/>
  <c r="V311" i="42"/>
  <c r="N311" i="42"/>
  <c r="P311" i="42" s="1"/>
  <c r="B311" i="42"/>
  <c r="V310" i="42"/>
  <c r="N310" i="42"/>
  <c r="P310" i="42" s="1"/>
  <c r="B310" i="42"/>
  <c r="AQ309" i="42"/>
  <c r="V308" i="42"/>
  <c r="N308" i="42"/>
  <c r="P308" i="42" s="1"/>
  <c r="B308" i="42"/>
  <c r="V307" i="42"/>
  <c r="N307" i="42"/>
  <c r="P307" i="42" s="1"/>
  <c r="B307" i="42"/>
  <c r="V306" i="42"/>
  <c r="N306" i="42"/>
  <c r="P306" i="42" s="1"/>
  <c r="B306" i="42"/>
  <c r="V305" i="42"/>
  <c r="N305" i="42"/>
  <c r="P305" i="42" s="1"/>
  <c r="B305" i="42"/>
  <c r="AQ304" i="42"/>
  <c r="V303" i="42"/>
  <c r="P303" i="42"/>
  <c r="N303" i="42"/>
  <c r="B303" i="42"/>
  <c r="V302" i="42"/>
  <c r="N302" i="42"/>
  <c r="P302" i="42" s="1"/>
  <c r="B302" i="42"/>
  <c r="V301" i="42"/>
  <c r="N301" i="42"/>
  <c r="P301" i="42" s="1"/>
  <c r="B301" i="42"/>
  <c r="V300" i="42"/>
  <c r="N300" i="42"/>
  <c r="P300" i="42" s="1"/>
  <c r="B300" i="42"/>
  <c r="AQ299" i="42"/>
  <c r="AQ298" i="42"/>
  <c r="AX298" i="42" s="1"/>
  <c r="BH298" i="42" s="1"/>
  <c r="AF298" i="42"/>
  <c r="AE298" i="42"/>
  <c r="AD298" i="42"/>
  <c r="AC298" i="42"/>
  <c r="BH297" i="42"/>
  <c r="BJ297" i="42" s="1"/>
  <c r="V297" i="42"/>
  <c r="K297" i="42"/>
  <c r="J297" i="42"/>
  <c r="I297" i="42"/>
  <c r="BH296" i="42"/>
  <c r="BJ296" i="42" s="1"/>
  <c r="V296" i="42"/>
  <c r="K296" i="42"/>
  <c r="J296" i="42"/>
  <c r="I296" i="42"/>
  <c r="N296" i="42" s="1"/>
  <c r="P296" i="42" s="1"/>
  <c r="BH295" i="42"/>
  <c r="BJ295" i="42" s="1"/>
  <c r="V295" i="42"/>
  <c r="K295" i="42"/>
  <c r="J295" i="42"/>
  <c r="I295" i="42"/>
  <c r="AQ294" i="42"/>
  <c r="BH293" i="42"/>
  <c r="BI293" i="42" s="1"/>
  <c r="BK293" i="42" s="1"/>
  <c r="V293" i="42"/>
  <c r="E293" i="42"/>
  <c r="J293" i="42" s="1"/>
  <c r="D293" i="42"/>
  <c r="I293" i="42" s="1"/>
  <c r="B293" i="42"/>
  <c r="BH292" i="42"/>
  <c r="V292" i="42"/>
  <c r="E292" i="42"/>
  <c r="J292" i="42" s="1"/>
  <c r="D292" i="42"/>
  <c r="I292" i="42" s="1"/>
  <c r="B292" i="42"/>
  <c r="BK291" i="42"/>
  <c r="BH291" i="42"/>
  <c r="BI291" i="42" s="1"/>
  <c r="V291" i="42"/>
  <c r="E291" i="42"/>
  <c r="J291" i="42" s="1"/>
  <c r="D291" i="42"/>
  <c r="I291" i="42" s="1"/>
  <c r="B291" i="42"/>
  <c r="BH290" i="42"/>
  <c r="V290" i="42"/>
  <c r="E290" i="42"/>
  <c r="J290" i="42" s="1"/>
  <c r="D290" i="42"/>
  <c r="I290" i="42" s="1"/>
  <c r="B290" i="42"/>
  <c r="AQ289" i="42"/>
  <c r="BH288" i="42"/>
  <c r="BJ288" i="42" s="1"/>
  <c r="V288" i="42"/>
  <c r="J288" i="42"/>
  <c r="I288" i="42"/>
  <c r="B288" i="42"/>
  <c r="BH287" i="42"/>
  <c r="BI287" i="42" s="1"/>
  <c r="BK287" i="42" s="1"/>
  <c r="V287" i="42"/>
  <c r="J287" i="42"/>
  <c r="I287" i="42"/>
  <c r="B287" i="42"/>
  <c r="BH286" i="42"/>
  <c r="V286" i="42"/>
  <c r="J286" i="42"/>
  <c r="I286" i="42"/>
  <c r="B286" i="42"/>
  <c r="BJ285" i="42"/>
  <c r="BH285" i="42"/>
  <c r="BI285" i="42" s="1"/>
  <c r="BK285" i="42" s="1"/>
  <c r="V285" i="42"/>
  <c r="J285" i="42"/>
  <c r="I285" i="42"/>
  <c r="B285" i="42"/>
  <c r="AQ284" i="42"/>
  <c r="BH283" i="42"/>
  <c r="V283" i="42"/>
  <c r="E283" i="42"/>
  <c r="J283" i="42" s="1"/>
  <c r="D283" i="42"/>
  <c r="I283" i="42" s="1"/>
  <c r="B283" i="42"/>
  <c r="BH282" i="42"/>
  <c r="V282" i="42"/>
  <c r="E282" i="42"/>
  <c r="J282" i="42" s="1"/>
  <c r="D282" i="42"/>
  <c r="I282" i="42" s="1"/>
  <c r="B282" i="42"/>
  <c r="BH281" i="42"/>
  <c r="V281" i="42"/>
  <c r="E281" i="42"/>
  <c r="J281" i="42" s="1"/>
  <c r="D281" i="42"/>
  <c r="I281" i="42" s="1"/>
  <c r="B281" i="42"/>
  <c r="BH280" i="42"/>
  <c r="V280" i="42"/>
  <c r="E280" i="42"/>
  <c r="J280" i="42" s="1"/>
  <c r="D280" i="42"/>
  <c r="I280" i="42" s="1"/>
  <c r="B280" i="42"/>
  <c r="AQ279" i="42"/>
  <c r="AQ278" i="42"/>
  <c r="AX278" i="42" s="1"/>
  <c r="BH278" i="42" s="1"/>
  <c r="AF278" i="42"/>
  <c r="AE278" i="42"/>
  <c r="AD278" i="42"/>
  <c r="AC278" i="42"/>
  <c r="V277" i="42"/>
  <c r="N277" i="42"/>
  <c r="P277" i="42" s="1"/>
  <c r="B277" i="42"/>
  <c r="V276" i="42"/>
  <c r="N276" i="42"/>
  <c r="P276" i="42" s="1"/>
  <c r="B276" i="42"/>
  <c r="V275" i="42"/>
  <c r="N275" i="42"/>
  <c r="P275" i="42" s="1"/>
  <c r="B275" i="42"/>
  <c r="V274" i="42"/>
  <c r="N274" i="42"/>
  <c r="P274" i="42" s="1"/>
  <c r="B274" i="42"/>
  <c r="V273" i="42"/>
  <c r="F273" i="42"/>
  <c r="L273" i="42" s="1"/>
  <c r="N273" i="42" s="1"/>
  <c r="P273" i="42" s="1"/>
  <c r="B273" i="42"/>
  <c r="V272" i="42"/>
  <c r="F272" i="42"/>
  <c r="L272" i="42" s="1"/>
  <c r="N272" i="42" s="1"/>
  <c r="P272" i="42" s="1"/>
  <c r="B272" i="42"/>
  <c r="V271" i="42"/>
  <c r="F271" i="42"/>
  <c r="L271" i="42" s="1"/>
  <c r="N271" i="42" s="1"/>
  <c r="P271" i="42" s="1"/>
  <c r="B271" i="42"/>
  <c r="V270" i="42"/>
  <c r="F270" i="42"/>
  <c r="L270" i="42" s="1"/>
  <c r="N270" i="42" s="1"/>
  <c r="P270" i="42" s="1"/>
  <c r="B270" i="42"/>
  <c r="AQ269" i="42"/>
  <c r="V268" i="42"/>
  <c r="N268" i="42"/>
  <c r="P268" i="42" s="1"/>
  <c r="V267" i="42"/>
  <c r="N267" i="42"/>
  <c r="P267" i="42" s="1"/>
  <c r="V266" i="42"/>
  <c r="N266" i="42"/>
  <c r="P266" i="42" s="1"/>
  <c r="V265" i="42"/>
  <c r="N265" i="42"/>
  <c r="P265" i="42" s="1"/>
  <c r="V264" i="42"/>
  <c r="V263" i="42"/>
  <c r="L263" i="42"/>
  <c r="K263" i="42"/>
  <c r="V262" i="42"/>
  <c r="L262" i="42"/>
  <c r="E262" i="42"/>
  <c r="K262" i="42" s="1"/>
  <c r="V261" i="42"/>
  <c r="L261" i="42"/>
  <c r="K261" i="42"/>
  <c r="B261" i="42"/>
  <c r="V260" i="42"/>
  <c r="L260" i="42"/>
  <c r="K260" i="42"/>
  <c r="B260" i="42"/>
  <c r="V259" i="42"/>
  <c r="L259" i="42"/>
  <c r="K259" i="42"/>
  <c r="B259" i="42"/>
  <c r="V258" i="42"/>
  <c r="L258" i="42"/>
  <c r="L264" i="42" s="1"/>
  <c r="K258" i="42"/>
  <c r="B258" i="42"/>
  <c r="AQ257" i="42"/>
  <c r="V256" i="42"/>
  <c r="N256" i="42"/>
  <c r="P256" i="42" s="1"/>
  <c r="B256" i="42"/>
  <c r="V255" i="42"/>
  <c r="N255" i="42"/>
  <c r="P255" i="42" s="1"/>
  <c r="B255" i="42"/>
  <c r="V254" i="42"/>
  <c r="N254" i="42"/>
  <c r="P254" i="42" s="1"/>
  <c r="B254" i="42"/>
  <c r="V253" i="42"/>
  <c r="N253" i="42"/>
  <c r="P253" i="42" s="1"/>
  <c r="B253" i="42"/>
  <c r="AQ252" i="42"/>
  <c r="AQ251" i="42"/>
  <c r="AX251" i="42" s="1"/>
  <c r="AF251" i="42"/>
  <c r="AE251" i="42"/>
  <c r="AD251" i="42"/>
  <c r="AC251" i="42"/>
  <c r="R251" i="42"/>
  <c r="R266" i="42" s="1"/>
  <c r="V250" i="42"/>
  <c r="N250" i="42"/>
  <c r="P250" i="42" s="1"/>
  <c r="BA248" i="42"/>
  <c r="AY248" i="42"/>
  <c r="AX248" i="42"/>
  <c r="AT248" i="42"/>
  <c r="AS248" i="42"/>
  <c r="V248" i="42"/>
  <c r="N248" i="42"/>
  <c r="P248" i="42" s="1"/>
  <c r="B248" i="42"/>
  <c r="AZ247" i="42"/>
  <c r="V247" i="42"/>
  <c r="N247" i="42"/>
  <c r="P247" i="42" s="1"/>
  <c r="B247" i="42"/>
  <c r="AZ246" i="42"/>
  <c r="V246" i="42"/>
  <c r="N246" i="42"/>
  <c r="P246" i="42" s="1"/>
  <c r="B246" i="42"/>
  <c r="AZ245" i="42"/>
  <c r="AZ248" i="42" s="1"/>
  <c r="V245" i="42"/>
  <c r="N245" i="42"/>
  <c r="P245" i="42" s="1"/>
  <c r="B245" i="42"/>
  <c r="AQ244" i="42"/>
  <c r="AQ243" i="42"/>
  <c r="AX243" i="42" s="1"/>
  <c r="AF243" i="42"/>
  <c r="AE243" i="42"/>
  <c r="AD243" i="42"/>
  <c r="AC243" i="42"/>
  <c r="R243" i="42"/>
  <c r="V242" i="42"/>
  <c r="N242" i="42"/>
  <c r="P242" i="42" s="1"/>
  <c r="V240" i="42"/>
  <c r="N240" i="42"/>
  <c r="P240" i="42" s="1"/>
  <c r="B240" i="42"/>
  <c r="V239" i="42"/>
  <c r="N239" i="42"/>
  <c r="P239" i="42" s="1"/>
  <c r="B239" i="42"/>
  <c r="V238" i="42"/>
  <c r="U238" i="42"/>
  <c r="N238" i="42"/>
  <c r="P238" i="42" s="1"/>
  <c r="B238" i="42"/>
  <c r="V237" i="42"/>
  <c r="N237" i="42"/>
  <c r="P237" i="42" s="1"/>
  <c r="B237" i="42"/>
  <c r="AQ236" i="42"/>
  <c r="AQ235" i="42"/>
  <c r="AX235" i="42" s="1"/>
  <c r="AF235" i="42"/>
  <c r="AE235" i="42"/>
  <c r="AD235" i="42"/>
  <c r="AC235" i="42"/>
  <c r="R235" i="42"/>
  <c r="R240" i="42" s="1"/>
  <c r="V234" i="42"/>
  <c r="N234" i="42"/>
  <c r="P234" i="42" s="1"/>
  <c r="V232" i="42"/>
  <c r="N232" i="42"/>
  <c r="P232" i="42" s="1"/>
  <c r="B232" i="42"/>
  <c r="V231" i="42"/>
  <c r="N231" i="42"/>
  <c r="P231" i="42" s="1"/>
  <c r="B231" i="42"/>
  <c r="V230" i="42"/>
  <c r="N230" i="42"/>
  <c r="P230" i="42" s="1"/>
  <c r="B230" i="42"/>
  <c r="V229" i="42"/>
  <c r="N229" i="42"/>
  <c r="P229" i="42" s="1"/>
  <c r="B229" i="42"/>
  <c r="AQ228" i="42"/>
  <c r="AQ227" i="42"/>
  <c r="AX227" i="42" s="1"/>
  <c r="AF227" i="42"/>
  <c r="AE227" i="42"/>
  <c r="AD227" i="42"/>
  <c r="AC227" i="42"/>
  <c r="R227" i="42"/>
  <c r="R234" i="42" s="1"/>
  <c r="V226" i="42"/>
  <c r="N226" i="42"/>
  <c r="P226" i="42" s="1"/>
  <c r="V224" i="42"/>
  <c r="N224" i="42"/>
  <c r="P224" i="42" s="1"/>
  <c r="B224" i="42"/>
  <c r="V223" i="42"/>
  <c r="N223" i="42"/>
  <c r="P223" i="42" s="1"/>
  <c r="B223" i="42"/>
  <c r="V222" i="42"/>
  <c r="N222" i="42"/>
  <c r="P222" i="42" s="1"/>
  <c r="B222" i="42"/>
  <c r="V221" i="42"/>
  <c r="N221" i="42"/>
  <c r="P221" i="42" s="1"/>
  <c r="B221" i="42"/>
  <c r="AQ220" i="42"/>
  <c r="AQ219" i="42"/>
  <c r="AX219" i="42" s="1"/>
  <c r="AF219" i="42"/>
  <c r="AE219" i="42"/>
  <c r="AD219" i="42"/>
  <c r="AC219" i="42"/>
  <c r="R219" i="42"/>
  <c r="V217" i="42"/>
  <c r="R217" i="42"/>
  <c r="X216" i="42"/>
  <c r="V216" i="42"/>
  <c r="R216" i="42"/>
  <c r="V215" i="42"/>
  <c r="R215" i="42"/>
  <c r="X214" i="42"/>
  <c r="V214" i="42"/>
  <c r="R214" i="42"/>
  <c r="V212" i="42"/>
  <c r="R212" i="42"/>
  <c r="O212" i="42"/>
  <c r="M212" i="42"/>
  <c r="V211" i="42"/>
  <c r="R211" i="42"/>
  <c r="O211" i="42"/>
  <c r="M211" i="42"/>
  <c r="V210" i="42"/>
  <c r="R210" i="42"/>
  <c r="M210" i="42"/>
  <c r="V209" i="42"/>
  <c r="R209" i="42"/>
  <c r="O209" i="42"/>
  <c r="M209" i="42"/>
  <c r="V208" i="42"/>
  <c r="R208" i="42"/>
  <c r="O208" i="42"/>
  <c r="M208" i="42"/>
  <c r="V207" i="42"/>
  <c r="R207" i="42"/>
  <c r="M207" i="42"/>
  <c r="V206" i="42"/>
  <c r="R206" i="42"/>
  <c r="M206" i="42"/>
  <c r="V205" i="42"/>
  <c r="R205" i="42"/>
  <c r="M205" i="42"/>
  <c r="L205" i="42"/>
  <c r="N205" i="42" s="1"/>
  <c r="T203" i="42"/>
  <c r="V203" i="42" s="1"/>
  <c r="R203" i="42"/>
  <c r="J203" i="42"/>
  <c r="T202" i="42"/>
  <c r="V202" i="42" s="1"/>
  <c r="R202" i="42"/>
  <c r="O202" i="42"/>
  <c r="V201" i="42"/>
  <c r="R201" i="42"/>
  <c r="O201" i="42"/>
  <c r="V199" i="42"/>
  <c r="R199" i="42"/>
  <c r="N199" i="42"/>
  <c r="M199" i="42"/>
  <c r="V198" i="42"/>
  <c r="R198" i="42"/>
  <c r="N198" i="42"/>
  <c r="V197" i="42"/>
  <c r="R197" i="42"/>
  <c r="N197" i="42"/>
  <c r="V195" i="42"/>
  <c r="R195" i="42"/>
  <c r="J195" i="42"/>
  <c r="C195" i="42"/>
  <c r="V194" i="42"/>
  <c r="R194" i="42"/>
  <c r="J194" i="42"/>
  <c r="C194" i="42"/>
  <c r="V193" i="42"/>
  <c r="R193" i="42"/>
  <c r="J193" i="42"/>
  <c r="C193" i="42"/>
  <c r="V192" i="42"/>
  <c r="R192" i="42"/>
  <c r="N192" i="42"/>
  <c r="V191" i="42"/>
  <c r="R191" i="42"/>
  <c r="J191" i="42"/>
  <c r="C191" i="42"/>
  <c r="V190" i="42"/>
  <c r="R190" i="42"/>
  <c r="J190" i="42"/>
  <c r="AF188" i="42"/>
  <c r="AE188" i="42"/>
  <c r="AD188" i="42"/>
  <c r="AC188" i="42"/>
  <c r="AF187" i="42"/>
  <c r="AE187" i="42"/>
  <c r="AD187" i="42"/>
  <c r="AC187" i="42"/>
  <c r="V187" i="42"/>
  <c r="O187" i="42"/>
  <c r="C187" i="42"/>
  <c r="X186" i="42"/>
  <c r="V186" i="42"/>
  <c r="C186" i="42"/>
  <c r="AF185" i="42"/>
  <c r="AE185" i="42"/>
  <c r="AD185" i="42"/>
  <c r="AC185" i="42"/>
  <c r="V185" i="42"/>
  <c r="O185" i="42"/>
  <c r="L185" i="42"/>
  <c r="K185" i="42"/>
  <c r="C185" i="42"/>
  <c r="V184" i="42"/>
  <c r="N184" i="42"/>
  <c r="C184" i="42"/>
  <c r="AF183" i="42"/>
  <c r="AE183" i="42"/>
  <c r="AD183" i="42"/>
  <c r="AC183" i="42"/>
  <c r="V183" i="42"/>
  <c r="O183" i="42"/>
  <c r="C183" i="42"/>
  <c r="V182" i="42"/>
  <c r="L182" i="42"/>
  <c r="L183" i="42" s="1"/>
  <c r="C182" i="42"/>
  <c r="AF181" i="42"/>
  <c r="AE181" i="42"/>
  <c r="AD181" i="42"/>
  <c r="AC181" i="42"/>
  <c r="V181" i="42"/>
  <c r="O181" i="42"/>
  <c r="C181" i="42"/>
  <c r="V180" i="42"/>
  <c r="L180" i="42"/>
  <c r="L181" i="42" s="1"/>
  <c r="C180" i="42"/>
  <c r="AF179" i="42"/>
  <c r="AE179" i="42"/>
  <c r="AD179" i="42"/>
  <c r="AC179" i="42"/>
  <c r="V179" i="42"/>
  <c r="O179" i="42"/>
  <c r="C179" i="42"/>
  <c r="V178" i="42"/>
  <c r="F178" i="42"/>
  <c r="L178" i="42" s="1"/>
  <c r="L179" i="42" s="1"/>
  <c r="C178" i="42"/>
  <c r="V176" i="42"/>
  <c r="N176" i="42"/>
  <c r="P176" i="42" s="1"/>
  <c r="B176" i="42"/>
  <c r="V175" i="42"/>
  <c r="N175" i="42"/>
  <c r="P175" i="42" s="1"/>
  <c r="B175" i="42"/>
  <c r="AQ174" i="42"/>
  <c r="V173" i="42"/>
  <c r="N173" i="42"/>
  <c r="P173" i="42" s="1"/>
  <c r="B173" i="42"/>
  <c r="V172" i="42"/>
  <c r="N172" i="42"/>
  <c r="P172" i="42" s="1"/>
  <c r="B172" i="42"/>
  <c r="AQ171" i="42"/>
  <c r="AQ170" i="42"/>
  <c r="AX170" i="42" s="1"/>
  <c r="AF170" i="42"/>
  <c r="AE170" i="42"/>
  <c r="AD170" i="42"/>
  <c r="AC170" i="42"/>
  <c r="R170" i="42"/>
  <c r="R186" i="42" s="1"/>
  <c r="AF169" i="42"/>
  <c r="AE169" i="42"/>
  <c r="AD169" i="42"/>
  <c r="AC169" i="42"/>
  <c r="V169" i="42"/>
  <c r="O169" i="42"/>
  <c r="C169" i="42"/>
  <c r="X168" i="42"/>
  <c r="V168" i="42"/>
  <c r="C168" i="42"/>
  <c r="AF167" i="42"/>
  <c r="AE167" i="42"/>
  <c r="AD167" i="42"/>
  <c r="AC167" i="42"/>
  <c r="V167" i="42"/>
  <c r="O167" i="42"/>
  <c r="L167" i="42"/>
  <c r="K167" i="42"/>
  <c r="C167" i="42"/>
  <c r="V166" i="42"/>
  <c r="N166" i="42"/>
  <c r="C166" i="42"/>
  <c r="AF165" i="42"/>
  <c r="AE165" i="42"/>
  <c r="AD165" i="42"/>
  <c r="AC165" i="42"/>
  <c r="V165" i="42"/>
  <c r="O165" i="42"/>
  <c r="L165" i="42"/>
  <c r="C165" i="42"/>
  <c r="V164" i="42"/>
  <c r="L164" i="42"/>
  <c r="C164" i="42"/>
  <c r="AF163" i="42"/>
  <c r="AE163" i="42"/>
  <c r="AD163" i="42"/>
  <c r="AC163" i="42"/>
  <c r="V163" i="42"/>
  <c r="O163" i="42"/>
  <c r="C163" i="42"/>
  <c r="V162" i="42"/>
  <c r="L162" i="42"/>
  <c r="L163" i="42" s="1"/>
  <c r="C162" i="42"/>
  <c r="AF161" i="42"/>
  <c r="AE161" i="42"/>
  <c r="AD161" i="42"/>
  <c r="AC161" i="42"/>
  <c r="V161" i="42"/>
  <c r="O161" i="42"/>
  <c r="C161" i="42"/>
  <c r="V160" i="42"/>
  <c r="F160" i="42"/>
  <c r="L160" i="42" s="1"/>
  <c r="L161" i="42" s="1"/>
  <c r="C160" i="42"/>
  <c r="V158" i="42"/>
  <c r="N158" i="42"/>
  <c r="P158" i="42" s="1"/>
  <c r="B158" i="42"/>
  <c r="V157" i="42"/>
  <c r="P157" i="42"/>
  <c r="N157" i="42"/>
  <c r="B157" i="42"/>
  <c r="AQ156" i="42"/>
  <c r="V155" i="42"/>
  <c r="N155" i="42"/>
  <c r="P155" i="42" s="1"/>
  <c r="B155" i="42"/>
  <c r="V154" i="42"/>
  <c r="N154" i="42"/>
  <c r="P154" i="42" s="1"/>
  <c r="B154" i="42"/>
  <c r="AQ153" i="42"/>
  <c r="AQ152" i="42"/>
  <c r="AX152" i="42" s="1"/>
  <c r="AF152" i="42"/>
  <c r="AE152" i="42"/>
  <c r="AD152" i="42"/>
  <c r="AC152" i="42"/>
  <c r="R152" i="42"/>
  <c r="R169" i="42" s="1"/>
  <c r="AF151" i="42"/>
  <c r="AE151" i="42"/>
  <c r="AD151" i="42"/>
  <c r="AC151" i="42"/>
  <c r="V151" i="42"/>
  <c r="O151" i="42"/>
  <c r="C151" i="42"/>
  <c r="V150" i="42"/>
  <c r="F150" i="42"/>
  <c r="L150" i="42" s="1"/>
  <c r="L151" i="42" s="1"/>
  <c r="C150" i="42"/>
  <c r="V148" i="42"/>
  <c r="N148" i="42"/>
  <c r="P148" i="42" s="1"/>
  <c r="B148" i="42"/>
  <c r="V147" i="42"/>
  <c r="N147" i="42"/>
  <c r="P147" i="42" s="1"/>
  <c r="B147" i="42"/>
  <c r="AQ146" i="42"/>
  <c r="AQ145" i="42"/>
  <c r="AX145" i="42" s="1"/>
  <c r="AF145" i="42"/>
  <c r="AE145" i="42"/>
  <c r="AD145" i="42"/>
  <c r="AC145" i="42"/>
  <c r="R145" i="42"/>
  <c r="R147" i="42" s="1"/>
  <c r="S147" i="42" s="1"/>
  <c r="Z147" i="42" s="1"/>
  <c r="AF144" i="42"/>
  <c r="AE144" i="42"/>
  <c r="AD144" i="42"/>
  <c r="AC144" i="42"/>
  <c r="V144" i="42"/>
  <c r="O144" i="42"/>
  <c r="C144" i="42"/>
  <c r="V143" i="42"/>
  <c r="F143" i="42"/>
  <c r="L143" i="42" s="1"/>
  <c r="L144" i="42" s="1"/>
  <c r="C143" i="42"/>
  <c r="V141" i="42"/>
  <c r="N141" i="42"/>
  <c r="P141" i="42" s="1"/>
  <c r="B141" i="42"/>
  <c r="V140" i="42"/>
  <c r="N140" i="42"/>
  <c r="P140" i="42" s="1"/>
  <c r="B140" i="42"/>
  <c r="AQ139" i="42"/>
  <c r="AQ138" i="42"/>
  <c r="AX138" i="42" s="1"/>
  <c r="AF138" i="42"/>
  <c r="AE138" i="42"/>
  <c r="AD138" i="42"/>
  <c r="AC138" i="42"/>
  <c r="R138" i="42"/>
  <c r="R143" i="42" s="1"/>
  <c r="AF136" i="42"/>
  <c r="AE136" i="42"/>
  <c r="AD136" i="42"/>
  <c r="AC136" i="42"/>
  <c r="V136" i="42"/>
  <c r="R136" i="42"/>
  <c r="O136" i="42"/>
  <c r="C136" i="42"/>
  <c r="V135" i="42"/>
  <c r="R135" i="42"/>
  <c r="C135" i="42"/>
  <c r="AF134" i="42"/>
  <c r="AE134" i="42"/>
  <c r="AD134" i="42"/>
  <c r="AC134" i="42"/>
  <c r="V134" i="42"/>
  <c r="R134" i="42"/>
  <c r="O134" i="42"/>
  <c r="C134" i="42"/>
  <c r="V133" i="42"/>
  <c r="R133" i="42"/>
  <c r="C133" i="42"/>
  <c r="AF132" i="42"/>
  <c r="AE132" i="42"/>
  <c r="AD132" i="42"/>
  <c r="AC132" i="42"/>
  <c r="V132" i="42"/>
  <c r="R132" i="42"/>
  <c r="O132" i="42"/>
  <c r="C132" i="42"/>
  <c r="V131" i="42"/>
  <c r="R131" i="42"/>
  <c r="C131" i="42"/>
  <c r="AF130" i="42"/>
  <c r="AE130" i="42"/>
  <c r="AD130" i="42"/>
  <c r="AC130" i="42"/>
  <c r="V130" i="42"/>
  <c r="R130" i="42"/>
  <c r="O130" i="42"/>
  <c r="L130" i="42"/>
  <c r="K130" i="42"/>
  <c r="C130" i="42"/>
  <c r="V129" i="42"/>
  <c r="R129" i="42"/>
  <c r="N129" i="42"/>
  <c r="P129" i="42" s="1"/>
  <c r="C129" i="42"/>
  <c r="AF128" i="42"/>
  <c r="AE128" i="42"/>
  <c r="AD128" i="42"/>
  <c r="AC128" i="42"/>
  <c r="AF127" i="42"/>
  <c r="AE127" i="42"/>
  <c r="AD127" i="42"/>
  <c r="AC127" i="42"/>
  <c r="V127" i="42"/>
  <c r="R127" i="42"/>
  <c r="O127" i="42"/>
  <c r="L127" i="42"/>
  <c r="K127" i="42"/>
  <c r="C127" i="42"/>
  <c r="V126" i="42"/>
  <c r="R126" i="42"/>
  <c r="N126" i="42"/>
  <c r="C126" i="42"/>
  <c r="AF125" i="42"/>
  <c r="AE125" i="42"/>
  <c r="AD125" i="42"/>
  <c r="AC125" i="42"/>
  <c r="V125" i="42"/>
  <c r="R125" i="42"/>
  <c r="O125" i="42"/>
  <c r="L125" i="42"/>
  <c r="K125" i="42"/>
  <c r="C125" i="42"/>
  <c r="V124" i="42"/>
  <c r="R124" i="42"/>
  <c r="N124" i="42"/>
  <c r="C124" i="42"/>
  <c r="AF123" i="42"/>
  <c r="AE123" i="42"/>
  <c r="AD123" i="42"/>
  <c r="AC123" i="42"/>
  <c r="V123" i="42"/>
  <c r="R123" i="42"/>
  <c r="O123" i="42"/>
  <c r="L123" i="42"/>
  <c r="K123" i="42"/>
  <c r="C123" i="42"/>
  <c r="V122" i="42"/>
  <c r="R122" i="42"/>
  <c r="N122" i="42"/>
  <c r="C122" i="42"/>
  <c r="AF121" i="42"/>
  <c r="AE121" i="42"/>
  <c r="AD121" i="42"/>
  <c r="AC121" i="42"/>
  <c r="V121" i="42"/>
  <c r="R121" i="42"/>
  <c r="O121" i="42"/>
  <c r="L121" i="42"/>
  <c r="K121" i="42"/>
  <c r="C121" i="42"/>
  <c r="V120" i="42"/>
  <c r="R120" i="42"/>
  <c r="N120" i="42"/>
  <c r="C120" i="42"/>
  <c r="AF119" i="42"/>
  <c r="AE119" i="42"/>
  <c r="AD119" i="42"/>
  <c r="AC119" i="42"/>
  <c r="V119" i="42"/>
  <c r="R119" i="42"/>
  <c r="O119" i="42"/>
  <c r="C119" i="42"/>
  <c r="V118" i="42"/>
  <c r="R118" i="42"/>
  <c r="F118" i="42"/>
  <c r="L118" i="42" s="1"/>
  <c r="L119" i="42" s="1"/>
  <c r="C118" i="42"/>
  <c r="AF117" i="42"/>
  <c r="AE117" i="42"/>
  <c r="AD117" i="42"/>
  <c r="AC117" i="42"/>
  <c r="V117" i="42"/>
  <c r="R117" i="42"/>
  <c r="O117" i="42"/>
  <c r="C117" i="42"/>
  <c r="V116" i="42"/>
  <c r="R116" i="42"/>
  <c r="F116" i="42"/>
  <c r="L116" i="42" s="1"/>
  <c r="L117" i="42" s="1"/>
  <c r="E116" i="42"/>
  <c r="K116" i="42" s="1"/>
  <c r="C116" i="42"/>
  <c r="AF115" i="42"/>
  <c r="AE115" i="42"/>
  <c r="AD115" i="42"/>
  <c r="AC115" i="42"/>
  <c r="V115" i="42"/>
  <c r="R115" i="42"/>
  <c r="O115" i="42"/>
  <c r="C115" i="42"/>
  <c r="V114" i="42"/>
  <c r="R114" i="42"/>
  <c r="F114" i="42"/>
  <c r="L114" i="42" s="1"/>
  <c r="L115" i="42" s="1"/>
  <c r="C114" i="42"/>
  <c r="AF113" i="42"/>
  <c r="AE113" i="42"/>
  <c r="AD113" i="42"/>
  <c r="AC113" i="42"/>
  <c r="AF112" i="42"/>
  <c r="V112" i="42"/>
  <c r="R112" i="42"/>
  <c r="O112" i="42"/>
  <c r="C112" i="42"/>
  <c r="V111" i="42"/>
  <c r="R111" i="42"/>
  <c r="C111" i="42"/>
  <c r="AE110" i="42"/>
  <c r="AD110" i="42"/>
  <c r="AC110" i="42"/>
  <c r="V110" i="42"/>
  <c r="R110" i="42"/>
  <c r="O110" i="42"/>
  <c r="C110" i="42"/>
  <c r="V109" i="42"/>
  <c r="R109" i="42"/>
  <c r="C109" i="42"/>
  <c r="AF108" i="42"/>
  <c r="AE108" i="42"/>
  <c r="AD108" i="42"/>
  <c r="AC108" i="42"/>
  <c r="V108" i="42"/>
  <c r="R108" i="42"/>
  <c r="O108" i="42"/>
  <c r="C108" i="42"/>
  <c r="V107" i="42"/>
  <c r="R107" i="42"/>
  <c r="C107" i="42"/>
  <c r="AF106" i="42"/>
  <c r="AE106" i="42"/>
  <c r="AD106" i="42"/>
  <c r="AC106" i="42"/>
  <c r="V106" i="42"/>
  <c r="R106" i="42"/>
  <c r="O106" i="42"/>
  <c r="C106" i="42"/>
  <c r="V105" i="42"/>
  <c r="R105" i="42"/>
  <c r="C105" i="42"/>
  <c r="AF104" i="42"/>
  <c r="AE104" i="42"/>
  <c r="AD104" i="42"/>
  <c r="AC104" i="42"/>
  <c r="V104" i="42"/>
  <c r="R104" i="42"/>
  <c r="O104" i="42"/>
  <c r="C104" i="42"/>
  <c r="V103" i="42"/>
  <c r="R103" i="42"/>
  <c r="C103" i="42"/>
  <c r="AF102" i="42"/>
  <c r="V102" i="42"/>
  <c r="R102" i="42"/>
  <c r="O102" i="42"/>
  <c r="C102" i="42"/>
  <c r="V101" i="42"/>
  <c r="R101" i="42"/>
  <c r="C101" i="42"/>
  <c r="AE100" i="42"/>
  <c r="AD100" i="42"/>
  <c r="AC100" i="42"/>
  <c r="V100" i="42"/>
  <c r="R100" i="42"/>
  <c r="O100" i="42"/>
  <c r="C100" i="42"/>
  <c r="V99" i="42"/>
  <c r="R99" i="42"/>
  <c r="C99" i="42"/>
  <c r="AE98" i="42"/>
  <c r="AD98" i="42"/>
  <c r="AC98" i="42"/>
  <c r="V98" i="42"/>
  <c r="R98" i="42"/>
  <c r="O98" i="42"/>
  <c r="C98" i="42"/>
  <c r="V97" i="42"/>
  <c r="R97" i="42"/>
  <c r="C97" i="42"/>
  <c r="AF96" i="42"/>
  <c r="V96" i="42"/>
  <c r="R96" i="42"/>
  <c r="O96" i="42"/>
  <c r="C96" i="42"/>
  <c r="V95" i="42"/>
  <c r="R95" i="42"/>
  <c r="C95" i="42"/>
  <c r="AE94" i="42"/>
  <c r="AD94" i="42"/>
  <c r="AC94" i="42"/>
  <c r="V94" i="42"/>
  <c r="R94" i="42"/>
  <c r="O94" i="42"/>
  <c r="C94" i="42"/>
  <c r="V93" i="42"/>
  <c r="R93" i="42"/>
  <c r="C93" i="42"/>
  <c r="AF92" i="42"/>
  <c r="AE92" i="42"/>
  <c r="AD92" i="42"/>
  <c r="AC92" i="42"/>
  <c r="V92" i="42"/>
  <c r="R92" i="42"/>
  <c r="O92" i="42"/>
  <c r="C92" i="42"/>
  <c r="V91" i="42"/>
  <c r="R91" i="42"/>
  <c r="C91" i="42"/>
  <c r="AF90" i="42"/>
  <c r="AE90" i="42"/>
  <c r="AD90" i="42"/>
  <c r="AC90" i="42"/>
  <c r="AF89" i="42"/>
  <c r="AE89" i="42"/>
  <c r="AD89" i="42"/>
  <c r="AC89" i="42"/>
  <c r="V89" i="42"/>
  <c r="R89" i="42"/>
  <c r="O89" i="42"/>
  <c r="C89" i="42"/>
  <c r="V88" i="42"/>
  <c r="R88" i="42"/>
  <c r="L88" i="42"/>
  <c r="L89" i="42" s="1"/>
  <c r="C88" i="42"/>
  <c r="AF87" i="42"/>
  <c r="AE87" i="42"/>
  <c r="AD87" i="42"/>
  <c r="AC87" i="42"/>
  <c r="V87" i="42"/>
  <c r="R87" i="42"/>
  <c r="O87" i="42"/>
  <c r="C87" i="42"/>
  <c r="V86" i="42"/>
  <c r="R86" i="42"/>
  <c r="L86" i="42"/>
  <c r="L87" i="42" s="1"/>
  <c r="C86" i="42"/>
  <c r="AF85" i="42"/>
  <c r="AE85" i="42"/>
  <c r="AD85" i="42"/>
  <c r="AC85" i="42"/>
  <c r="AF84" i="42"/>
  <c r="AE84" i="42"/>
  <c r="AD84" i="42"/>
  <c r="AC84" i="42"/>
  <c r="P83" i="42"/>
  <c r="O83" i="42"/>
  <c r="I83" i="42"/>
  <c r="E83" i="42"/>
  <c r="C83" i="42"/>
  <c r="B83" i="42"/>
  <c r="P82" i="42"/>
  <c r="O82" i="42"/>
  <c r="I82" i="42"/>
  <c r="E82" i="42"/>
  <c r="C82" i="42"/>
  <c r="B82" i="42"/>
  <c r="P81" i="42"/>
  <c r="O81" i="42"/>
  <c r="I81" i="42"/>
  <c r="E81" i="42"/>
  <c r="C81" i="42"/>
  <c r="B81" i="42"/>
  <c r="P80" i="42"/>
  <c r="O80" i="42"/>
  <c r="I80" i="42"/>
  <c r="E80" i="42"/>
  <c r="C80" i="42"/>
  <c r="B80" i="42"/>
  <c r="C79" i="42"/>
  <c r="AF78" i="42"/>
  <c r="AE78" i="42"/>
  <c r="AD78" i="42"/>
  <c r="AC78" i="42"/>
  <c r="M77" i="42"/>
  <c r="G77" i="42"/>
  <c r="E77" i="42"/>
  <c r="C77" i="42"/>
  <c r="B77" i="42"/>
  <c r="M76" i="42"/>
  <c r="G76" i="42"/>
  <c r="E76" i="42"/>
  <c r="C76" i="42"/>
  <c r="B76" i="42"/>
  <c r="M75" i="42"/>
  <c r="L75" i="42"/>
  <c r="G75" i="42"/>
  <c r="E75" i="42"/>
  <c r="C75" i="42"/>
  <c r="B75" i="42"/>
  <c r="M74" i="42"/>
  <c r="G74" i="42"/>
  <c r="E74" i="42"/>
  <c r="C74" i="42"/>
  <c r="H73" i="42" s="1"/>
  <c r="B74" i="42"/>
  <c r="L73" i="42"/>
  <c r="L77" i="42" s="1"/>
  <c r="AF72" i="42"/>
  <c r="AE72" i="42"/>
  <c r="AD72" i="42"/>
  <c r="AC72" i="42"/>
  <c r="H70" i="42"/>
  <c r="S69" i="42"/>
  <c r="P69" i="42"/>
  <c r="H69" i="42"/>
  <c r="P68" i="42"/>
  <c r="M68" i="42"/>
  <c r="M67" i="42"/>
  <c r="T65" i="42"/>
  <c r="V65" i="42" s="1"/>
  <c r="Q65" i="42"/>
  <c r="N65" i="42"/>
  <c r="O65" i="42" s="1"/>
  <c r="K65" i="42"/>
  <c r="K53" i="42"/>
  <c r="G50" i="42"/>
  <c r="G49" i="42"/>
  <c r="K48" i="42"/>
  <c r="G48" i="42"/>
  <c r="D48" i="42"/>
  <c r="K47" i="42"/>
  <c r="D47" i="42"/>
  <c r="K46" i="42"/>
  <c r="D46" i="42"/>
  <c r="K45" i="42"/>
  <c r="D45" i="42"/>
  <c r="V43" i="42"/>
  <c r="Y43" i="42" s="1"/>
  <c r="R43" i="42"/>
  <c r="U43" i="42" s="1"/>
  <c r="E43" i="42"/>
  <c r="C43" i="42"/>
  <c r="L43" i="42" s="1"/>
  <c r="M32" i="42"/>
  <c r="K32" i="42"/>
  <c r="I32" i="42"/>
  <c r="G32" i="42"/>
  <c r="E32" i="42"/>
  <c r="M31" i="42"/>
  <c r="K31" i="42"/>
  <c r="I31" i="42"/>
  <c r="G31" i="42"/>
  <c r="E31" i="42"/>
  <c r="M30" i="42"/>
  <c r="K30" i="42"/>
  <c r="I30" i="42"/>
  <c r="G30" i="42"/>
  <c r="F30" i="42"/>
  <c r="E30" i="42"/>
  <c r="D30" i="42"/>
  <c r="M29" i="42"/>
  <c r="K29" i="42"/>
  <c r="I29" i="42"/>
  <c r="G29" i="42"/>
  <c r="F29" i="42"/>
  <c r="E29" i="42"/>
  <c r="D29" i="42"/>
  <c r="M28" i="42"/>
  <c r="I28" i="42"/>
  <c r="G28" i="42"/>
  <c r="F28" i="42"/>
  <c r="E28" i="42"/>
  <c r="D28" i="42"/>
  <c r="M27" i="42"/>
  <c r="I27" i="42"/>
  <c r="G27" i="42"/>
  <c r="F27" i="42"/>
  <c r="E27" i="42"/>
  <c r="D27" i="42"/>
  <c r="M26" i="42"/>
  <c r="G26" i="42"/>
  <c r="E26" i="42"/>
  <c r="M25" i="42"/>
  <c r="G25" i="42"/>
  <c r="E25" i="42"/>
  <c r="M24" i="42"/>
  <c r="G24" i="42"/>
  <c r="E24" i="42"/>
  <c r="M23" i="42"/>
  <c r="G23" i="42"/>
  <c r="E23" i="42"/>
  <c r="M22" i="42"/>
  <c r="C21" i="42"/>
  <c r="X21" i="42" s="1"/>
  <c r="I16" i="42"/>
  <c r="F16" i="42"/>
  <c r="R12" i="42"/>
  <c r="R11" i="42" s="1"/>
  <c r="K12" i="42"/>
  <c r="K11" i="42" s="1"/>
  <c r="U130" i="42" s="1"/>
  <c r="W11" i="42"/>
  <c r="V11" i="42"/>
  <c r="U11" i="42"/>
  <c r="T11" i="42"/>
  <c r="S11" i="42"/>
  <c r="Q11" i="42"/>
  <c r="U106" i="42" s="1"/>
  <c r="P11" i="42"/>
  <c r="O11" i="42"/>
  <c r="N11" i="42"/>
  <c r="M11" i="42"/>
  <c r="L11" i="42"/>
  <c r="J11" i="42"/>
  <c r="X130" i="42" s="1"/>
  <c r="G11" i="42"/>
  <c r="I11" i="42" s="1"/>
  <c r="D11" i="42"/>
  <c r="F11" i="42" s="1"/>
  <c r="U88" i="42" s="1"/>
  <c r="Z9" i="42"/>
  <c r="Y648" i="42" s="1"/>
  <c r="N121" i="42" l="1"/>
  <c r="P121" i="42" s="1"/>
  <c r="P65" i="42"/>
  <c r="N260" i="42"/>
  <c r="BI357" i="42"/>
  <c r="BK357" i="42" s="1"/>
  <c r="BL357" i="42" s="1"/>
  <c r="BM357" i="42" s="1"/>
  <c r="AS357" i="42" s="1"/>
  <c r="Z452" i="42"/>
  <c r="AL452" i="42" s="1"/>
  <c r="S579" i="42"/>
  <c r="Y582" i="42"/>
  <c r="AJ582" i="42" s="1"/>
  <c r="S587" i="42"/>
  <c r="Y601" i="42"/>
  <c r="AJ601" i="42" s="1"/>
  <c r="S607" i="42"/>
  <c r="S420" i="42"/>
  <c r="Y435" i="42"/>
  <c r="AJ435" i="42" s="1"/>
  <c r="S435" i="42"/>
  <c r="Y434" i="42"/>
  <c r="AJ434" i="42" s="1"/>
  <c r="S434" i="42"/>
  <c r="Z434" i="42" s="1"/>
  <c r="AL434" i="42" s="1"/>
  <c r="U94" i="42"/>
  <c r="BJ287" i="42"/>
  <c r="Y451" i="42"/>
  <c r="AJ451" i="42" s="1"/>
  <c r="S464" i="42"/>
  <c r="S562" i="42"/>
  <c r="Z562" i="42" s="1"/>
  <c r="AL562" i="42" s="1"/>
  <c r="S563" i="42"/>
  <c r="S574" i="42"/>
  <c r="Z574" i="42" s="1"/>
  <c r="AL574" i="42" s="1"/>
  <c r="S391" i="42"/>
  <c r="Z391" i="42" s="1"/>
  <c r="AL391" i="42" s="1"/>
  <c r="Y394" i="42"/>
  <c r="AJ394" i="42" s="1"/>
  <c r="Y417" i="42"/>
  <c r="AJ417" i="42" s="1"/>
  <c r="Y442" i="42"/>
  <c r="AJ442" i="42" s="1"/>
  <c r="Y471" i="42"/>
  <c r="AJ471" i="42" s="1"/>
  <c r="S480" i="42"/>
  <c r="Z480" i="42" s="1"/>
  <c r="AL480" i="42" s="1"/>
  <c r="Y488" i="42"/>
  <c r="AJ488" i="42" s="1"/>
  <c r="Y635" i="42"/>
  <c r="AJ635" i="42" s="1"/>
  <c r="S430" i="42"/>
  <c r="Z430" i="42" s="1"/>
  <c r="S474" i="42"/>
  <c r="Z474" i="42" s="1"/>
  <c r="AL474" i="42" s="1"/>
  <c r="Y487" i="42"/>
  <c r="AJ487" i="42" s="1"/>
  <c r="Y351" i="42"/>
  <c r="AJ351" i="42" s="1"/>
  <c r="C190" i="42"/>
  <c r="M65" i="42"/>
  <c r="U190" i="42" s="1"/>
  <c r="L65" i="42"/>
  <c r="M190" i="42" s="1"/>
  <c r="F43" i="42"/>
  <c r="G43" i="42"/>
  <c r="N123" i="42"/>
  <c r="P123" i="42" s="1"/>
  <c r="N167" i="42"/>
  <c r="P167" i="42" s="1"/>
  <c r="N185" i="42"/>
  <c r="P185" i="42" s="1"/>
  <c r="BI355" i="42"/>
  <c r="BK355" i="42" s="1"/>
  <c r="BL355" i="42" s="1"/>
  <c r="BM355" i="42" s="1"/>
  <c r="AS355" i="42" s="1"/>
  <c r="BI365" i="42"/>
  <c r="BK365" i="42" s="1"/>
  <c r="BL365" i="42" s="1"/>
  <c r="BM365" i="42" s="1"/>
  <c r="AS365" i="42" s="1"/>
  <c r="S396" i="42"/>
  <c r="Z396" i="42" s="1"/>
  <c r="AL396" i="42" s="1"/>
  <c r="S422" i="42"/>
  <c r="Z422" i="42" s="1"/>
  <c r="AL422" i="42" s="1"/>
  <c r="Y491" i="42"/>
  <c r="AJ491" i="42" s="1"/>
  <c r="Y493" i="42"/>
  <c r="AJ493" i="42" s="1"/>
  <c r="S498" i="42"/>
  <c r="S564" i="42"/>
  <c r="Z564" i="42" s="1"/>
  <c r="AL564" i="42" s="1"/>
  <c r="S570" i="42"/>
  <c r="Z570" i="42" s="1"/>
  <c r="AL570" i="42" s="1"/>
  <c r="S584" i="42"/>
  <c r="Z584" i="42" s="1"/>
  <c r="AL584" i="42" s="1"/>
  <c r="Y597" i="42"/>
  <c r="AJ597" i="42" s="1"/>
  <c r="Y599" i="42"/>
  <c r="AJ599" i="42" s="1"/>
  <c r="Y600" i="42"/>
  <c r="AJ600" i="42" s="1"/>
  <c r="Z607" i="42"/>
  <c r="AL607" i="42" s="1"/>
  <c r="S614" i="42"/>
  <c r="Z614" i="42" s="1"/>
  <c r="AL614" i="42" s="1"/>
  <c r="Y615" i="42"/>
  <c r="AJ615" i="42" s="1"/>
  <c r="R230" i="42"/>
  <c r="S230" i="42" s="1"/>
  <c r="Z230" i="42" s="1"/>
  <c r="AL230" i="42" s="1"/>
  <c r="R231" i="42"/>
  <c r="S231" i="42" s="1"/>
  <c r="Z231" i="42" s="1"/>
  <c r="AL231" i="42" s="1"/>
  <c r="N297" i="42"/>
  <c r="P297" i="42" s="1"/>
  <c r="N369" i="42"/>
  <c r="P369" i="42" s="1"/>
  <c r="Y449" i="42"/>
  <c r="AJ449" i="42" s="1"/>
  <c r="Y462" i="42"/>
  <c r="AJ462" i="42" s="1"/>
  <c r="S486" i="42"/>
  <c r="Z486" i="42" s="1"/>
  <c r="AL486" i="42" s="1"/>
  <c r="S643" i="42"/>
  <c r="Z643" i="42" s="1"/>
  <c r="AL643" i="42" s="1"/>
  <c r="E11" i="42"/>
  <c r="M86" i="42" s="1"/>
  <c r="N130" i="42"/>
  <c r="P130" i="42" s="1"/>
  <c r="R232" i="42"/>
  <c r="Y232" i="42" s="1"/>
  <c r="AJ232" i="42" s="1"/>
  <c r="S240" i="42"/>
  <c r="Z240" i="42" s="1"/>
  <c r="AL240" i="42" s="1"/>
  <c r="N258" i="42"/>
  <c r="N262" i="42"/>
  <c r="BJ291" i="42"/>
  <c r="Y444" i="42"/>
  <c r="AJ444" i="42" s="1"/>
  <c r="S457" i="42"/>
  <c r="Z457" i="42" s="1"/>
  <c r="AL457" i="42" s="1"/>
  <c r="S460" i="42"/>
  <c r="Z460" i="42" s="1"/>
  <c r="AL460" i="42" s="1"/>
  <c r="Y461" i="42"/>
  <c r="AJ461" i="42" s="1"/>
  <c r="Z463" i="42"/>
  <c r="AL463" i="42" s="1"/>
  <c r="Z464" i="42"/>
  <c r="AL464" i="42" s="1"/>
  <c r="Y576" i="42"/>
  <c r="AJ576" i="42" s="1"/>
  <c r="S641" i="42"/>
  <c r="Z641" i="42" s="1"/>
  <c r="AL641" i="42" s="1"/>
  <c r="S593" i="42"/>
  <c r="Z593" i="42" s="1"/>
  <c r="AL593" i="42" s="1"/>
  <c r="S604" i="42"/>
  <c r="Z604" i="42" s="1"/>
  <c r="AL604" i="42" s="1"/>
  <c r="S606" i="42"/>
  <c r="Z606" i="42" s="1"/>
  <c r="AL606" i="42" s="1"/>
  <c r="S609" i="42"/>
  <c r="Z609" i="42" s="1"/>
  <c r="AL609" i="42" s="1"/>
  <c r="S612" i="42"/>
  <c r="Z612" i="42" s="1"/>
  <c r="AL612" i="42" s="1"/>
  <c r="Y240" i="42"/>
  <c r="AJ240" i="42" s="1"/>
  <c r="M203" i="42"/>
  <c r="M191" i="42"/>
  <c r="H11" i="42"/>
  <c r="L21" i="42"/>
  <c r="S43" i="42"/>
  <c r="M111" i="42" s="1"/>
  <c r="X43" i="42"/>
  <c r="R79" i="42"/>
  <c r="F201" i="42" s="1"/>
  <c r="J201" i="42" s="1"/>
  <c r="M88" i="42"/>
  <c r="R151" i="42"/>
  <c r="R161" i="42"/>
  <c r="R163" i="42"/>
  <c r="R165" i="42"/>
  <c r="R166" i="42"/>
  <c r="K264" i="42"/>
  <c r="N264" i="42" s="1"/>
  <c r="P264" i="42" s="1"/>
  <c r="BJ293" i="42"/>
  <c r="BL293" i="42" s="1"/>
  <c r="BM293" i="42" s="1"/>
  <c r="AS293" i="42" s="1"/>
  <c r="N295" i="42"/>
  <c r="P295" i="42" s="1"/>
  <c r="BI295" i="42"/>
  <c r="BK295" i="42" s="1"/>
  <c r="BL295" i="42" s="1"/>
  <c r="BM295" i="42" s="1"/>
  <c r="AS295" i="42" s="1"/>
  <c r="BI296" i="42"/>
  <c r="BK296" i="42" s="1"/>
  <c r="BL296" i="42" s="1"/>
  <c r="BM296" i="42" s="1"/>
  <c r="AS296" i="42" s="1"/>
  <c r="BI297" i="42"/>
  <c r="BK297" i="42" s="1"/>
  <c r="BL297" i="42" s="1"/>
  <c r="BM297" i="42" s="1"/>
  <c r="AS297" i="42" s="1"/>
  <c r="S392" i="42"/>
  <c r="Z392" i="42" s="1"/>
  <c r="AL392" i="42" s="1"/>
  <c r="Y392" i="42"/>
  <c r="AJ392" i="42" s="1"/>
  <c r="Y625" i="42"/>
  <c r="Y624" i="42" s="1"/>
  <c r="S625" i="42"/>
  <c r="Y629" i="42"/>
  <c r="AJ629" i="42" s="1"/>
  <c r="S629" i="42"/>
  <c r="Y633" i="42"/>
  <c r="AJ633" i="42" s="1"/>
  <c r="S633" i="42"/>
  <c r="T21" i="42"/>
  <c r="T43" i="42"/>
  <c r="U65" i="42"/>
  <c r="V79" i="42"/>
  <c r="U98" i="42"/>
  <c r="N127" i="42"/>
  <c r="P127" i="42" s="1"/>
  <c r="R168" i="42"/>
  <c r="R176" i="42"/>
  <c r="S176" i="42" s="1"/>
  <c r="Z176" i="42" s="1"/>
  <c r="AL176" i="42" s="1"/>
  <c r="R229" i="42"/>
  <c r="S229" i="42" s="1"/>
  <c r="Z229" i="42" s="1"/>
  <c r="N261" i="42"/>
  <c r="N263" i="42"/>
  <c r="R140" i="42"/>
  <c r="Y140" i="42" s="1"/>
  <c r="AJ140" i="42" s="1"/>
  <c r="R157" i="42"/>
  <c r="S157" i="42" s="1"/>
  <c r="Z157" i="42" s="1"/>
  <c r="P205" i="42"/>
  <c r="Y205" i="42" s="1"/>
  <c r="R260" i="42"/>
  <c r="BL285" i="42"/>
  <c r="BM285" i="42" s="1"/>
  <c r="AS285" i="42" s="1"/>
  <c r="Y433" i="42"/>
  <c r="AJ433" i="42" s="1"/>
  <c r="S433" i="42"/>
  <c r="Z433" i="42" s="1"/>
  <c r="AL433" i="42" s="1"/>
  <c r="Y438" i="42"/>
  <c r="AJ438" i="42" s="1"/>
  <c r="S438" i="42"/>
  <c r="Z438" i="42" s="1"/>
  <c r="AL438" i="42" s="1"/>
  <c r="Y586" i="42"/>
  <c r="AJ586" i="42" s="1"/>
  <c r="S586" i="42"/>
  <c r="Z586" i="42" s="1"/>
  <c r="AL586" i="42" s="1"/>
  <c r="Y595" i="42"/>
  <c r="AJ595" i="42" s="1"/>
  <c r="S595" i="42"/>
  <c r="Z595" i="42" s="1"/>
  <c r="AL595" i="42" s="1"/>
  <c r="D21" i="42"/>
  <c r="X133" i="42" s="1"/>
  <c r="W43" i="42"/>
  <c r="N125" i="42"/>
  <c r="P125" i="42" s="1"/>
  <c r="S125" i="42" s="1"/>
  <c r="R155" i="42"/>
  <c r="S155" i="42" s="1"/>
  <c r="Z155" i="42" s="1"/>
  <c r="AL155" i="42" s="1"/>
  <c r="R261" i="42"/>
  <c r="R273" i="42"/>
  <c r="R275" i="42"/>
  <c r="Y275" i="42" s="1"/>
  <c r="AJ275" i="42" s="1"/>
  <c r="R277" i="42"/>
  <c r="Y277" i="42" s="1"/>
  <c r="AJ277" i="42" s="1"/>
  <c r="BL287" i="42"/>
  <c r="BM287" i="42" s="1"/>
  <c r="AS287" i="42" s="1"/>
  <c r="Y492" i="42"/>
  <c r="AJ492" i="42" s="1"/>
  <c r="S492" i="42"/>
  <c r="Z492" i="42" s="1"/>
  <c r="AL492" i="42" s="1"/>
  <c r="Y580" i="42"/>
  <c r="AJ580" i="42" s="1"/>
  <c r="S580" i="42"/>
  <c r="Z580" i="42" s="1"/>
  <c r="AL580" i="42" s="1"/>
  <c r="Y626" i="42"/>
  <c r="AJ626" i="42" s="1"/>
  <c r="S626" i="42"/>
  <c r="BI354" i="42"/>
  <c r="BK354" i="42" s="1"/>
  <c r="BL354" i="42" s="1"/>
  <c r="BM354" i="42" s="1"/>
  <c r="AS354" i="42" s="1"/>
  <c r="BI356" i="42"/>
  <c r="BK356" i="42" s="1"/>
  <c r="BL356" i="42" s="1"/>
  <c r="BM356" i="42" s="1"/>
  <c r="AS356" i="42" s="1"/>
  <c r="BJ359" i="42"/>
  <c r="BJ360" i="42"/>
  <c r="BJ361" i="42"/>
  <c r="BL361" i="42" s="1"/>
  <c r="BM361" i="42" s="1"/>
  <c r="AS361" i="42" s="1"/>
  <c r="BJ362" i="42"/>
  <c r="BL362" i="42" s="1"/>
  <c r="BM362" i="42" s="1"/>
  <c r="AS362" i="42" s="1"/>
  <c r="Y419" i="42"/>
  <c r="AJ419" i="42" s="1"/>
  <c r="S424" i="42"/>
  <c r="Z424" i="42" s="1"/>
  <c r="AL424" i="42" s="1"/>
  <c r="S453" i="42"/>
  <c r="Z453" i="42" s="1"/>
  <c r="AL453" i="42" s="1"/>
  <c r="S471" i="42"/>
  <c r="Z471" i="42" s="1"/>
  <c r="AL471" i="42" s="1"/>
  <c r="Y472" i="42"/>
  <c r="AJ472" i="42" s="1"/>
  <c r="S495" i="42"/>
  <c r="Z495" i="42" s="1"/>
  <c r="AL495" i="42" s="1"/>
  <c r="R556" i="42"/>
  <c r="Y556" i="42" s="1"/>
  <c r="AJ556" i="42" s="1"/>
  <c r="S565" i="42"/>
  <c r="S571" i="42"/>
  <c r="Z571" i="42" s="1"/>
  <c r="AL571" i="42" s="1"/>
  <c r="S572" i="42"/>
  <c r="Z572" i="42" s="1"/>
  <c r="AL572" i="42" s="1"/>
  <c r="S597" i="42"/>
  <c r="Z597" i="42" s="1"/>
  <c r="AL597" i="42" s="1"/>
  <c r="S615" i="42"/>
  <c r="Z615" i="42" s="1"/>
  <c r="AL615" i="42" s="1"/>
  <c r="Y391" i="42"/>
  <c r="AJ391" i="42" s="1"/>
  <c r="Y420" i="42"/>
  <c r="AJ420" i="42" s="1"/>
  <c r="Y439" i="42"/>
  <c r="AJ439" i="42" s="1"/>
  <c r="S442" i="42"/>
  <c r="Z442" i="42" s="1"/>
  <c r="AL442" i="42" s="1"/>
  <c r="Y457" i="42"/>
  <c r="AJ457" i="42" s="1"/>
  <c r="S462" i="42"/>
  <c r="Z462" i="42" s="1"/>
  <c r="AL462" i="42" s="1"/>
  <c r="Y463" i="42"/>
  <c r="AJ463" i="42" s="1"/>
  <c r="Y480" i="42"/>
  <c r="AJ480" i="42" s="1"/>
  <c r="S487" i="42"/>
  <c r="Z487" i="42" s="1"/>
  <c r="AL487" i="42" s="1"/>
  <c r="S488" i="42"/>
  <c r="Z488" i="42" s="1"/>
  <c r="AL488" i="42" s="1"/>
  <c r="S491" i="42"/>
  <c r="Z491" i="42" s="1"/>
  <c r="AL491" i="42" s="1"/>
  <c r="R541" i="42"/>
  <c r="S541" i="42" s="1"/>
  <c r="Z541" i="42" s="1"/>
  <c r="AL541" i="42" s="1"/>
  <c r="R554" i="42"/>
  <c r="Y554" i="42" s="1"/>
  <c r="AJ554" i="42" s="1"/>
  <c r="Y562" i="42"/>
  <c r="AJ562" i="42" s="1"/>
  <c r="Y564" i="42"/>
  <c r="AJ564" i="42" s="1"/>
  <c r="S566" i="42"/>
  <c r="Z566" i="42" s="1"/>
  <c r="AL566" i="42" s="1"/>
  <c r="Y574" i="42"/>
  <c r="AJ574" i="42" s="1"/>
  <c r="S578" i="42"/>
  <c r="Z578" i="42" s="1"/>
  <c r="AL578" i="42" s="1"/>
  <c r="Z579" i="42"/>
  <c r="AL579" i="42" s="1"/>
  <c r="S582" i="42"/>
  <c r="S589" i="42"/>
  <c r="Z589" i="42" s="1"/>
  <c r="AL589" i="42" s="1"/>
  <c r="S590" i="42"/>
  <c r="Z590" i="42" s="1"/>
  <c r="S591" i="42"/>
  <c r="Z591" i="42" s="1"/>
  <c r="AL591" i="42" s="1"/>
  <c r="Y593" i="42"/>
  <c r="AJ593" i="42" s="1"/>
  <c r="S599" i="42"/>
  <c r="Z599" i="42" s="1"/>
  <c r="AL599" i="42" s="1"/>
  <c r="S600" i="42"/>
  <c r="Y607" i="42"/>
  <c r="AJ607" i="42" s="1"/>
  <c r="S635" i="42"/>
  <c r="S636" i="42"/>
  <c r="S417" i="42"/>
  <c r="Z417" i="42" s="1"/>
  <c r="Z420" i="42"/>
  <c r="AL420" i="42" s="1"/>
  <c r="Y430" i="42"/>
  <c r="AJ430" i="42" s="1"/>
  <c r="S444" i="42"/>
  <c r="Z444" i="42" s="1"/>
  <c r="AL444" i="42" s="1"/>
  <c r="S449" i="42"/>
  <c r="Z449" i="42" s="1"/>
  <c r="AL449" i="42" s="1"/>
  <c r="S451" i="42"/>
  <c r="Z451" i="42" s="1"/>
  <c r="AL451" i="42" s="1"/>
  <c r="Y464" i="42"/>
  <c r="AJ464" i="42" s="1"/>
  <c r="Y481" i="42"/>
  <c r="AJ481" i="42" s="1"/>
  <c r="Y486" i="42"/>
  <c r="AJ486" i="42" s="1"/>
  <c r="Y498" i="42"/>
  <c r="AJ498" i="42" s="1"/>
  <c r="R503" i="42"/>
  <c r="R546" i="42"/>
  <c r="Y546" i="42" s="1"/>
  <c r="AJ546" i="42" s="1"/>
  <c r="R550" i="42"/>
  <c r="R552" i="42"/>
  <c r="S552" i="42" s="1"/>
  <c r="Z552" i="42" s="1"/>
  <c r="AL552" i="42" s="1"/>
  <c r="Z563" i="42"/>
  <c r="AL563" i="42" s="1"/>
  <c r="Y570" i="42"/>
  <c r="AJ570" i="42" s="1"/>
  <c r="Y584" i="42"/>
  <c r="AJ584" i="42" s="1"/>
  <c r="Y631" i="42"/>
  <c r="AJ631" i="42" s="1"/>
  <c r="S394" i="42"/>
  <c r="Z394" i="42" s="1"/>
  <c r="AL394" i="42" s="1"/>
  <c r="R542" i="42"/>
  <c r="S601" i="42"/>
  <c r="Z601" i="42" s="1"/>
  <c r="AL601" i="42" s="1"/>
  <c r="Y609" i="42"/>
  <c r="AJ609" i="42" s="1"/>
  <c r="Y641" i="42"/>
  <c r="AJ641" i="42" s="1"/>
  <c r="Y643" i="42"/>
  <c r="AJ643" i="42" s="1"/>
  <c r="F79" i="42"/>
  <c r="I73" i="42"/>
  <c r="D85" i="42" s="1"/>
  <c r="Z435" i="42"/>
  <c r="AL435" i="42" s="1"/>
  <c r="N79" i="42"/>
  <c r="O207" i="42" s="1"/>
  <c r="G114" i="42"/>
  <c r="G109" i="42"/>
  <c r="G107" i="42"/>
  <c r="G99" i="42"/>
  <c r="G97" i="42"/>
  <c r="G95" i="42"/>
  <c r="G93" i="42"/>
  <c r="G111" i="42"/>
  <c r="G105" i="42"/>
  <c r="G103" i="42"/>
  <c r="G101" i="42"/>
  <c r="G91" i="42"/>
  <c r="G118" i="42"/>
  <c r="X183" i="42"/>
  <c r="X181" i="42"/>
  <c r="X179" i="42"/>
  <c r="X169" i="42"/>
  <c r="X167" i="42"/>
  <c r="X110" i="42"/>
  <c r="X108" i="42"/>
  <c r="X100" i="42"/>
  <c r="X98" i="42"/>
  <c r="X96" i="42"/>
  <c r="X94" i="42"/>
  <c r="X165" i="42"/>
  <c r="X144" i="42"/>
  <c r="X112" i="42"/>
  <c r="X106" i="42"/>
  <c r="X104" i="42"/>
  <c r="X102" i="42"/>
  <c r="X92" i="42"/>
  <c r="X87" i="42"/>
  <c r="X187" i="42"/>
  <c r="X163" i="42"/>
  <c r="X161" i="42"/>
  <c r="X185" i="42"/>
  <c r="X151" i="42"/>
  <c r="X135" i="42"/>
  <c r="O43" i="42"/>
  <c r="S130" i="42"/>
  <c r="Z130" i="42" s="1"/>
  <c r="AL130" i="42" s="1"/>
  <c r="Y130" i="42"/>
  <c r="AJ130" i="42" s="1"/>
  <c r="U263" i="42"/>
  <c r="U258" i="42"/>
  <c r="U116" i="42"/>
  <c r="U114" i="42"/>
  <c r="U260" i="42"/>
  <c r="U259" i="42"/>
  <c r="U143" i="42"/>
  <c r="U86" i="42"/>
  <c r="U261" i="42"/>
  <c r="U126" i="42"/>
  <c r="U124" i="42"/>
  <c r="U262" i="42"/>
  <c r="U122" i="42"/>
  <c r="U150" i="42"/>
  <c r="H21" i="42"/>
  <c r="X129" i="42" s="1"/>
  <c r="Y129" i="42" s="1"/>
  <c r="P21" i="42"/>
  <c r="K43" i="42"/>
  <c r="S65" i="42"/>
  <c r="R65" i="42"/>
  <c r="E73" i="42"/>
  <c r="N73" i="42"/>
  <c r="J79" i="42"/>
  <c r="M91" i="42"/>
  <c r="U110" i="42"/>
  <c r="S127" i="42"/>
  <c r="AL147" i="42"/>
  <c r="M261" i="42"/>
  <c r="P261" i="42" s="1"/>
  <c r="M126" i="42"/>
  <c r="P126" i="42" s="1"/>
  <c r="M118" i="42"/>
  <c r="M262" i="42"/>
  <c r="P262" i="42" s="1"/>
  <c r="X117" i="42"/>
  <c r="X115" i="42"/>
  <c r="X127" i="42"/>
  <c r="Y127" i="42" s="1"/>
  <c r="AJ127" i="42" s="1"/>
  <c r="X119" i="42"/>
  <c r="X125" i="42"/>
  <c r="X123" i="42"/>
  <c r="Y123" i="42" s="1"/>
  <c r="AJ123" i="42" s="1"/>
  <c r="V21" i="42"/>
  <c r="R21" i="42"/>
  <c r="N21" i="42"/>
  <c r="J21" i="42"/>
  <c r="F21" i="42"/>
  <c r="Y21" i="42"/>
  <c r="U21" i="42"/>
  <c r="Q21" i="42"/>
  <c r="M21" i="42"/>
  <c r="I21" i="42"/>
  <c r="U129" i="42" s="1"/>
  <c r="E21" i="42"/>
  <c r="K21" i="42"/>
  <c r="S21" i="42"/>
  <c r="M182" i="42"/>
  <c r="M180" i="42"/>
  <c r="M178" i="42"/>
  <c r="M166" i="42"/>
  <c r="P166" i="42" s="1"/>
  <c r="M109" i="42"/>
  <c r="M107" i="42"/>
  <c r="M99" i="42"/>
  <c r="M97" i="42"/>
  <c r="M95" i="42"/>
  <c r="M93" i="42"/>
  <c r="M184" i="42"/>
  <c r="P184" i="42" s="1"/>
  <c r="M160" i="42"/>
  <c r="M103" i="42"/>
  <c r="M164" i="42"/>
  <c r="M162" i="42"/>
  <c r="U201" i="42"/>
  <c r="U202" i="42"/>
  <c r="Y79" i="42"/>
  <c r="U79" i="42"/>
  <c r="Q79" i="42"/>
  <c r="M79" i="42"/>
  <c r="I79" i="42"/>
  <c r="E79" i="42"/>
  <c r="X79" i="42"/>
  <c r="T79" i="42"/>
  <c r="F202" i="42" s="1"/>
  <c r="J202" i="42" s="1"/>
  <c r="P79" i="42"/>
  <c r="L79" i="42"/>
  <c r="H79" i="42"/>
  <c r="B79" i="42" s="1"/>
  <c r="D79" i="42"/>
  <c r="K79" i="42"/>
  <c r="S79" i="42"/>
  <c r="E202" i="42" s="1"/>
  <c r="X89" i="42"/>
  <c r="U96" i="42"/>
  <c r="U100" i="42"/>
  <c r="U102" i="42"/>
  <c r="U104" i="42"/>
  <c r="X136" i="42"/>
  <c r="U132" i="42"/>
  <c r="X134" i="42"/>
  <c r="X132" i="42"/>
  <c r="U136" i="42"/>
  <c r="U134" i="42"/>
  <c r="U127" i="42"/>
  <c r="U125" i="42"/>
  <c r="U123" i="42"/>
  <c r="U121" i="42"/>
  <c r="U119" i="42"/>
  <c r="U117" i="42"/>
  <c r="U115" i="42"/>
  <c r="N43" i="42"/>
  <c r="J43" i="42"/>
  <c r="Q43" i="42"/>
  <c r="M43" i="42"/>
  <c r="I43" i="42"/>
  <c r="U182" i="42"/>
  <c r="U180" i="42"/>
  <c r="U178" i="42"/>
  <c r="U166" i="42"/>
  <c r="U109" i="42"/>
  <c r="U107" i="42"/>
  <c r="U99" i="42"/>
  <c r="U97" i="42"/>
  <c r="U95" i="42"/>
  <c r="U93" i="42"/>
  <c r="U162" i="42"/>
  <c r="U160" i="42"/>
  <c r="U111" i="42"/>
  <c r="U105" i="42"/>
  <c r="U103" i="42"/>
  <c r="U101" i="42"/>
  <c r="U91" i="42"/>
  <c r="U184" i="42"/>
  <c r="U164" i="42"/>
  <c r="M201" i="42"/>
  <c r="M202" i="42"/>
  <c r="D352" i="42"/>
  <c r="K73" i="42"/>
  <c r="G73" i="42"/>
  <c r="O73" i="42"/>
  <c r="J73" i="42"/>
  <c r="F73" i="42"/>
  <c r="S123" i="42"/>
  <c r="AL157" i="42"/>
  <c r="U187" i="42"/>
  <c r="U185" i="42"/>
  <c r="U165" i="42"/>
  <c r="U163" i="42"/>
  <c r="U161" i="42"/>
  <c r="U151" i="42"/>
  <c r="U89" i="42"/>
  <c r="U179" i="42"/>
  <c r="U167" i="42"/>
  <c r="U181" i="42"/>
  <c r="U169" i="42"/>
  <c r="U183" i="42"/>
  <c r="U112" i="42"/>
  <c r="U144" i="42"/>
  <c r="U108" i="42"/>
  <c r="G21" i="42"/>
  <c r="O21" i="42"/>
  <c r="W21" i="42"/>
  <c r="D43" i="42"/>
  <c r="H43" i="42"/>
  <c r="P43" i="42"/>
  <c r="U357" i="42"/>
  <c r="U356" i="42"/>
  <c r="U355" i="42"/>
  <c r="U354" i="42"/>
  <c r="U371" i="42"/>
  <c r="U370" i="42"/>
  <c r="U369" i="42"/>
  <c r="U293" i="42"/>
  <c r="U292" i="42"/>
  <c r="U291" i="42"/>
  <c r="U290" i="42"/>
  <c r="U365" i="42"/>
  <c r="U361" i="42"/>
  <c r="U297" i="42"/>
  <c r="U366" i="42"/>
  <c r="U362" i="42"/>
  <c r="U296" i="42"/>
  <c r="U286" i="42"/>
  <c r="U364" i="42"/>
  <c r="U288" i="42"/>
  <c r="U203" i="42"/>
  <c r="U295" i="42"/>
  <c r="U287" i="42"/>
  <c r="U191" i="42"/>
  <c r="U367" i="42"/>
  <c r="U360" i="42"/>
  <c r="U359" i="42"/>
  <c r="U285" i="42"/>
  <c r="U283" i="42"/>
  <c r="U280" i="42"/>
  <c r="U281" i="42"/>
  <c r="U282" i="42"/>
  <c r="D73" i="42"/>
  <c r="B73" i="42" s="1"/>
  <c r="U2" i="42" s="1"/>
  <c r="L76" i="42"/>
  <c r="L74" i="42"/>
  <c r="G79" i="42"/>
  <c r="O79" i="42"/>
  <c r="W79" i="42"/>
  <c r="U87" i="42"/>
  <c r="U92" i="42"/>
  <c r="M101" i="42"/>
  <c r="M105" i="42"/>
  <c r="U118" i="42"/>
  <c r="U120" i="42"/>
  <c r="S121" i="42"/>
  <c r="X121" i="42"/>
  <c r="Y121" i="42" s="1"/>
  <c r="AJ121" i="42" s="1"/>
  <c r="AL229" i="42"/>
  <c r="S232" i="42"/>
  <c r="Z232" i="42" s="1"/>
  <c r="AL232" i="42" s="1"/>
  <c r="R247" i="42"/>
  <c r="S247" i="42" s="1"/>
  <c r="Z247" i="42" s="1"/>
  <c r="AL247" i="42" s="1"/>
  <c r="R250" i="42"/>
  <c r="S250" i="42" s="1"/>
  <c r="Z250" i="42" s="1"/>
  <c r="R248" i="42"/>
  <c r="Y248" i="42" s="1"/>
  <c r="AJ248" i="42" s="1"/>
  <c r="R245" i="42"/>
  <c r="S245" i="42" s="1"/>
  <c r="Z245" i="42" s="1"/>
  <c r="BJ280" i="42"/>
  <c r="BI280" i="42"/>
  <c r="BK280" i="42" s="1"/>
  <c r="S450" i="42"/>
  <c r="Z450" i="42" s="1"/>
  <c r="AL450" i="42" s="1"/>
  <c r="Y450" i="42"/>
  <c r="AJ450" i="42" s="1"/>
  <c r="Y455" i="42"/>
  <c r="AJ455" i="42" s="1"/>
  <c r="S455" i="42"/>
  <c r="Z455" i="42" s="1"/>
  <c r="AL455" i="42" s="1"/>
  <c r="Y630" i="42"/>
  <c r="AJ630" i="42" s="1"/>
  <c r="S630" i="42"/>
  <c r="AJ205" i="42"/>
  <c r="Y230" i="42"/>
  <c r="AJ230" i="42" s="1"/>
  <c r="S234" i="42"/>
  <c r="Z234" i="42" s="1"/>
  <c r="Y234" i="42"/>
  <c r="BJ283" i="42"/>
  <c r="BI283" i="42"/>
  <c r="BK283" i="42" s="1"/>
  <c r="BI292" i="42"/>
  <c r="BK292" i="42" s="1"/>
  <c r="BJ292" i="42"/>
  <c r="BJ367" i="42"/>
  <c r="BI367" i="42"/>
  <c r="BK367" i="42" s="1"/>
  <c r="S415" i="42"/>
  <c r="Z415" i="42" s="1"/>
  <c r="Y415" i="42"/>
  <c r="S475" i="42"/>
  <c r="Z475" i="42" s="1"/>
  <c r="AL475" i="42" s="1"/>
  <c r="Y475" i="42"/>
  <c r="AJ475" i="42" s="1"/>
  <c r="R141" i="42"/>
  <c r="S141" i="42" s="1"/>
  <c r="Z141" i="42" s="1"/>
  <c r="AL141" i="42" s="1"/>
  <c r="R144" i="42"/>
  <c r="R150" i="42"/>
  <c r="R148" i="42"/>
  <c r="S148" i="42" s="1"/>
  <c r="Z148" i="42" s="1"/>
  <c r="R298" i="42"/>
  <c r="R278" i="42"/>
  <c r="R223" i="42"/>
  <c r="Y223" i="42" s="1"/>
  <c r="AJ223" i="42" s="1"/>
  <c r="R221" i="42"/>
  <c r="S221" i="42" s="1"/>
  <c r="Z221" i="42" s="1"/>
  <c r="R224" i="42"/>
  <c r="S224" i="42" s="1"/>
  <c r="Z224" i="42" s="1"/>
  <c r="AL224" i="42" s="1"/>
  <c r="R222" i="42"/>
  <c r="Y222" i="42" s="1"/>
  <c r="AJ222" i="42" s="1"/>
  <c r="R226" i="42"/>
  <c r="Y226" i="42" s="1"/>
  <c r="Y247" i="42"/>
  <c r="AJ247" i="42" s="1"/>
  <c r="BJ282" i="42"/>
  <c r="BI282" i="42"/>
  <c r="BK282" i="42" s="1"/>
  <c r="BJ371" i="42"/>
  <c r="BI371" i="42"/>
  <c r="BK371" i="42" s="1"/>
  <c r="S428" i="42"/>
  <c r="Z428" i="42" s="1"/>
  <c r="AL428" i="42" s="1"/>
  <c r="Y428" i="42"/>
  <c r="AJ428" i="42" s="1"/>
  <c r="N116" i="42"/>
  <c r="K117" i="42"/>
  <c r="N117" i="42" s="1"/>
  <c r="P117" i="42" s="1"/>
  <c r="S129" i="42"/>
  <c r="Z129" i="42" s="1"/>
  <c r="Y147" i="42"/>
  <c r="Y157" i="42"/>
  <c r="S205" i="42"/>
  <c r="Z205" i="42" s="1"/>
  <c r="R239" i="42"/>
  <c r="S239" i="42" s="1"/>
  <c r="Z239" i="42" s="1"/>
  <c r="AL239" i="42" s="1"/>
  <c r="R242" i="42"/>
  <c r="S242" i="42" s="1"/>
  <c r="Z242" i="42" s="1"/>
  <c r="R237" i="42"/>
  <c r="Y237" i="42" s="1"/>
  <c r="R238" i="42"/>
  <c r="S238" i="42" s="1"/>
  <c r="Z238" i="42" s="1"/>
  <c r="AL238" i="42" s="1"/>
  <c r="Y239" i="42"/>
  <c r="AJ239" i="42" s="1"/>
  <c r="R246" i="42"/>
  <c r="S246" i="42" s="1"/>
  <c r="Z246" i="42" s="1"/>
  <c r="AL246" i="42" s="1"/>
  <c r="Y266" i="42"/>
  <c r="AJ266" i="42" s="1"/>
  <c r="S266" i="42"/>
  <c r="Z266" i="42" s="1"/>
  <c r="AL266" i="42" s="1"/>
  <c r="S273" i="42"/>
  <c r="Z273" i="42" s="1"/>
  <c r="AL273" i="42" s="1"/>
  <c r="Y273" i="42"/>
  <c r="AJ273" i="42" s="1"/>
  <c r="BJ281" i="42"/>
  <c r="BI281" i="42"/>
  <c r="BK281" i="42" s="1"/>
  <c r="R172" i="42"/>
  <c r="S172" i="42" s="1"/>
  <c r="Z172" i="42" s="1"/>
  <c r="R182" i="42"/>
  <c r="R258" i="42"/>
  <c r="R259" i="42"/>
  <c r="R263" i="42"/>
  <c r="R270" i="42"/>
  <c r="Y270" i="42" s="1"/>
  <c r="BI290" i="42"/>
  <c r="BK290" i="42" s="1"/>
  <c r="BJ290" i="42"/>
  <c r="R403" i="42"/>
  <c r="R349" i="42"/>
  <c r="S349" i="42" s="1"/>
  <c r="Z349" i="42" s="1"/>
  <c r="AL349" i="42" s="1"/>
  <c r="R345" i="42"/>
  <c r="S345" i="42" s="1"/>
  <c r="Z345" i="42" s="1"/>
  <c r="AL345" i="42" s="1"/>
  <c r="R348" i="42"/>
  <c r="Y348" i="42" s="1"/>
  <c r="R346" i="42"/>
  <c r="Y346" i="42" s="1"/>
  <c r="AJ346" i="42" s="1"/>
  <c r="R344" i="42"/>
  <c r="Y344" i="42" s="1"/>
  <c r="AJ344" i="42" s="1"/>
  <c r="R343" i="42"/>
  <c r="Y343" i="42" s="1"/>
  <c r="S348" i="42"/>
  <c r="Z348" i="42" s="1"/>
  <c r="BJ370" i="42"/>
  <c r="BI370" i="42"/>
  <c r="BK370" i="42" s="1"/>
  <c r="S390" i="42"/>
  <c r="Z390" i="42" s="1"/>
  <c r="AL390" i="42" s="1"/>
  <c r="Y390" i="42"/>
  <c r="AJ390" i="42" s="1"/>
  <c r="S418" i="42"/>
  <c r="Z418" i="42" s="1"/>
  <c r="AL418" i="42" s="1"/>
  <c r="Y418" i="42"/>
  <c r="Y437" i="42"/>
  <c r="AJ437" i="42" s="1"/>
  <c r="S437" i="42"/>
  <c r="Z437" i="42" s="1"/>
  <c r="AL437" i="42" s="1"/>
  <c r="R178" i="42"/>
  <c r="R187" i="42"/>
  <c r="R158" i="42"/>
  <c r="Y158" i="42" s="1"/>
  <c r="AJ158" i="42" s="1"/>
  <c r="R175" i="42"/>
  <c r="S175" i="42" s="1"/>
  <c r="Z175" i="42" s="1"/>
  <c r="R253" i="42"/>
  <c r="S253" i="42" s="1"/>
  <c r="Z253" i="42" s="1"/>
  <c r="R255" i="42"/>
  <c r="Y255" i="42" s="1"/>
  <c r="AJ255" i="42" s="1"/>
  <c r="R262" i="42"/>
  <c r="R264" i="42"/>
  <c r="Y264" i="42" s="1"/>
  <c r="AJ264" i="42" s="1"/>
  <c r="R265" i="42"/>
  <c r="Y265" i="42" s="1"/>
  <c r="AJ265" i="42" s="1"/>
  <c r="R271" i="42"/>
  <c r="S271" i="42" s="1"/>
  <c r="Z271" i="42" s="1"/>
  <c r="AL271" i="42" s="1"/>
  <c r="BL291" i="42"/>
  <c r="BM291" i="42" s="1"/>
  <c r="AS291" i="42" s="1"/>
  <c r="R372" i="42"/>
  <c r="R352" i="42"/>
  <c r="R338" i="42"/>
  <c r="S338" i="42" s="1"/>
  <c r="Z338" i="42" s="1"/>
  <c r="AL338" i="42" s="1"/>
  <c r="R334" i="42"/>
  <c r="S334" i="42" s="1"/>
  <c r="Z334" i="42" s="1"/>
  <c r="AL334" i="42" s="1"/>
  <c r="R332" i="42"/>
  <c r="S332" i="42" s="1"/>
  <c r="Z332" i="42" s="1"/>
  <c r="R408" i="42"/>
  <c r="R340" i="42"/>
  <c r="Y340" i="42" s="1"/>
  <c r="AJ340" i="42" s="1"/>
  <c r="R339" i="42"/>
  <c r="Y339" i="42" s="1"/>
  <c r="AJ339" i="42" s="1"/>
  <c r="R335" i="42"/>
  <c r="Y335" i="42" s="1"/>
  <c r="AJ335" i="42" s="1"/>
  <c r="R337" i="42"/>
  <c r="S337" i="42" s="1"/>
  <c r="Z337" i="42" s="1"/>
  <c r="S340" i="42"/>
  <c r="Z340" i="42" s="1"/>
  <c r="AL340" i="42" s="1"/>
  <c r="R350" i="42"/>
  <c r="S350" i="42" s="1"/>
  <c r="Z350" i="42" s="1"/>
  <c r="AL350" i="42" s="1"/>
  <c r="BI364" i="42"/>
  <c r="BK364" i="42" s="1"/>
  <c r="BL364" i="42" s="1"/>
  <c r="BM364" i="42" s="1"/>
  <c r="AS364" i="42" s="1"/>
  <c r="BJ369" i="42"/>
  <c r="BI369" i="42"/>
  <c r="BK369" i="42" s="1"/>
  <c r="N371" i="42"/>
  <c r="P371" i="42" s="1"/>
  <c r="Y389" i="42"/>
  <c r="S389" i="42"/>
  <c r="Z389" i="42" s="1"/>
  <c r="S443" i="42"/>
  <c r="Z443" i="42" s="1"/>
  <c r="AL443" i="42" s="1"/>
  <c r="Y443" i="42"/>
  <c r="AJ443" i="42" s="1"/>
  <c r="S468" i="42"/>
  <c r="Z468" i="42" s="1"/>
  <c r="AL468" i="42" s="1"/>
  <c r="Y468" i="42"/>
  <c r="AJ468" i="42" s="1"/>
  <c r="R180" i="42"/>
  <c r="R185" i="42"/>
  <c r="R154" i="42"/>
  <c r="Y154" i="42" s="1"/>
  <c r="R160" i="42"/>
  <c r="R162" i="42"/>
  <c r="R164" i="42"/>
  <c r="R167" i="42"/>
  <c r="S167" i="42" s="1"/>
  <c r="Z167" i="42" s="1"/>
  <c r="AL167" i="42" s="1"/>
  <c r="R173" i="42"/>
  <c r="S173" i="42" s="1"/>
  <c r="Z173" i="42" s="1"/>
  <c r="AL173" i="42" s="1"/>
  <c r="R179" i="42"/>
  <c r="R181" i="42"/>
  <c r="R183" i="42"/>
  <c r="R184" i="42"/>
  <c r="Y229" i="42"/>
  <c r="Y231" i="42"/>
  <c r="AJ231" i="42" s="1"/>
  <c r="R254" i="42"/>
  <c r="S254" i="42" s="1"/>
  <c r="Z254" i="42" s="1"/>
  <c r="AL254" i="42" s="1"/>
  <c r="R256" i="42"/>
  <c r="S256" i="42" s="1"/>
  <c r="Z256" i="42" s="1"/>
  <c r="AL256" i="42" s="1"/>
  <c r="N259" i="42"/>
  <c r="R267" i="42"/>
  <c r="S267" i="42" s="1"/>
  <c r="Z267" i="42" s="1"/>
  <c r="AL267" i="42" s="1"/>
  <c r="R268" i="42"/>
  <c r="S268" i="42" s="1"/>
  <c r="Z268" i="42" s="1"/>
  <c r="AL268" i="42" s="1"/>
  <c r="R272" i="42"/>
  <c r="Y272" i="42" s="1"/>
  <c r="AJ272" i="42" s="1"/>
  <c r="R274" i="42"/>
  <c r="S274" i="42" s="1"/>
  <c r="Z274" i="42" s="1"/>
  <c r="AL274" i="42" s="1"/>
  <c r="R276" i="42"/>
  <c r="S276" i="42" s="1"/>
  <c r="Z276" i="42" s="1"/>
  <c r="AL276" i="42" s="1"/>
  <c r="BJ286" i="42"/>
  <c r="BI286" i="42"/>
  <c r="BK286" i="42" s="1"/>
  <c r="R333" i="42"/>
  <c r="Y333" i="42" s="1"/>
  <c r="AJ333" i="42" s="1"/>
  <c r="N370" i="42"/>
  <c r="P370" i="42" s="1"/>
  <c r="S395" i="42"/>
  <c r="Z395" i="42" s="1"/>
  <c r="AL395" i="42" s="1"/>
  <c r="Y395" i="42"/>
  <c r="AJ395" i="42" s="1"/>
  <c r="S397" i="42"/>
  <c r="Z397" i="42" s="1"/>
  <c r="AL397" i="42" s="1"/>
  <c r="Y397" i="42"/>
  <c r="AJ397" i="42" s="1"/>
  <c r="S427" i="42"/>
  <c r="Z427" i="42" s="1"/>
  <c r="Y427" i="42"/>
  <c r="Y431" i="42"/>
  <c r="AJ431" i="42" s="1"/>
  <c r="S431" i="42"/>
  <c r="Z431" i="42" s="1"/>
  <c r="AL431" i="42" s="1"/>
  <c r="Y447" i="42"/>
  <c r="AJ447" i="42" s="1"/>
  <c r="S447" i="42"/>
  <c r="Z447" i="42" s="1"/>
  <c r="AL447" i="42" s="1"/>
  <c r="AL417" i="42"/>
  <c r="S423" i="42"/>
  <c r="Z423" i="42" s="1"/>
  <c r="AL423" i="42" s="1"/>
  <c r="Y423" i="42"/>
  <c r="AJ423" i="42" s="1"/>
  <c r="Y445" i="42"/>
  <c r="AJ445" i="42" s="1"/>
  <c r="S445" i="42"/>
  <c r="Z445" i="42" s="1"/>
  <c r="AL445" i="42" s="1"/>
  <c r="Y448" i="42"/>
  <c r="AJ448" i="42" s="1"/>
  <c r="S448" i="42"/>
  <c r="Z448" i="42" s="1"/>
  <c r="AL448" i="42" s="1"/>
  <c r="Y456" i="42"/>
  <c r="AJ456" i="42" s="1"/>
  <c r="S456" i="42"/>
  <c r="Z456" i="42" s="1"/>
  <c r="AL456" i="42" s="1"/>
  <c r="S466" i="42"/>
  <c r="Z466" i="42" s="1"/>
  <c r="AL466" i="42" s="1"/>
  <c r="Y466" i="42"/>
  <c r="AJ466" i="42" s="1"/>
  <c r="S479" i="42"/>
  <c r="Z479" i="42" s="1"/>
  <c r="AL479" i="42" s="1"/>
  <c r="Y479" i="42"/>
  <c r="AJ479" i="42" s="1"/>
  <c r="Y484" i="42"/>
  <c r="AJ484" i="42" s="1"/>
  <c r="S484" i="42"/>
  <c r="Z484" i="42" s="1"/>
  <c r="AL484" i="42" s="1"/>
  <c r="S497" i="42"/>
  <c r="Z497" i="42" s="1"/>
  <c r="AL497" i="42" s="1"/>
  <c r="Y497" i="42"/>
  <c r="AJ497" i="42" s="1"/>
  <c r="Y550" i="42"/>
  <c r="AJ550" i="42" s="1"/>
  <c r="S550" i="42"/>
  <c r="Z550" i="42" s="1"/>
  <c r="AL550" i="42" s="1"/>
  <c r="S605" i="42"/>
  <c r="Z605" i="42" s="1"/>
  <c r="AL605" i="42" s="1"/>
  <c r="Y605" i="42"/>
  <c r="AJ605" i="42" s="1"/>
  <c r="BL360" i="42"/>
  <c r="BM360" i="42" s="1"/>
  <c r="AS360" i="42" s="1"/>
  <c r="S483" i="42"/>
  <c r="Z483" i="42" s="1"/>
  <c r="AL483" i="42" s="1"/>
  <c r="Y483" i="42"/>
  <c r="AJ483" i="42" s="1"/>
  <c r="BI288" i="42"/>
  <c r="BK288" i="42" s="1"/>
  <c r="BL288" i="42" s="1"/>
  <c r="BM288" i="42" s="1"/>
  <c r="AS288" i="42" s="1"/>
  <c r="S351" i="42"/>
  <c r="Z351" i="42" s="1"/>
  <c r="AL351" i="42" s="1"/>
  <c r="BL359" i="42"/>
  <c r="BM359" i="42" s="1"/>
  <c r="AS359" i="42" s="1"/>
  <c r="BI366" i="42"/>
  <c r="BK366" i="42" s="1"/>
  <c r="BL366" i="42" s="1"/>
  <c r="BM366" i="42" s="1"/>
  <c r="AS366" i="42" s="1"/>
  <c r="Y396" i="42"/>
  <c r="AJ396" i="42" s="1"/>
  <c r="S419" i="42"/>
  <c r="Z419" i="42" s="1"/>
  <c r="AL419" i="42" s="1"/>
  <c r="S425" i="42"/>
  <c r="Z425" i="42" s="1"/>
  <c r="AL425" i="42" s="1"/>
  <c r="Y425" i="42"/>
  <c r="AJ425" i="42" s="1"/>
  <c r="Y436" i="42"/>
  <c r="AJ436" i="42" s="1"/>
  <c r="S436" i="42"/>
  <c r="Z436" i="42" s="1"/>
  <c r="AL436" i="42" s="1"/>
  <c r="Y482" i="42"/>
  <c r="AJ482" i="42" s="1"/>
  <c r="S568" i="42"/>
  <c r="Z568" i="42" s="1"/>
  <c r="AL568" i="42" s="1"/>
  <c r="Y568" i="42"/>
  <c r="AJ568" i="42" s="1"/>
  <c r="R530" i="42"/>
  <c r="Y530" i="42" s="1"/>
  <c r="AJ530" i="42" s="1"/>
  <c r="R524" i="42"/>
  <c r="S524" i="42" s="1"/>
  <c r="Z524" i="42" s="1"/>
  <c r="AL524" i="42" s="1"/>
  <c r="R520" i="42"/>
  <c r="S520" i="42" s="1"/>
  <c r="Z520" i="42" s="1"/>
  <c r="AL520" i="42" s="1"/>
  <c r="R527" i="42"/>
  <c r="S527" i="42" s="1"/>
  <c r="Z527" i="42" s="1"/>
  <c r="AL527" i="42" s="1"/>
  <c r="R526" i="42"/>
  <c r="S526" i="42" s="1"/>
  <c r="Z526" i="42" s="1"/>
  <c r="AL526" i="42" s="1"/>
  <c r="R505" i="42"/>
  <c r="R531" i="42"/>
  <c r="Y531" i="42" s="1"/>
  <c r="AJ531" i="42" s="1"/>
  <c r="R522" i="42"/>
  <c r="Y522" i="42" s="1"/>
  <c r="AJ522" i="42" s="1"/>
  <c r="R519" i="42"/>
  <c r="S519" i="42" s="1"/>
  <c r="Z519" i="42" s="1"/>
  <c r="AL519" i="42" s="1"/>
  <c r="R518" i="42"/>
  <c r="S518" i="42" s="1"/>
  <c r="Z518" i="42" s="1"/>
  <c r="AL518" i="42" s="1"/>
  <c r="R506" i="42"/>
  <c r="R529" i="42"/>
  <c r="S529" i="42" s="1"/>
  <c r="Z529" i="42" s="1"/>
  <c r="AL529" i="42" s="1"/>
  <c r="R515" i="42"/>
  <c r="R513" i="42"/>
  <c r="R523" i="42"/>
  <c r="S523" i="42" s="1"/>
  <c r="Z523" i="42" s="1"/>
  <c r="AL523" i="42" s="1"/>
  <c r="R511" i="42"/>
  <c r="R508" i="42"/>
  <c r="R504" i="42"/>
  <c r="Y527" i="42"/>
  <c r="AJ527" i="42" s="1"/>
  <c r="Y460" i="42"/>
  <c r="AJ460" i="42" s="1"/>
  <c r="S469" i="42"/>
  <c r="Z469" i="42" s="1"/>
  <c r="AL469" i="42" s="1"/>
  <c r="Y469" i="42"/>
  <c r="AJ469" i="42" s="1"/>
  <c r="Y470" i="42"/>
  <c r="AJ470" i="42" s="1"/>
  <c r="S470" i="42"/>
  <c r="Z470" i="42" s="1"/>
  <c r="AL470" i="42" s="1"/>
  <c r="S476" i="42"/>
  <c r="Z476" i="42" s="1"/>
  <c r="AL476" i="42" s="1"/>
  <c r="Y476" i="42"/>
  <c r="AJ476" i="42" s="1"/>
  <c r="Y477" i="42"/>
  <c r="AJ477" i="42" s="1"/>
  <c r="S477" i="42"/>
  <c r="Z477" i="42" s="1"/>
  <c r="AL477" i="42" s="1"/>
  <c r="S489" i="42"/>
  <c r="Z489" i="42" s="1"/>
  <c r="AL489" i="42" s="1"/>
  <c r="Y489" i="42"/>
  <c r="AJ489" i="42" s="1"/>
  <c r="R514" i="42"/>
  <c r="S560" i="42"/>
  <c r="Z560" i="42" s="1"/>
  <c r="Y560" i="42"/>
  <c r="Y591" i="42"/>
  <c r="AJ591" i="42" s="1"/>
  <c r="S608" i="42"/>
  <c r="Z608" i="42" s="1"/>
  <c r="AL608" i="42" s="1"/>
  <c r="Y608" i="42"/>
  <c r="AJ608" i="42" s="1"/>
  <c r="Y422" i="42"/>
  <c r="Y424" i="42"/>
  <c r="AJ424" i="42" s="1"/>
  <c r="S439" i="42"/>
  <c r="Z439" i="42" s="1"/>
  <c r="AL439" i="42" s="1"/>
  <c r="Y452" i="42"/>
  <c r="AJ452" i="42" s="1"/>
  <c r="S454" i="42"/>
  <c r="Z454" i="42" s="1"/>
  <c r="AL454" i="42" s="1"/>
  <c r="S458" i="42"/>
  <c r="Z458" i="42" s="1"/>
  <c r="AL458" i="42" s="1"/>
  <c r="Y458" i="42"/>
  <c r="AJ458" i="42" s="1"/>
  <c r="S465" i="42"/>
  <c r="Z465" i="42" s="1"/>
  <c r="AL465" i="42" s="1"/>
  <c r="Y465" i="42"/>
  <c r="AJ465" i="42" s="1"/>
  <c r="S482" i="42"/>
  <c r="Z482" i="42" s="1"/>
  <c r="AL482" i="42" s="1"/>
  <c r="S490" i="42"/>
  <c r="Z490" i="42" s="1"/>
  <c r="AL490" i="42" s="1"/>
  <c r="Y490" i="42"/>
  <c r="AJ490" i="42" s="1"/>
  <c r="S496" i="42"/>
  <c r="Z496" i="42" s="1"/>
  <c r="AL496" i="42" s="1"/>
  <c r="Y496" i="42"/>
  <c r="AJ496" i="42" s="1"/>
  <c r="S569" i="42"/>
  <c r="Z569" i="42" s="1"/>
  <c r="AL569" i="42" s="1"/>
  <c r="Y569" i="42"/>
  <c r="AJ569" i="42" s="1"/>
  <c r="S573" i="42"/>
  <c r="Z573" i="42" s="1"/>
  <c r="AL573" i="42" s="1"/>
  <c r="Y573" i="42"/>
  <c r="AJ573" i="42" s="1"/>
  <c r="S577" i="42"/>
  <c r="Z577" i="42" s="1"/>
  <c r="AL577" i="42" s="1"/>
  <c r="Y577" i="42"/>
  <c r="AJ577" i="42" s="1"/>
  <c r="Y614" i="42"/>
  <c r="AJ614" i="42" s="1"/>
  <c r="Y634" i="42"/>
  <c r="AJ634" i="42" s="1"/>
  <c r="S634" i="42"/>
  <c r="S461" i="42"/>
  <c r="Z461" i="42" s="1"/>
  <c r="AL461" i="42" s="1"/>
  <c r="S472" i="42"/>
  <c r="Z472" i="42" s="1"/>
  <c r="AL472" i="42" s="1"/>
  <c r="Y474" i="42"/>
  <c r="AJ474" i="42" s="1"/>
  <c r="S554" i="42"/>
  <c r="Z554" i="42" s="1"/>
  <c r="AL554" i="42" s="1"/>
  <c r="S561" i="42"/>
  <c r="Z561" i="42" s="1"/>
  <c r="AL561" i="42" s="1"/>
  <c r="Y561" i="42"/>
  <c r="AJ561" i="42" s="1"/>
  <c r="Y566" i="42"/>
  <c r="AJ566" i="42" s="1"/>
  <c r="Y578" i="42"/>
  <c r="AJ578" i="42" s="1"/>
  <c r="S581" i="42"/>
  <c r="Z581" i="42" s="1"/>
  <c r="AL581" i="42" s="1"/>
  <c r="Y581" i="42"/>
  <c r="AJ581" i="42" s="1"/>
  <c r="Y583" i="42"/>
  <c r="AJ583" i="42" s="1"/>
  <c r="S583" i="42"/>
  <c r="Z583" i="42" s="1"/>
  <c r="AL583" i="42" s="1"/>
  <c r="Z587" i="42"/>
  <c r="AL587" i="42" s="1"/>
  <c r="Y606" i="42"/>
  <c r="AJ606" i="42" s="1"/>
  <c r="Y611" i="42"/>
  <c r="AJ611" i="42" s="1"/>
  <c r="S611" i="42"/>
  <c r="Z611" i="42" s="1"/>
  <c r="AL611" i="42" s="1"/>
  <c r="S644" i="42"/>
  <c r="Z644" i="42" s="1"/>
  <c r="AL644" i="42" s="1"/>
  <c r="Y644" i="42"/>
  <c r="AJ644" i="42" s="1"/>
  <c r="S645" i="42"/>
  <c r="Z645" i="42" s="1"/>
  <c r="AL645" i="42" s="1"/>
  <c r="Y645" i="42"/>
  <c r="AJ645" i="42" s="1"/>
  <c r="S531" i="42"/>
  <c r="Z531" i="42" s="1"/>
  <c r="AL531" i="42" s="1"/>
  <c r="Y542" i="42"/>
  <c r="AJ542" i="42" s="1"/>
  <c r="S542" i="42"/>
  <c r="Z542" i="42" s="1"/>
  <c r="AL542" i="42" s="1"/>
  <c r="Y575" i="42"/>
  <c r="AJ575" i="42" s="1"/>
  <c r="S575" i="42"/>
  <c r="Z575" i="42" s="1"/>
  <c r="AL575" i="42" s="1"/>
  <c r="Y589" i="42"/>
  <c r="Y592" i="42"/>
  <c r="AJ592" i="42" s="1"/>
  <c r="S592" i="42"/>
  <c r="Z592" i="42" s="1"/>
  <c r="AL592" i="42" s="1"/>
  <c r="Y594" i="42"/>
  <c r="AJ594" i="42" s="1"/>
  <c r="S594" i="42"/>
  <c r="Z594" i="42" s="1"/>
  <c r="AL594" i="42" s="1"/>
  <c r="Y598" i="42"/>
  <c r="AJ598" i="42" s="1"/>
  <c r="S598" i="42"/>
  <c r="Z598" i="42" s="1"/>
  <c r="AL598" i="42" s="1"/>
  <c r="Y603" i="42"/>
  <c r="AJ603" i="42" s="1"/>
  <c r="S603" i="42"/>
  <c r="Z603" i="42" s="1"/>
  <c r="AL603" i="42" s="1"/>
  <c r="Y612" i="42"/>
  <c r="AJ612" i="42" s="1"/>
  <c r="Y637" i="42"/>
  <c r="AJ637" i="42" s="1"/>
  <c r="S493" i="42"/>
  <c r="Z493" i="42" s="1"/>
  <c r="AL493" i="42" s="1"/>
  <c r="Y495" i="42"/>
  <c r="AJ495" i="42" s="1"/>
  <c r="Z498" i="42"/>
  <c r="AL498" i="42" s="1"/>
  <c r="S548" i="42"/>
  <c r="Z548" i="42" s="1"/>
  <c r="AL548" i="42" s="1"/>
  <c r="Y548" i="42"/>
  <c r="AJ548" i="42" s="1"/>
  <c r="Y552" i="42"/>
  <c r="AJ552" i="42" s="1"/>
  <c r="Z582" i="42"/>
  <c r="AL582" i="42" s="1"/>
  <c r="S585" i="42"/>
  <c r="Z585" i="42" s="1"/>
  <c r="AL585" i="42" s="1"/>
  <c r="Y585" i="42"/>
  <c r="AJ585" i="42" s="1"/>
  <c r="Y604" i="42"/>
  <c r="AJ604" i="42" s="1"/>
  <c r="S613" i="42"/>
  <c r="Z613" i="42" s="1"/>
  <c r="AL613" i="42" s="1"/>
  <c r="Y613" i="42"/>
  <c r="AJ613" i="42" s="1"/>
  <c r="S616" i="42"/>
  <c r="Z616" i="42" s="1"/>
  <c r="AL616" i="42" s="1"/>
  <c r="Y616" i="42"/>
  <c r="AJ616" i="42" s="1"/>
  <c r="Y632" i="42"/>
  <c r="AJ632" i="42" s="1"/>
  <c r="S632" i="42"/>
  <c r="Y638" i="42"/>
  <c r="AJ638" i="42" s="1"/>
  <c r="S638" i="42"/>
  <c r="R558" i="42"/>
  <c r="S558" i="42" s="1"/>
  <c r="Z558" i="42" s="1"/>
  <c r="AL558" i="42" s="1"/>
  <c r="R545" i="42"/>
  <c r="S545" i="42" s="1"/>
  <c r="Z545" i="42" s="1"/>
  <c r="AL545" i="42" s="1"/>
  <c r="R538" i="42"/>
  <c r="R536" i="42"/>
  <c r="R555" i="42"/>
  <c r="Y555" i="42" s="1"/>
  <c r="AJ555" i="42" s="1"/>
  <c r="R535" i="42"/>
  <c r="R537" i="42"/>
  <c r="R543" i="42"/>
  <c r="Y543" i="42" s="1"/>
  <c r="AJ543" i="42" s="1"/>
  <c r="Z565" i="42"/>
  <c r="AL565" i="42" s="1"/>
  <c r="Y567" i="42"/>
  <c r="AJ567" i="42" s="1"/>
  <c r="S567" i="42"/>
  <c r="Z567" i="42" s="1"/>
  <c r="AL567" i="42" s="1"/>
  <c r="Y590" i="42"/>
  <c r="AJ590" i="42" s="1"/>
  <c r="Y596" i="42"/>
  <c r="AJ596" i="42" s="1"/>
  <c r="S596" i="42"/>
  <c r="Z596" i="42" s="1"/>
  <c r="AL596" i="42" s="1"/>
  <c r="Y642" i="42"/>
  <c r="AJ642" i="42" s="1"/>
  <c r="S642" i="42"/>
  <c r="Z642" i="42" s="1"/>
  <c r="AL642" i="42" s="1"/>
  <c r="R540" i="42"/>
  <c r="Y540" i="42" s="1"/>
  <c r="AJ540" i="42" s="1"/>
  <c r="Y572" i="42"/>
  <c r="AJ572" i="42" s="1"/>
  <c r="S576" i="42"/>
  <c r="Z576" i="42" s="1"/>
  <c r="AL576" i="42" s="1"/>
  <c r="Z600" i="42"/>
  <c r="AL600" i="42" s="1"/>
  <c r="S602" i="42"/>
  <c r="Z602" i="42" s="1"/>
  <c r="AL602" i="42" s="1"/>
  <c r="Y602" i="42"/>
  <c r="AJ602" i="42" s="1"/>
  <c r="S610" i="42"/>
  <c r="Z610" i="42" s="1"/>
  <c r="AL610" i="42" s="1"/>
  <c r="Y610" i="42"/>
  <c r="AJ610" i="42" s="1"/>
  <c r="P620" i="42"/>
  <c r="AJ625" i="42"/>
  <c r="AK624" i="42" s="1"/>
  <c r="Y628" i="42"/>
  <c r="S628" i="42"/>
  <c r="S631" i="42"/>
  <c r="S637" i="42"/>
  <c r="S640" i="42"/>
  <c r="Z640" i="42" s="1"/>
  <c r="Y640" i="42"/>
  <c r="Y563" i="42"/>
  <c r="AJ563" i="42" s="1"/>
  <c r="Y571" i="42"/>
  <c r="AJ571" i="42" s="1"/>
  <c r="Y579" i="42"/>
  <c r="AJ579" i="42" s="1"/>
  <c r="Y587" i="42"/>
  <c r="AJ587" i="42" s="1"/>
  <c r="Y623" i="42"/>
  <c r="S623" i="42"/>
  <c r="Z623" i="42" s="1"/>
  <c r="J621" i="42" l="1"/>
  <c r="M120" i="42"/>
  <c r="P120" i="42" s="1"/>
  <c r="S223" i="42"/>
  <c r="Z223" i="42" s="1"/>
  <c r="AL223" i="42" s="1"/>
  <c r="S140" i="42"/>
  <c r="Z140" i="42" s="1"/>
  <c r="AL140" i="42" s="1"/>
  <c r="AM139" i="42" s="1"/>
  <c r="Z121" i="42"/>
  <c r="AL121" i="42" s="1"/>
  <c r="D532" i="42"/>
  <c r="X131" i="42"/>
  <c r="M143" i="42"/>
  <c r="M116" i="42"/>
  <c r="M122" i="42"/>
  <c r="P122" i="42" s="1"/>
  <c r="M263" i="42"/>
  <c r="Z125" i="42"/>
  <c r="AL125" i="42" s="1"/>
  <c r="M114" i="42"/>
  <c r="M258" i="42"/>
  <c r="P258" i="42" s="1"/>
  <c r="Y541" i="42"/>
  <c r="AJ541" i="42" s="1"/>
  <c r="AK429" i="42"/>
  <c r="D128" i="42"/>
  <c r="F135" i="42" s="1"/>
  <c r="M150" i="42"/>
  <c r="M260" i="42"/>
  <c r="P260" i="42" s="1"/>
  <c r="M124" i="42"/>
  <c r="P124" i="42" s="1"/>
  <c r="Y124" i="42" s="1"/>
  <c r="AJ124" i="42" s="1"/>
  <c r="M259" i="42"/>
  <c r="S546" i="42"/>
  <c r="Z546" i="42" s="1"/>
  <c r="AL546" i="42" s="1"/>
  <c r="S335" i="42"/>
  <c r="Z335" i="42" s="1"/>
  <c r="AL335" i="42" s="1"/>
  <c r="Y545" i="42"/>
  <c r="AJ545" i="42" s="1"/>
  <c r="Y526" i="42"/>
  <c r="AJ526" i="42" s="1"/>
  <c r="Y349" i="42"/>
  <c r="AJ349" i="42" s="1"/>
  <c r="S222" i="42"/>
  <c r="Z222" i="42" s="1"/>
  <c r="AL222" i="42" s="1"/>
  <c r="Y268" i="42"/>
  <c r="AJ268" i="42" s="1"/>
  <c r="BL282" i="42"/>
  <c r="BM282" i="42" s="1"/>
  <c r="AS282" i="42" s="1"/>
  <c r="BL280" i="42"/>
  <c r="BM280" i="42" s="1"/>
  <c r="AS280" i="42" s="1"/>
  <c r="L619" i="42"/>
  <c r="D113" i="42"/>
  <c r="D90" i="42"/>
  <c r="E111" i="42" s="1"/>
  <c r="K111" i="42" s="1"/>
  <c r="D500" i="42"/>
  <c r="Y125" i="42"/>
  <c r="AJ125" i="42" s="1"/>
  <c r="S277" i="42"/>
  <c r="Z277" i="42" s="1"/>
  <c r="AL277" i="42" s="1"/>
  <c r="S185" i="42"/>
  <c r="Z185" i="42" s="1"/>
  <c r="AL185" i="42" s="1"/>
  <c r="S248" i="42"/>
  <c r="Z248" i="42" s="1"/>
  <c r="AL248" i="42" s="1"/>
  <c r="S556" i="42"/>
  <c r="Z556" i="42" s="1"/>
  <c r="AL556" i="42" s="1"/>
  <c r="S275" i="42"/>
  <c r="Z275" i="42" s="1"/>
  <c r="AL275" i="42" s="1"/>
  <c r="Y246" i="42"/>
  <c r="AJ246" i="42" s="1"/>
  <c r="D278" i="42"/>
  <c r="D440" i="42"/>
  <c r="K618" i="42"/>
  <c r="P263" i="42"/>
  <c r="S263" i="42" s="1"/>
  <c r="Z263" i="42" s="1"/>
  <c r="AL263" i="42" s="1"/>
  <c r="S522" i="42"/>
  <c r="Z522" i="42" s="1"/>
  <c r="AL522" i="42" s="1"/>
  <c r="S270" i="42"/>
  <c r="Z270" i="42" s="1"/>
  <c r="AL270" i="42" s="1"/>
  <c r="Y529" i="42"/>
  <c r="AJ529" i="42" s="1"/>
  <c r="Y332" i="42"/>
  <c r="Y276" i="42"/>
  <c r="AJ276" i="42" s="1"/>
  <c r="Y520" i="42"/>
  <c r="AJ520" i="42" s="1"/>
  <c r="Y523" i="42"/>
  <c r="AJ523" i="42" s="1"/>
  <c r="S543" i="42"/>
  <c r="Z543" i="42" s="1"/>
  <c r="AL543" i="42" s="1"/>
  <c r="AM393" i="42"/>
  <c r="Y224" i="42"/>
  <c r="AJ224" i="42" s="1"/>
  <c r="Y267" i="42"/>
  <c r="AJ267" i="42" s="1"/>
  <c r="Y350" i="42"/>
  <c r="AJ350" i="42" s="1"/>
  <c r="Y185" i="42"/>
  <c r="AJ185" i="42" s="1"/>
  <c r="Z123" i="42"/>
  <c r="AL123" i="42" s="1"/>
  <c r="Y345" i="42"/>
  <c r="AJ345" i="42" s="1"/>
  <c r="Y250" i="42"/>
  <c r="Y249" i="42" s="1"/>
  <c r="S158" i="42"/>
  <c r="Z158" i="42" s="1"/>
  <c r="AL158" i="42" s="1"/>
  <c r="Y155" i="42"/>
  <c r="AJ155" i="42" s="1"/>
  <c r="S343" i="42"/>
  <c r="Z343" i="42" s="1"/>
  <c r="AL343" i="42" s="1"/>
  <c r="Y221" i="42"/>
  <c r="AJ221" i="42" s="1"/>
  <c r="S264" i="42"/>
  <c r="Z264" i="42" s="1"/>
  <c r="AL264" i="42" s="1"/>
  <c r="Y176" i="42"/>
  <c r="AJ176" i="42" s="1"/>
  <c r="S540" i="42"/>
  <c r="Z540" i="42" s="1"/>
  <c r="AL540" i="42" s="1"/>
  <c r="Y429" i="42"/>
  <c r="AK393" i="42"/>
  <c r="BL286" i="42"/>
  <c r="BM286" i="42" s="1"/>
  <c r="AS286" i="42" s="1"/>
  <c r="BL369" i="42"/>
  <c r="BM369" i="42" s="1"/>
  <c r="AS369" i="42" s="1"/>
  <c r="BL370" i="42"/>
  <c r="BM370" i="42" s="1"/>
  <c r="AS370" i="42" s="1"/>
  <c r="Y334" i="42"/>
  <c r="AJ334" i="42" s="1"/>
  <c r="Y245" i="42"/>
  <c r="AJ245" i="42" s="1"/>
  <c r="Z228" i="42"/>
  <c r="P116" i="42"/>
  <c r="S116" i="42" s="1"/>
  <c r="Z116" i="42" s="1"/>
  <c r="AL116" i="42" s="1"/>
  <c r="Y432" i="42"/>
  <c r="AK440" i="42"/>
  <c r="AM440" i="42"/>
  <c r="Z416" i="42"/>
  <c r="O203" i="42"/>
  <c r="AM432" i="42"/>
  <c r="AM228" i="42"/>
  <c r="Z174" i="42"/>
  <c r="AL175" i="42"/>
  <c r="AM174" i="42" s="1"/>
  <c r="AL242" i="42"/>
  <c r="AM241" i="42" s="1"/>
  <c r="Z241" i="42"/>
  <c r="AJ154" i="42"/>
  <c r="AL337" i="42"/>
  <c r="AJ270" i="42"/>
  <c r="AL148" i="42"/>
  <c r="AM146" i="42" s="1"/>
  <c r="Z146" i="42"/>
  <c r="AL172" i="42"/>
  <c r="AM171" i="42" s="1"/>
  <c r="Z171" i="42"/>
  <c r="AL253" i="42"/>
  <c r="AJ237" i="42"/>
  <c r="Y622" i="42"/>
  <c r="AJ623" i="42"/>
  <c r="AK622" i="42" s="1"/>
  <c r="AJ560" i="42"/>
  <c r="AK559" i="42" s="1"/>
  <c r="Y559" i="42"/>
  <c r="Y172" i="42"/>
  <c r="R319" i="42"/>
  <c r="R299" i="42"/>
  <c r="R324" i="42"/>
  <c r="R304" i="42"/>
  <c r="R314" i="42"/>
  <c r="R309" i="42"/>
  <c r="Z393" i="42"/>
  <c r="Z220" i="42"/>
  <c r="AL221" i="42"/>
  <c r="AM220" i="42" s="1"/>
  <c r="Y141" i="42"/>
  <c r="F136" i="42"/>
  <c r="G135" i="42"/>
  <c r="L135" i="42" s="1"/>
  <c r="G133" i="42"/>
  <c r="G131" i="42"/>
  <c r="Y116" i="42"/>
  <c r="AJ116" i="42" s="1"/>
  <c r="E177" i="42"/>
  <c r="E178" i="42" s="1"/>
  <c r="E159" i="42"/>
  <c r="E160" i="42" s="1"/>
  <c r="E142" i="42"/>
  <c r="E143" i="42" s="1"/>
  <c r="E149" i="42"/>
  <c r="E150" i="42" s="1"/>
  <c r="AJ640" i="42"/>
  <c r="AK639" i="42" s="1"/>
  <c r="Y639" i="42"/>
  <c r="Y620" i="42"/>
  <c r="AJ620" i="42" s="1"/>
  <c r="S620" i="42"/>
  <c r="Z620" i="42" s="1"/>
  <c r="AL620" i="42" s="1"/>
  <c r="AL590" i="42"/>
  <c r="AM588" i="42" s="1"/>
  <c r="Z588" i="42"/>
  <c r="S530" i="42"/>
  <c r="Z530" i="42" s="1"/>
  <c r="AL530" i="42" s="1"/>
  <c r="S555" i="42"/>
  <c r="Z555" i="42" s="1"/>
  <c r="AL555" i="42" s="1"/>
  <c r="Y524" i="42"/>
  <c r="AJ524" i="42" s="1"/>
  <c r="AL560" i="42"/>
  <c r="AM559" i="42" s="1"/>
  <c r="Z559" i="42"/>
  <c r="Y440" i="42"/>
  <c r="Z429" i="42"/>
  <c r="AL430" i="42"/>
  <c r="AM429" i="42" s="1"/>
  <c r="Y518" i="42"/>
  <c r="AJ518" i="42" s="1"/>
  <c r="Z440" i="42"/>
  <c r="Y519" i="42"/>
  <c r="AJ519" i="42" s="1"/>
  <c r="AM416" i="42"/>
  <c r="AJ348" i="42"/>
  <c r="AJ332" i="42"/>
  <c r="AK331" i="42" s="1"/>
  <c r="S255" i="42"/>
  <c r="Z255" i="42" s="1"/>
  <c r="AL255" i="42" s="1"/>
  <c r="S339" i="42"/>
  <c r="Z339" i="42" s="1"/>
  <c r="AL339" i="42" s="1"/>
  <c r="S333" i="42"/>
  <c r="Z333" i="42" s="1"/>
  <c r="AL333" i="42" s="1"/>
  <c r="R411" i="42"/>
  <c r="R409" i="42"/>
  <c r="R412" i="42"/>
  <c r="R410" i="42"/>
  <c r="R367" i="42"/>
  <c r="R366" i="42"/>
  <c r="R365" i="42"/>
  <c r="R364" i="42"/>
  <c r="R362" i="42"/>
  <c r="R361" i="42"/>
  <c r="R360" i="42"/>
  <c r="R359" i="42"/>
  <c r="R371" i="42"/>
  <c r="Y371" i="42" s="1"/>
  <c r="AJ371" i="42" s="1"/>
  <c r="R370" i="42"/>
  <c r="S370" i="42" s="1"/>
  <c r="Z370" i="42" s="1"/>
  <c r="AL370" i="42" s="1"/>
  <c r="R369" i="42"/>
  <c r="R356" i="42"/>
  <c r="R357" i="42"/>
  <c r="R355" i="42"/>
  <c r="R354" i="42"/>
  <c r="Y274" i="42"/>
  <c r="AJ274" i="42" s="1"/>
  <c r="Y238" i="42"/>
  <c r="AJ238" i="42" s="1"/>
  <c r="AL348" i="42"/>
  <c r="AM347" i="42" s="1"/>
  <c r="Z347" i="42"/>
  <c r="Y337" i="42"/>
  <c r="BL281" i="42"/>
  <c r="BM281" i="42" s="1"/>
  <c r="AS281" i="42" s="1"/>
  <c r="AJ157" i="42"/>
  <c r="AK156" i="42" s="1"/>
  <c r="Y156" i="42"/>
  <c r="AJ129" i="42"/>
  <c r="Y271" i="42"/>
  <c r="AJ271" i="42" s="1"/>
  <c r="Y242" i="42"/>
  <c r="S226" i="42"/>
  <c r="Z226" i="42" s="1"/>
  <c r="Y173" i="42"/>
  <c r="AJ173" i="42" s="1"/>
  <c r="S272" i="42"/>
  <c r="Z272" i="42" s="1"/>
  <c r="AL272" i="42" s="1"/>
  <c r="Y254" i="42"/>
  <c r="AJ254" i="42" s="1"/>
  <c r="AL245" i="42"/>
  <c r="AM244" i="42" s="1"/>
  <c r="Z244" i="42"/>
  <c r="Y175" i="42"/>
  <c r="D134" i="42"/>
  <c r="K134" i="42" s="1"/>
  <c r="D132" i="42"/>
  <c r="K132" i="42" s="1"/>
  <c r="D136" i="42"/>
  <c r="K136" i="42" s="1"/>
  <c r="K619" i="42"/>
  <c r="N619" i="42" s="1"/>
  <c r="P619" i="42" s="1"/>
  <c r="L621" i="42"/>
  <c r="F440" i="42"/>
  <c r="F500" i="42"/>
  <c r="F352" i="42"/>
  <c r="F278" i="42"/>
  <c r="F85" i="42"/>
  <c r="E88" i="42" s="1"/>
  <c r="K88" i="42" s="1"/>
  <c r="F532" i="42"/>
  <c r="F113" i="42"/>
  <c r="F128" i="42"/>
  <c r="F90" i="42"/>
  <c r="C202" i="42"/>
  <c r="E201" i="42"/>
  <c r="C201" i="42"/>
  <c r="S166" i="42"/>
  <c r="Z166" i="42" s="1"/>
  <c r="AL166" i="42" s="1"/>
  <c r="Y166" i="42"/>
  <c r="AJ166" i="42" s="1"/>
  <c r="S260" i="42"/>
  <c r="Z260" i="42" s="1"/>
  <c r="AL260" i="42" s="1"/>
  <c r="Y260" i="42"/>
  <c r="AJ260" i="42" s="1"/>
  <c r="S124" i="42"/>
  <c r="Z124" i="42" s="1"/>
  <c r="AL124" i="42" s="1"/>
  <c r="P259" i="42"/>
  <c r="Y421" i="42"/>
  <c r="AJ422" i="42"/>
  <c r="AK421" i="42" s="1"/>
  <c r="Y388" i="42"/>
  <c r="AJ389" i="42"/>
  <c r="AK388" i="42" s="1"/>
  <c r="AJ418" i="42"/>
  <c r="AK416" i="42" s="1"/>
  <c r="Y416" i="42"/>
  <c r="R407" i="42"/>
  <c r="R405" i="42"/>
  <c r="R404" i="42"/>
  <c r="R406" i="42"/>
  <c r="AL129" i="42"/>
  <c r="AJ343" i="42"/>
  <c r="S237" i="42"/>
  <c r="Z237" i="42" s="1"/>
  <c r="Z236" i="42" s="1"/>
  <c r="AL415" i="42"/>
  <c r="AM414" i="42" s="1"/>
  <c r="Z414" i="42"/>
  <c r="AL234" i="42"/>
  <c r="AM233" i="42" s="1"/>
  <c r="Z233" i="42"/>
  <c r="K191" i="42"/>
  <c r="O195" i="42"/>
  <c r="O198" i="42" s="1"/>
  <c r="P198" i="42" s="1"/>
  <c r="K194" i="42"/>
  <c r="O190" i="42"/>
  <c r="S122" i="42"/>
  <c r="Z122" i="42" s="1"/>
  <c r="AL122" i="42" s="1"/>
  <c r="Y122" i="42"/>
  <c r="AJ122" i="42" s="1"/>
  <c r="AL640" i="42"/>
  <c r="AM639" i="42" s="1"/>
  <c r="Z639" i="42"/>
  <c r="AJ628" i="42"/>
  <c r="AK627" i="42" s="1"/>
  <c r="Y627" i="42"/>
  <c r="Y558" i="42"/>
  <c r="AJ558" i="42" s="1"/>
  <c r="AJ427" i="42"/>
  <c r="AK426" i="42" s="1"/>
  <c r="Y426" i="42"/>
  <c r="Y370" i="42"/>
  <c r="AJ370" i="42" s="1"/>
  <c r="S344" i="42"/>
  <c r="Z344" i="42" s="1"/>
  <c r="AL344" i="42" s="1"/>
  <c r="Y228" i="42"/>
  <c r="AJ229" i="42"/>
  <c r="AK228" i="42" s="1"/>
  <c r="Z331" i="42"/>
  <c r="AL332" i="42"/>
  <c r="AM331" i="42" s="1"/>
  <c r="R378" i="42"/>
  <c r="R373" i="42"/>
  <c r="R398" i="42"/>
  <c r="R383" i="42"/>
  <c r="AM421" i="42"/>
  <c r="Y253" i="42"/>
  <c r="AL205" i="42"/>
  <c r="AJ147" i="42"/>
  <c r="S117" i="42"/>
  <c r="Z117" i="42" s="1"/>
  <c r="AL117" i="42" s="1"/>
  <c r="Y117" i="42"/>
  <c r="AJ117" i="42" s="1"/>
  <c r="BL371" i="42"/>
  <c r="BM371" i="42" s="1"/>
  <c r="AS371" i="42" s="1"/>
  <c r="Y256" i="42"/>
  <c r="AJ256" i="42" s="1"/>
  <c r="Y225" i="42"/>
  <c r="AJ226" i="42"/>
  <c r="AK225" i="42" s="1"/>
  <c r="BL367" i="42"/>
  <c r="BM367" i="42" s="1"/>
  <c r="AS367" i="42" s="1"/>
  <c r="BL283" i="42"/>
  <c r="BM283" i="42" s="1"/>
  <c r="AS283" i="42" s="1"/>
  <c r="Y148" i="42"/>
  <c r="AJ148" i="42" s="1"/>
  <c r="Z156" i="42"/>
  <c r="K621" i="42"/>
  <c r="E532" i="42"/>
  <c r="F536" i="42" s="1"/>
  <c r="L536" i="42" s="1"/>
  <c r="N536" i="42" s="1"/>
  <c r="P536" i="42" s="1"/>
  <c r="L618" i="42"/>
  <c r="E500" i="42"/>
  <c r="F514" i="42" s="1"/>
  <c r="L514" i="42" s="1"/>
  <c r="N514" i="42" s="1"/>
  <c r="P514" i="42" s="1"/>
  <c r="E440" i="42"/>
  <c r="E352" i="42"/>
  <c r="F356" i="42" s="1"/>
  <c r="K356" i="42" s="1"/>
  <c r="N356" i="42" s="1"/>
  <c r="P356" i="42" s="1"/>
  <c r="E128" i="42"/>
  <c r="F131" i="42" s="1"/>
  <c r="E278" i="42"/>
  <c r="F286" i="42" s="1"/>
  <c r="K286" i="42" s="1"/>
  <c r="N286" i="42" s="1"/>
  <c r="P286" i="42" s="1"/>
  <c r="E85" i="42"/>
  <c r="E86" i="42" s="1"/>
  <c r="K86" i="42" s="1"/>
  <c r="E113" i="42"/>
  <c r="E90" i="42"/>
  <c r="E101" i="42"/>
  <c r="K101" i="42" s="1"/>
  <c r="E99" i="42"/>
  <c r="K99" i="42" s="1"/>
  <c r="E209" i="42"/>
  <c r="L209" i="42" s="1"/>
  <c r="N209" i="42" s="1"/>
  <c r="P209" i="42" s="1"/>
  <c r="I202" i="42"/>
  <c r="Y184" i="42"/>
  <c r="AJ184" i="42" s="1"/>
  <c r="S184" i="42"/>
  <c r="Z184" i="42" s="1"/>
  <c r="AL184" i="42" s="1"/>
  <c r="S262" i="42"/>
  <c r="Z262" i="42" s="1"/>
  <c r="AL262" i="42" s="1"/>
  <c r="Y262" i="42"/>
  <c r="AJ262" i="42" s="1"/>
  <c r="S126" i="42"/>
  <c r="Z126" i="42" s="1"/>
  <c r="AL126" i="42" s="1"/>
  <c r="Y126" i="42"/>
  <c r="AJ126" i="42" s="1"/>
  <c r="S261" i="42"/>
  <c r="Z261" i="42" s="1"/>
  <c r="AL261" i="42" s="1"/>
  <c r="Y261" i="42"/>
  <c r="AJ261" i="42" s="1"/>
  <c r="M195" i="42"/>
  <c r="M193" i="42"/>
  <c r="M194" i="42"/>
  <c r="AL623" i="42"/>
  <c r="AM622" i="42" s="1"/>
  <c r="Z622" i="42"/>
  <c r="Y588" i="42"/>
  <c r="AJ589" i="42"/>
  <c r="AK588" i="42" s="1"/>
  <c r="AK432" i="42"/>
  <c r="S346" i="42"/>
  <c r="Z346" i="42" s="1"/>
  <c r="AL346" i="42" s="1"/>
  <c r="AL427" i="42"/>
  <c r="AM426" i="42" s="1"/>
  <c r="Z426" i="42"/>
  <c r="Z432" i="42"/>
  <c r="AL389" i="42"/>
  <c r="AM388" i="42" s="1"/>
  <c r="Z388" i="42"/>
  <c r="Y338" i="42"/>
  <c r="AJ338" i="42" s="1"/>
  <c r="Z421" i="42"/>
  <c r="BL290" i="42"/>
  <c r="BM290" i="42" s="1"/>
  <c r="AS290" i="42" s="1"/>
  <c r="S265" i="42"/>
  <c r="Z265" i="42" s="1"/>
  <c r="AL265" i="42" s="1"/>
  <c r="Z139" i="42"/>
  <c r="R283" i="42"/>
  <c r="R282" i="42"/>
  <c r="R281" i="42"/>
  <c r="R280" i="42"/>
  <c r="R297" i="42"/>
  <c r="R292" i="42"/>
  <c r="R290" i="42"/>
  <c r="R288" i="42"/>
  <c r="R285" i="42"/>
  <c r="R293" i="42"/>
  <c r="R296" i="42"/>
  <c r="R295" i="42"/>
  <c r="R287" i="42"/>
  <c r="R286" i="42"/>
  <c r="R291" i="42"/>
  <c r="S154" i="42"/>
  <c r="Z154" i="42" s="1"/>
  <c r="AJ415" i="42"/>
  <c r="AK414" i="42" s="1"/>
  <c r="Y414" i="42"/>
  <c r="Y393" i="42"/>
  <c r="BL292" i="42"/>
  <c r="BM292" i="42" s="1"/>
  <c r="AS292" i="42" s="1"/>
  <c r="AJ234" i="42"/>
  <c r="AK233" i="42" s="1"/>
  <c r="Y233" i="42"/>
  <c r="AL250" i="42"/>
  <c r="AM249" i="42" s="1"/>
  <c r="Z249" i="42"/>
  <c r="L190" i="42"/>
  <c r="L214" i="42"/>
  <c r="L193" i="42"/>
  <c r="L111" i="42"/>
  <c r="L112" i="42" s="1"/>
  <c r="L109" i="42"/>
  <c r="L110" i="42" s="1"/>
  <c r="L103" i="42"/>
  <c r="L104" i="42" s="1"/>
  <c r="L105" i="42"/>
  <c r="L106" i="42" s="1"/>
  <c r="L101" i="42"/>
  <c r="L102" i="42" s="1"/>
  <c r="L97" i="42"/>
  <c r="L98" i="42" s="1"/>
  <c r="AM156" i="42"/>
  <c r="F291" i="42"/>
  <c r="K291" i="42" s="1"/>
  <c r="N291" i="42" s="1"/>
  <c r="P291" i="42" s="1"/>
  <c r="F280" i="42"/>
  <c r="K280" i="42" s="1"/>
  <c r="N280" i="42" s="1"/>
  <c r="P280" i="42" s="1"/>
  <c r="K193" i="42"/>
  <c r="K201" i="42"/>
  <c r="K190" i="42"/>
  <c r="K214" i="42"/>
  <c r="K202" i="42"/>
  <c r="E207" i="42"/>
  <c r="L207" i="42" s="1"/>
  <c r="N207" i="42" s="1"/>
  <c r="P207" i="42" s="1"/>
  <c r="E203" i="42"/>
  <c r="I203" i="42" s="1"/>
  <c r="N203" i="42" s="1"/>
  <c r="P203" i="42" s="1"/>
  <c r="C65" i="42"/>
  <c r="E206" i="42"/>
  <c r="L206" i="42" s="1"/>
  <c r="I191" i="42"/>
  <c r="U133" i="42"/>
  <c r="U131" i="42"/>
  <c r="U135" i="42"/>
  <c r="S120" i="42"/>
  <c r="Z120" i="42" s="1"/>
  <c r="AL120" i="42" s="1"/>
  <c r="Y120" i="42"/>
  <c r="AJ120" i="42" s="1"/>
  <c r="S258" i="42"/>
  <c r="Z258" i="42" s="1"/>
  <c r="Y258" i="42"/>
  <c r="Y167" i="42"/>
  <c r="AJ167" i="42" s="1"/>
  <c r="Z127" i="42"/>
  <c r="AL127" i="42" s="1"/>
  <c r="O192" i="42"/>
  <c r="O191" i="42"/>
  <c r="U194" i="42"/>
  <c r="U193" i="42"/>
  <c r="U195" i="42"/>
  <c r="O197" i="42" l="1"/>
  <c r="P197" i="42" s="1"/>
  <c r="F288" i="42"/>
  <c r="K288" i="42" s="1"/>
  <c r="N288" i="42" s="1"/>
  <c r="P288" i="42" s="1"/>
  <c r="F292" i="42"/>
  <c r="K292" i="42" s="1"/>
  <c r="N292" i="42" s="1"/>
  <c r="P292" i="42" s="1"/>
  <c r="F283" i="42"/>
  <c r="K283" i="42" s="1"/>
  <c r="N283" i="42" s="1"/>
  <c r="P283" i="42" s="1"/>
  <c r="S283" i="42" s="1"/>
  <c r="Z283" i="42" s="1"/>
  <c r="AL283" i="42" s="1"/>
  <c r="Y244" i="42"/>
  <c r="Y342" i="42"/>
  <c r="AK153" i="42"/>
  <c r="O199" i="42"/>
  <c r="P199" i="42" s="1"/>
  <c r="N621" i="42"/>
  <c r="P621" i="42" s="1"/>
  <c r="F505" i="42"/>
  <c r="L505" i="42" s="1"/>
  <c r="N505" i="42" s="1"/>
  <c r="P505" i="42" s="1"/>
  <c r="Y153" i="42"/>
  <c r="AK220" i="42"/>
  <c r="Y331" i="42"/>
  <c r="F107" i="42"/>
  <c r="L107" i="42" s="1"/>
  <c r="L108" i="42" s="1"/>
  <c r="AK244" i="42"/>
  <c r="AJ250" i="42"/>
  <c r="AK249" i="42" s="1"/>
  <c r="F515" i="42"/>
  <c r="L515" i="42" s="1"/>
  <c r="N515" i="42" s="1"/>
  <c r="P515" i="42" s="1"/>
  <c r="S515" i="42" s="1"/>
  <c r="Z515" i="42" s="1"/>
  <c r="AL515" i="42" s="1"/>
  <c r="Y220" i="42"/>
  <c r="AM269" i="42"/>
  <c r="E103" i="42"/>
  <c r="K103" i="42" s="1"/>
  <c r="E109" i="42"/>
  <c r="K109" i="42" s="1"/>
  <c r="N109" i="42" s="1"/>
  <c r="P109" i="42" s="1"/>
  <c r="Y347" i="42"/>
  <c r="Y263" i="42"/>
  <c r="AJ263" i="42" s="1"/>
  <c r="E93" i="42"/>
  <c r="K93" i="42" s="1"/>
  <c r="Z269" i="42"/>
  <c r="F538" i="42"/>
  <c r="L538" i="42" s="1"/>
  <c r="N538" i="42" s="1"/>
  <c r="P538" i="42" s="1"/>
  <c r="N618" i="42"/>
  <c r="P618" i="42" s="1"/>
  <c r="AK342" i="42"/>
  <c r="AK347" i="42"/>
  <c r="F290" i="42"/>
  <c r="K290" i="42" s="1"/>
  <c r="N290" i="42" s="1"/>
  <c r="P290" i="42" s="1"/>
  <c r="S371" i="42"/>
  <c r="Z371" i="42" s="1"/>
  <c r="AL371" i="42" s="1"/>
  <c r="F367" i="42"/>
  <c r="K367" i="42" s="1"/>
  <c r="N367" i="42" s="1"/>
  <c r="P367" i="42" s="1"/>
  <c r="S367" i="42" s="1"/>
  <c r="Z367" i="42" s="1"/>
  <c r="AL367" i="42" s="1"/>
  <c r="N191" i="42"/>
  <c r="P191" i="42" s="1"/>
  <c r="F281" i="42"/>
  <c r="K281" i="42" s="1"/>
  <c r="N281" i="42" s="1"/>
  <c r="P281" i="42" s="1"/>
  <c r="Y281" i="42" s="1"/>
  <c r="AJ281" i="42" s="1"/>
  <c r="F287" i="42"/>
  <c r="K287" i="42" s="1"/>
  <c r="N287" i="42" s="1"/>
  <c r="P287" i="42" s="1"/>
  <c r="S287" i="42" s="1"/>
  <c r="Z287" i="42" s="1"/>
  <c r="AL287" i="42" s="1"/>
  <c r="F293" i="42"/>
  <c r="K293" i="42" s="1"/>
  <c r="N293" i="42" s="1"/>
  <c r="P293" i="42" s="1"/>
  <c r="S293" i="42" s="1"/>
  <c r="Z293" i="42" s="1"/>
  <c r="AL293" i="42" s="1"/>
  <c r="F365" i="42"/>
  <c r="K365" i="42" s="1"/>
  <c r="N365" i="42" s="1"/>
  <c r="P365" i="42" s="1"/>
  <c r="S365" i="42" s="1"/>
  <c r="Z365" i="42" s="1"/>
  <c r="AL365" i="42" s="1"/>
  <c r="N190" i="42"/>
  <c r="P190" i="42" s="1"/>
  <c r="S190" i="42" s="1"/>
  <c r="Z190" i="42" s="1"/>
  <c r="F285" i="42"/>
  <c r="K285" i="42" s="1"/>
  <c r="N285" i="42" s="1"/>
  <c r="P285" i="42" s="1"/>
  <c r="S285" i="42" s="1"/>
  <c r="Z285" i="42" s="1"/>
  <c r="F282" i="42"/>
  <c r="K282" i="42" s="1"/>
  <c r="N282" i="42" s="1"/>
  <c r="P282" i="42" s="1"/>
  <c r="Y282" i="42" s="1"/>
  <c r="AJ282" i="42" s="1"/>
  <c r="F357" i="42"/>
  <c r="K357" i="42" s="1"/>
  <c r="N357" i="42" s="1"/>
  <c r="P357" i="42" s="1"/>
  <c r="S357" i="42" s="1"/>
  <c r="Z357" i="42" s="1"/>
  <c r="AL357" i="42" s="1"/>
  <c r="F535" i="42"/>
  <c r="L535" i="42" s="1"/>
  <c r="N535" i="42" s="1"/>
  <c r="P535" i="42" s="1"/>
  <c r="Y535" i="42" s="1"/>
  <c r="F506" i="42"/>
  <c r="L506" i="42" s="1"/>
  <c r="N506" i="42" s="1"/>
  <c r="P506" i="42" s="1"/>
  <c r="Y506" i="42" s="1"/>
  <c r="AJ506" i="42" s="1"/>
  <c r="Z252" i="42"/>
  <c r="S356" i="42"/>
  <c r="Z356" i="42" s="1"/>
  <c r="AL356" i="42" s="1"/>
  <c r="Y356" i="42"/>
  <c r="AJ356" i="42" s="1"/>
  <c r="S536" i="42"/>
  <c r="Z536" i="42" s="1"/>
  <c r="AL536" i="42" s="1"/>
  <c r="Y536" i="42"/>
  <c r="AJ536" i="42" s="1"/>
  <c r="L136" i="42"/>
  <c r="N136" i="42" s="1"/>
  <c r="P136" i="42" s="1"/>
  <c r="N135" i="42"/>
  <c r="P135" i="42" s="1"/>
  <c r="Y618" i="42"/>
  <c r="S618" i="42"/>
  <c r="Z618" i="42" s="1"/>
  <c r="O206" i="42"/>
  <c r="P192" i="42"/>
  <c r="AJ258" i="42"/>
  <c r="S207" i="42"/>
  <c r="Y207" i="42"/>
  <c r="AJ207" i="42" s="1"/>
  <c r="F503" i="42"/>
  <c r="L503" i="42" s="1"/>
  <c r="N503" i="42" s="1"/>
  <c r="P503" i="42" s="1"/>
  <c r="F508" i="42"/>
  <c r="L508" i="42" s="1"/>
  <c r="N508" i="42" s="1"/>
  <c r="P508" i="42" s="1"/>
  <c r="Y285" i="42"/>
  <c r="S290" i="42"/>
  <c r="Z290" i="42" s="1"/>
  <c r="Y290" i="42"/>
  <c r="L217" i="42"/>
  <c r="L216" i="42"/>
  <c r="L215" i="42"/>
  <c r="S297" i="42"/>
  <c r="Z297" i="42" s="1"/>
  <c r="AL297" i="42" s="1"/>
  <c r="Y297" i="42"/>
  <c r="AJ297" i="42" s="1"/>
  <c r="K100" i="42"/>
  <c r="N101" i="42"/>
  <c r="P101" i="42" s="1"/>
  <c r="K102" i="42"/>
  <c r="N102" i="42" s="1"/>
  <c r="P102" i="42" s="1"/>
  <c r="E118" i="42"/>
  <c r="K118" i="42" s="1"/>
  <c r="E114" i="42"/>
  <c r="K114" i="42" s="1"/>
  <c r="R401" i="42"/>
  <c r="R399" i="42"/>
  <c r="R402" i="42"/>
  <c r="R400" i="42"/>
  <c r="Y198" i="42"/>
  <c r="AJ198" i="42" s="1"/>
  <c r="S198" i="42"/>
  <c r="S405" i="42"/>
  <c r="Z405" i="42" s="1"/>
  <c r="AL405" i="42" s="1"/>
  <c r="Y405" i="42"/>
  <c r="AJ405" i="42" s="1"/>
  <c r="E208" i="42"/>
  <c r="L208" i="42" s="1"/>
  <c r="N208" i="42" s="1"/>
  <c r="P208" i="42" s="1"/>
  <c r="I201" i="42"/>
  <c r="N201" i="42" s="1"/>
  <c r="P201" i="42" s="1"/>
  <c r="F364" i="42"/>
  <c r="K364" i="42" s="1"/>
  <c r="N364" i="42" s="1"/>
  <c r="P364" i="42" s="1"/>
  <c r="F362" i="42"/>
  <c r="K362" i="42" s="1"/>
  <c r="N362" i="42" s="1"/>
  <c r="P362" i="42" s="1"/>
  <c r="F354" i="42"/>
  <c r="K354" i="42" s="1"/>
  <c r="N354" i="42" s="1"/>
  <c r="P354" i="42" s="1"/>
  <c r="E95" i="42"/>
  <c r="K95" i="42" s="1"/>
  <c r="F91" i="42"/>
  <c r="L91" i="42" s="1"/>
  <c r="L92" i="42" s="1"/>
  <c r="K89" i="42"/>
  <c r="N89" i="42" s="1"/>
  <c r="P89" i="42" s="1"/>
  <c r="N88" i="42"/>
  <c r="P88" i="42" s="1"/>
  <c r="S409" i="42"/>
  <c r="Z409" i="42" s="1"/>
  <c r="Y409" i="42"/>
  <c r="K143" i="42"/>
  <c r="B143" i="42"/>
  <c r="R318" i="42"/>
  <c r="R316" i="42"/>
  <c r="R317" i="42"/>
  <c r="R315" i="42"/>
  <c r="R322" i="42"/>
  <c r="R320" i="42"/>
  <c r="R321" i="42"/>
  <c r="R323" i="42"/>
  <c r="AM252" i="42"/>
  <c r="Z336" i="42"/>
  <c r="Y190" i="42"/>
  <c r="Y515" i="42"/>
  <c r="AJ515" i="42" s="1"/>
  <c r="S281" i="42"/>
  <c r="Z281" i="42" s="1"/>
  <c r="AL281" i="42" s="1"/>
  <c r="Y293" i="42"/>
  <c r="AJ293" i="42" s="1"/>
  <c r="L194" i="42"/>
  <c r="N194" i="42" s="1"/>
  <c r="P194" i="42" s="1"/>
  <c r="L195" i="42"/>
  <c r="S538" i="42"/>
  <c r="Z538" i="42" s="1"/>
  <c r="AL538" i="42" s="1"/>
  <c r="Y538" i="42"/>
  <c r="AJ538" i="42" s="1"/>
  <c r="F99" i="42"/>
  <c r="L99" i="42" s="1"/>
  <c r="L100" i="42" s="1"/>
  <c r="E97" i="42"/>
  <c r="K97" i="42" s="1"/>
  <c r="F95" i="42"/>
  <c r="L95" i="42" s="1"/>
  <c r="L96" i="42" s="1"/>
  <c r="F93" i="42"/>
  <c r="L93" i="42" s="1"/>
  <c r="L94" i="42" s="1"/>
  <c r="E105" i="42"/>
  <c r="K105" i="42" s="1"/>
  <c r="E107" i="42"/>
  <c r="K107" i="42" s="1"/>
  <c r="E91" i="42"/>
  <c r="K91" i="42" s="1"/>
  <c r="S404" i="42"/>
  <c r="Z404" i="42" s="1"/>
  <c r="Y404" i="42"/>
  <c r="Y621" i="42"/>
  <c r="AJ621" i="42" s="1"/>
  <c r="S621" i="42"/>
  <c r="Z621" i="42" s="1"/>
  <c r="AL621" i="42" s="1"/>
  <c r="Y365" i="42"/>
  <c r="AJ365" i="42" s="1"/>
  <c r="AJ242" i="42"/>
  <c r="AK241" i="42" s="1"/>
  <c r="Y241" i="42"/>
  <c r="S369" i="42"/>
  <c r="Z369" i="42" s="1"/>
  <c r="Y369" i="42"/>
  <c r="S412" i="42"/>
  <c r="Z412" i="42" s="1"/>
  <c r="AL412" i="42" s="1"/>
  <c r="Y412" i="42"/>
  <c r="AJ412" i="42" s="1"/>
  <c r="AJ141" i="42"/>
  <c r="AK139" i="42" s="1"/>
  <c r="Y139" i="42"/>
  <c r="R312" i="42"/>
  <c r="R310" i="42"/>
  <c r="R313" i="42"/>
  <c r="R311" i="42"/>
  <c r="AM336" i="42"/>
  <c r="S199" i="42"/>
  <c r="AL258" i="42"/>
  <c r="N206" i="42"/>
  <c r="K195" i="42"/>
  <c r="N193" i="42"/>
  <c r="P193" i="42" s="1"/>
  <c r="F509" i="42"/>
  <c r="L509" i="42" s="1"/>
  <c r="N509" i="42" s="1"/>
  <c r="P509" i="42" s="1"/>
  <c r="F511" i="42"/>
  <c r="L511" i="42" s="1"/>
  <c r="N511" i="42" s="1"/>
  <c r="P511" i="42" s="1"/>
  <c r="Y280" i="42"/>
  <c r="S280" i="42"/>
  <c r="Z280" i="42" s="1"/>
  <c r="Y283" i="42"/>
  <c r="AJ283" i="42" s="1"/>
  <c r="Y291" i="42"/>
  <c r="AJ291" i="42" s="1"/>
  <c r="S291" i="42"/>
  <c r="Z291" i="42" s="1"/>
  <c r="AL291" i="42" s="1"/>
  <c r="AL154" i="42"/>
  <c r="AM153" i="42" s="1"/>
  <c r="Z153" i="42"/>
  <c r="S295" i="42"/>
  <c r="Z295" i="42" s="1"/>
  <c r="Y295" i="42"/>
  <c r="Z342" i="42"/>
  <c r="N202" i="42"/>
  <c r="P202" i="42" s="1"/>
  <c r="F537" i="42"/>
  <c r="L537" i="42" s="1"/>
  <c r="N537" i="42" s="1"/>
  <c r="P537" i="42" s="1"/>
  <c r="K94" i="42"/>
  <c r="N86" i="42"/>
  <c r="P86" i="42" s="1"/>
  <c r="K87" i="42"/>
  <c r="N87" i="42" s="1"/>
  <c r="P87" i="42" s="1"/>
  <c r="AK146" i="42"/>
  <c r="AJ253" i="42"/>
  <c r="AK252" i="42" s="1"/>
  <c r="Y252" i="42"/>
  <c r="R377" i="42"/>
  <c r="R375" i="42"/>
  <c r="R376" i="42"/>
  <c r="R374" i="42"/>
  <c r="AL237" i="42"/>
  <c r="AM236" i="42" s="1"/>
  <c r="Y407" i="42"/>
  <c r="AJ407" i="42" s="1"/>
  <c r="S407" i="42"/>
  <c r="Z407" i="42" s="1"/>
  <c r="AL407" i="42" s="1"/>
  <c r="S259" i="42"/>
  <c r="Z259" i="42" s="1"/>
  <c r="AL259" i="42" s="1"/>
  <c r="Y259" i="42"/>
  <c r="AJ259" i="42" s="1"/>
  <c r="F359" i="42"/>
  <c r="K359" i="42" s="1"/>
  <c r="N359" i="42" s="1"/>
  <c r="P359" i="42" s="1"/>
  <c r="F366" i="42"/>
  <c r="K366" i="42" s="1"/>
  <c r="N366" i="42" s="1"/>
  <c r="P366" i="42" s="1"/>
  <c r="F355" i="42"/>
  <c r="K355" i="42" s="1"/>
  <c r="N355" i="42" s="1"/>
  <c r="P355" i="42" s="1"/>
  <c r="Y411" i="42"/>
  <c r="AJ411" i="42" s="1"/>
  <c r="S411" i="42"/>
  <c r="Z411" i="42" s="1"/>
  <c r="AL411" i="42" s="1"/>
  <c r="E168" i="42"/>
  <c r="K168" i="42" s="1"/>
  <c r="B166" i="42"/>
  <c r="B164" i="42"/>
  <c r="B162" i="42"/>
  <c r="B168" i="42"/>
  <c r="E166" i="42"/>
  <c r="E162" i="42"/>
  <c r="K162" i="42" s="1"/>
  <c r="K160" i="42"/>
  <c r="B160" i="42"/>
  <c r="E164" i="42"/>
  <c r="K164" i="42" s="1"/>
  <c r="F168" i="42"/>
  <c r="L168" i="42" s="1"/>
  <c r="L169" i="42" s="1"/>
  <c r="R308" i="42"/>
  <c r="R306" i="42"/>
  <c r="R307" i="42"/>
  <c r="R305" i="42"/>
  <c r="AJ172" i="42"/>
  <c r="AK171" i="42" s="1"/>
  <c r="Y171" i="42"/>
  <c r="Y236" i="42"/>
  <c r="Y269" i="42"/>
  <c r="Y203" i="42"/>
  <c r="AJ203" i="42" s="1"/>
  <c r="S203" i="42"/>
  <c r="S514" i="42"/>
  <c r="Z514" i="42" s="1"/>
  <c r="AL514" i="42" s="1"/>
  <c r="Y514" i="42"/>
  <c r="AJ514" i="42" s="1"/>
  <c r="Y505" i="42"/>
  <c r="AJ505" i="42" s="1"/>
  <c r="S505" i="42"/>
  <c r="Z505" i="42" s="1"/>
  <c r="AL505" i="42" s="1"/>
  <c r="N111" i="42"/>
  <c r="P111" i="42" s="1"/>
  <c r="K112" i="42"/>
  <c r="N112" i="42" s="1"/>
  <c r="P112" i="42" s="1"/>
  <c r="F132" i="42"/>
  <c r="F133" i="42" s="1"/>
  <c r="L131" i="42"/>
  <c r="R386" i="42"/>
  <c r="R384" i="42"/>
  <c r="R387" i="42"/>
  <c r="R385" i="42"/>
  <c r="Y367" i="42"/>
  <c r="AJ367" i="42" s="1"/>
  <c r="Y357" i="42"/>
  <c r="AJ357" i="42" s="1"/>
  <c r="K150" i="42"/>
  <c r="B150" i="42"/>
  <c r="R302" i="42"/>
  <c r="R300" i="42"/>
  <c r="R301" i="42"/>
  <c r="R303" i="42"/>
  <c r="S197" i="42"/>
  <c r="Z197" i="42" s="1"/>
  <c r="Y197" i="42"/>
  <c r="G65" i="42"/>
  <c r="X192" i="42" s="1"/>
  <c r="J65" i="42"/>
  <c r="U199" i="42" s="1"/>
  <c r="F65" i="42"/>
  <c r="E65" i="42"/>
  <c r="I65" i="42"/>
  <c r="X199" i="42" s="1"/>
  <c r="Y199" i="42" s="1"/>
  <c r="AJ199" i="42" s="1"/>
  <c r="H65" i="42"/>
  <c r="U192" i="42" s="1"/>
  <c r="D65" i="42"/>
  <c r="K215" i="42"/>
  <c r="N215" i="42" s="1"/>
  <c r="K217" i="42"/>
  <c r="N217" i="42" s="1"/>
  <c r="N214" i="42"/>
  <c r="K216" i="42"/>
  <c r="N216" i="42" s="1"/>
  <c r="F504" i="42"/>
  <c r="L504" i="42" s="1"/>
  <c r="N504" i="42" s="1"/>
  <c r="P504" i="42" s="1"/>
  <c r="F513" i="42"/>
  <c r="L513" i="42" s="1"/>
  <c r="N513" i="42" s="1"/>
  <c r="P513" i="42" s="1"/>
  <c r="S288" i="42"/>
  <c r="Z288" i="42" s="1"/>
  <c r="AL288" i="42" s="1"/>
  <c r="Y288" i="42"/>
  <c r="AJ288" i="42" s="1"/>
  <c r="S286" i="42"/>
  <c r="Z286" i="42" s="1"/>
  <c r="AL286" i="42" s="1"/>
  <c r="Y286" i="42"/>
  <c r="AJ286" i="42" s="1"/>
  <c r="S292" i="42"/>
  <c r="Z292" i="42" s="1"/>
  <c r="AL292" i="42" s="1"/>
  <c r="Y292" i="42"/>
  <c r="AJ292" i="42" s="1"/>
  <c r="S296" i="42"/>
  <c r="Z296" i="42" s="1"/>
  <c r="AL296" i="42" s="1"/>
  <c r="Y296" i="42"/>
  <c r="AJ296" i="42" s="1"/>
  <c r="AM342" i="42"/>
  <c r="Y209" i="42"/>
  <c r="AJ209" i="42" s="1"/>
  <c r="S209" i="42"/>
  <c r="N103" i="42"/>
  <c r="P103" i="42" s="1"/>
  <c r="K104" i="42"/>
  <c r="N104" i="42" s="1"/>
  <c r="P104" i="42" s="1"/>
  <c r="K110" i="42"/>
  <c r="N110" i="42" s="1"/>
  <c r="P110" i="42" s="1"/>
  <c r="Y146" i="42"/>
  <c r="R379" i="42"/>
  <c r="R382" i="42"/>
  <c r="R381" i="42"/>
  <c r="R380" i="42"/>
  <c r="O214" i="42"/>
  <c r="O215" i="42" s="1"/>
  <c r="O216" i="42"/>
  <c r="O217" i="42" s="1"/>
  <c r="S406" i="42"/>
  <c r="Z406" i="42" s="1"/>
  <c r="AL406" i="42" s="1"/>
  <c r="Y406" i="42"/>
  <c r="AJ406" i="42" s="1"/>
  <c r="F360" i="42"/>
  <c r="K360" i="42" s="1"/>
  <c r="N360" i="42" s="1"/>
  <c r="P360" i="42" s="1"/>
  <c r="F361" i="42"/>
  <c r="K361" i="42" s="1"/>
  <c r="N361" i="42" s="1"/>
  <c r="P361" i="42" s="1"/>
  <c r="Y619" i="42"/>
  <c r="AJ619" i="42" s="1"/>
  <c r="S619" i="42"/>
  <c r="Z619" i="42" s="1"/>
  <c r="AL619" i="42" s="1"/>
  <c r="AJ175" i="42"/>
  <c r="AK174" i="42" s="1"/>
  <c r="Y174" i="42"/>
  <c r="AL226" i="42"/>
  <c r="AM225" i="42" s="1"/>
  <c r="Z225" i="42"/>
  <c r="AJ337" i="42"/>
  <c r="AK336" i="42" s="1"/>
  <c r="Y336" i="42"/>
  <c r="S410" i="42"/>
  <c r="Z410" i="42" s="1"/>
  <c r="AL410" i="42" s="1"/>
  <c r="Y410" i="42"/>
  <c r="AJ410" i="42" s="1"/>
  <c r="B186" i="42"/>
  <c r="E184" i="42"/>
  <c r="E182" i="42"/>
  <c r="K182" i="42" s="1"/>
  <c r="E180" i="42"/>
  <c r="K180" i="42" s="1"/>
  <c r="B182" i="42"/>
  <c r="B180" i="42"/>
  <c r="F186" i="42"/>
  <c r="L186" i="42" s="1"/>
  <c r="L187" i="42" s="1"/>
  <c r="E186" i="42"/>
  <c r="K186" i="42" s="1"/>
  <c r="B184" i="42"/>
  <c r="B178" i="42"/>
  <c r="K178" i="42"/>
  <c r="R328" i="42"/>
  <c r="R326" i="42"/>
  <c r="R327" i="42"/>
  <c r="R325" i="42"/>
  <c r="AK236" i="42"/>
  <c r="AK269" i="42"/>
  <c r="S282" i="42" l="1"/>
  <c r="Z282" i="42" s="1"/>
  <c r="AL282" i="42" s="1"/>
  <c r="P206" i="42"/>
  <c r="P217" i="42"/>
  <c r="S535" i="42"/>
  <c r="Z535" i="42" s="1"/>
  <c r="AL535" i="42" s="1"/>
  <c r="Z209" i="42"/>
  <c r="AL209" i="42" s="1"/>
  <c r="P215" i="42"/>
  <c r="Z203" i="42"/>
  <c r="AL203" i="42" s="1"/>
  <c r="Z199" i="42"/>
  <c r="AL199" i="42" s="1"/>
  <c r="Z198" i="42"/>
  <c r="Z207" i="42"/>
  <c r="AL207" i="42" s="1"/>
  <c r="S506" i="42"/>
  <c r="Z506" i="42" s="1"/>
  <c r="AL506" i="42" s="1"/>
  <c r="Y287" i="42"/>
  <c r="AJ287" i="42" s="1"/>
  <c r="N195" i="42"/>
  <c r="P195" i="42" s="1"/>
  <c r="Y195" i="42" s="1"/>
  <c r="AJ195" i="42" s="1"/>
  <c r="L210" i="42"/>
  <c r="N210" i="42" s="1"/>
  <c r="P210" i="42" s="1"/>
  <c r="Y257" i="42"/>
  <c r="Y194" i="42"/>
  <c r="AJ194" i="42" s="1"/>
  <c r="S194" i="42"/>
  <c r="S193" i="42"/>
  <c r="Y193" i="42"/>
  <c r="AJ193" i="42" s="1"/>
  <c r="Y326" i="42"/>
  <c r="AJ326" i="42" s="1"/>
  <c r="S326" i="42"/>
  <c r="Z326" i="42" s="1"/>
  <c r="AL326" i="42" s="1"/>
  <c r="S361" i="42"/>
  <c r="Z361" i="42" s="1"/>
  <c r="AL361" i="42" s="1"/>
  <c r="Y361" i="42"/>
  <c r="AJ361" i="42" s="1"/>
  <c r="S382" i="42"/>
  <c r="Z382" i="42" s="1"/>
  <c r="AL382" i="42" s="1"/>
  <c r="Y382" i="42"/>
  <c r="AJ382" i="42" s="1"/>
  <c r="S109" i="42"/>
  <c r="Z109" i="42" s="1"/>
  <c r="AL109" i="42" s="1"/>
  <c r="Y109" i="42"/>
  <c r="AJ109" i="42" s="1"/>
  <c r="Y504" i="42"/>
  <c r="AJ504" i="42" s="1"/>
  <c r="S504" i="42"/>
  <c r="Z504" i="42" s="1"/>
  <c r="AL504" i="42" s="1"/>
  <c r="S215" i="42"/>
  <c r="Z215" i="42" s="1"/>
  <c r="AL215" i="42" s="1"/>
  <c r="Y215" i="42"/>
  <c r="AJ215" i="42" s="1"/>
  <c r="AJ197" i="42"/>
  <c r="AK196" i="42" s="1"/>
  <c r="Y196" i="42"/>
  <c r="Y300" i="42"/>
  <c r="S300" i="42"/>
  <c r="Z300" i="42" s="1"/>
  <c r="S385" i="42"/>
  <c r="Z385" i="42" s="1"/>
  <c r="AL385" i="42" s="1"/>
  <c r="Y385" i="42"/>
  <c r="AJ385" i="42" s="1"/>
  <c r="N131" i="42"/>
  <c r="P131" i="42" s="1"/>
  <c r="L132" i="42"/>
  <c r="N132" i="42" s="1"/>
  <c r="P132" i="42" s="1"/>
  <c r="S308" i="42"/>
  <c r="Z308" i="42" s="1"/>
  <c r="AL308" i="42" s="1"/>
  <c r="Y308" i="42"/>
  <c r="AJ308" i="42" s="1"/>
  <c r="N160" i="42"/>
  <c r="P160" i="42" s="1"/>
  <c r="K161" i="42"/>
  <c r="N161" i="42" s="1"/>
  <c r="P161" i="42" s="1"/>
  <c r="Y366" i="42"/>
  <c r="AJ366" i="42" s="1"/>
  <c r="S366" i="42"/>
  <c r="Z366" i="42" s="1"/>
  <c r="AL366" i="42" s="1"/>
  <c r="S374" i="42"/>
  <c r="Z374" i="42" s="1"/>
  <c r="Y374" i="42"/>
  <c r="Y86" i="42"/>
  <c r="S86" i="42"/>
  <c r="Z86" i="42" s="1"/>
  <c r="Y202" i="42"/>
  <c r="AJ202" i="42" s="1"/>
  <c r="S202" i="42"/>
  <c r="Z294" i="42"/>
  <c r="AL295" i="42"/>
  <c r="AM294" i="42" s="1"/>
  <c r="AJ280" i="42"/>
  <c r="AK279" i="42" s="1"/>
  <c r="Y279" i="42"/>
  <c r="AM257" i="42"/>
  <c r="Y311" i="42"/>
  <c r="AJ311" i="42" s="1"/>
  <c r="S311" i="42"/>
  <c r="Z311" i="42" s="1"/>
  <c r="AL311" i="42" s="1"/>
  <c r="AJ369" i="42"/>
  <c r="AK368" i="42" s="1"/>
  <c r="Y368" i="42"/>
  <c r="S136" i="42"/>
  <c r="Z136" i="42" s="1"/>
  <c r="AL136" i="42" s="1"/>
  <c r="Y136" i="42"/>
  <c r="AJ136" i="42" s="1"/>
  <c r="N91" i="42"/>
  <c r="P91" i="42" s="1"/>
  <c r="K92" i="42"/>
  <c r="N92" i="42" s="1"/>
  <c r="P92" i="42" s="1"/>
  <c r="S322" i="42"/>
  <c r="Z322" i="42" s="1"/>
  <c r="AL322" i="42" s="1"/>
  <c r="Y322" i="42"/>
  <c r="AJ322" i="42" s="1"/>
  <c r="Y318" i="42"/>
  <c r="AJ318" i="42" s="1"/>
  <c r="S318" i="42"/>
  <c r="Z318" i="42" s="1"/>
  <c r="AL318" i="42" s="1"/>
  <c r="Z408" i="42"/>
  <c r="AL409" i="42"/>
  <c r="AM408" i="42" s="1"/>
  <c r="Y364" i="42"/>
  <c r="S364" i="42"/>
  <c r="Z364" i="42" s="1"/>
  <c r="S400" i="42"/>
  <c r="Z400" i="42" s="1"/>
  <c r="AL400" i="42" s="1"/>
  <c r="Y400" i="42"/>
  <c r="AJ400" i="42" s="1"/>
  <c r="S101" i="42"/>
  <c r="Z101" i="42" s="1"/>
  <c r="AL101" i="42" s="1"/>
  <c r="Y101" i="42"/>
  <c r="AJ101" i="42" s="1"/>
  <c r="AJ290" i="42"/>
  <c r="AK289" i="42" s="1"/>
  <c r="Y289" i="42"/>
  <c r="AJ285" i="42"/>
  <c r="AK284" i="42" s="1"/>
  <c r="AK257" i="42"/>
  <c r="AJ618" i="42"/>
  <c r="AK617" i="42" s="1"/>
  <c r="Y617" i="42"/>
  <c r="S381" i="42"/>
  <c r="Z381" i="42" s="1"/>
  <c r="AL381" i="42" s="1"/>
  <c r="Y381" i="42"/>
  <c r="AJ381" i="42" s="1"/>
  <c r="S217" i="42"/>
  <c r="Z217" i="42" s="1"/>
  <c r="AL217" i="42" s="1"/>
  <c r="Y217" i="42"/>
  <c r="AJ217" i="42" s="1"/>
  <c r="N150" i="42"/>
  <c r="P150" i="42" s="1"/>
  <c r="K151" i="42"/>
  <c r="N151" i="42" s="1"/>
  <c r="P151" i="42" s="1"/>
  <c r="S111" i="42"/>
  <c r="Z111" i="42" s="1"/>
  <c r="AL111" i="42" s="1"/>
  <c r="Y111" i="42"/>
  <c r="AJ111" i="42" s="1"/>
  <c r="Y306" i="42"/>
  <c r="AJ306" i="42" s="1"/>
  <c r="S306" i="42"/>
  <c r="Z306" i="42" s="1"/>
  <c r="AL306" i="42" s="1"/>
  <c r="S355" i="42"/>
  <c r="Z355" i="42" s="1"/>
  <c r="AL355" i="42" s="1"/>
  <c r="Y355" i="42"/>
  <c r="AJ355" i="42" s="1"/>
  <c r="S537" i="42"/>
  <c r="Z537" i="42" s="1"/>
  <c r="AL537" i="42" s="1"/>
  <c r="Y537" i="42"/>
  <c r="AJ537" i="42" s="1"/>
  <c r="Y294" i="42"/>
  <c r="AJ295" i="42"/>
  <c r="AK294" i="42" s="1"/>
  <c r="AL280" i="42"/>
  <c r="AM279" i="42" s="1"/>
  <c r="Z279" i="42"/>
  <c r="Z257" i="42"/>
  <c r="S312" i="42"/>
  <c r="Z312" i="42" s="1"/>
  <c r="AL312" i="42" s="1"/>
  <c r="Y312" i="42"/>
  <c r="AJ312" i="42" s="1"/>
  <c r="Y320" i="42"/>
  <c r="S320" i="42"/>
  <c r="Z320" i="42" s="1"/>
  <c r="S316" i="42"/>
  <c r="Z316" i="42" s="1"/>
  <c r="AL316" i="42" s="1"/>
  <c r="Y316" i="42"/>
  <c r="AJ316" i="42" s="1"/>
  <c r="Y89" i="42"/>
  <c r="AJ89" i="42" s="1"/>
  <c r="S89" i="42"/>
  <c r="Z89" i="42" s="1"/>
  <c r="AL89" i="42" s="1"/>
  <c r="Y401" i="42"/>
  <c r="AJ401" i="42" s="1"/>
  <c r="S401" i="42"/>
  <c r="Z401" i="42" s="1"/>
  <c r="AL401" i="42" s="1"/>
  <c r="Z617" i="42"/>
  <c r="AL618" i="42"/>
  <c r="AM617" i="42" s="1"/>
  <c r="S328" i="42"/>
  <c r="Z328" i="42" s="1"/>
  <c r="AL328" i="42" s="1"/>
  <c r="Y328" i="42"/>
  <c r="AJ328" i="42" s="1"/>
  <c r="N186" i="42"/>
  <c r="P186" i="42" s="1"/>
  <c r="K187" i="42"/>
  <c r="N187" i="42" s="1"/>
  <c r="P187" i="42" s="1"/>
  <c r="N180" i="42"/>
  <c r="P180" i="42" s="1"/>
  <c r="K181" i="42"/>
  <c r="N181" i="42" s="1"/>
  <c r="P181" i="42" s="1"/>
  <c r="S360" i="42"/>
  <c r="Z360" i="42" s="1"/>
  <c r="AL360" i="42" s="1"/>
  <c r="Y360" i="42"/>
  <c r="AJ360" i="42" s="1"/>
  <c r="Y379" i="42"/>
  <c r="S379" i="42"/>
  <c r="Z379" i="42" s="1"/>
  <c r="Y104" i="42"/>
  <c r="AJ104" i="42" s="1"/>
  <c r="S104" i="42"/>
  <c r="Z104" i="42" s="1"/>
  <c r="AL104" i="42" s="1"/>
  <c r="P216" i="42"/>
  <c r="C199" i="42"/>
  <c r="C203" i="42"/>
  <c r="C192" i="42"/>
  <c r="AL197" i="42"/>
  <c r="S302" i="42"/>
  <c r="Z302" i="42" s="1"/>
  <c r="AL302" i="42" s="1"/>
  <c r="Y302" i="42"/>
  <c r="AJ302" i="42" s="1"/>
  <c r="S387" i="42"/>
  <c r="Z387" i="42" s="1"/>
  <c r="AL387" i="42" s="1"/>
  <c r="Y387" i="42"/>
  <c r="AJ387" i="42" s="1"/>
  <c r="L133" i="42"/>
  <c r="F134" i="42"/>
  <c r="Y305" i="42"/>
  <c r="S305" i="42"/>
  <c r="Z305" i="42" s="1"/>
  <c r="N162" i="42"/>
  <c r="P162" i="42" s="1"/>
  <c r="K163" i="42"/>
  <c r="N163" i="42" s="1"/>
  <c r="P163" i="42" s="1"/>
  <c r="S359" i="42"/>
  <c r="Z359" i="42" s="1"/>
  <c r="Y359" i="42"/>
  <c r="Y376" i="42"/>
  <c r="AJ376" i="42" s="1"/>
  <c r="S376" i="42"/>
  <c r="Z376" i="42" s="1"/>
  <c r="AL376" i="42" s="1"/>
  <c r="N94" i="42"/>
  <c r="P94" i="42" s="1"/>
  <c r="S511" i="42"/>
  <c r="Z511" i="42" s="1"/>
  <c r="AL511" i="42" s="1"/>
  <c r="Y511" i="42"/>
  <c r="AJ511" i="42" s="1"/>
  <c r="L212" i="42"/>
  <c r="N212" i="42" s="1"/>
  <c r="P212" i="42" s="1"/>
  <c r="Y313" i="42"/>
  <c r="AJ313" i="42" s="1"/>
  <c r="S313" i="42"/>
  <c r="Z313" i="42" s="1"/>
  <c r="AL313" i="42" s="1"/>
  <c r="AL369" i="42"/>
  <c r="AM368" i="42" s="1"/>
  <c r="Z368" i="42"/>
  <c r="AJ404" i="42"/>
  <c r="AK403" i="42" s="1"/>
  <c r="Y403" i="42"/>
  <c r="N107" i="42"/>
  <c r="P107" i="42" s="1"/>
  <c r="K108" i="42"/>
  <c r="N108" i="42" s="1"/>
  <c r="P108" i="42" s="1"/>
  <c r="N97" i="42"/>
  <c r="P97" i="42" s="1"/>
  <c r="K98" i="42"/>
  <c r="N98" i="42" s="1"/>
  <c r="P98" i="42" s="1"/>
  <c r="AJ190" i="42"/>
  <c r="S323" i="42"/>
  <c r="Z323" i="42" s="1"/>
  <c r="AL323" i="42" s="1"/>
  <c r="Y323" i="42"/>
  <c r="AJ323" i="42" s="1"/>
  <c r="S315" i="42"/>
  <c r="Z315" i="42" s="1"/>
  <c r="Y315" i="42"/>
  <c r="N95" i="42"/>
  <c r="P95" i="42" s="1"/>
  <c r="K96" i="42"/>
  <c r="N96" i="42" s="1"/>
  <c r="P96" i="42" s="1"/>
  <c r="Y201" i="42"/>
  <c r="S201" i="42"/>
  <c r="Z201" i="42" s="1"/>
  <c r="S402" i="42"/>
  <c r="Z402" i="42" s="1"/>
  <c r="AL402" i="42" s="1"/>
  <c r="Y402" i="42"/>
  <c r="AJ402" i="42" s="1"/>
  <c r="N114" i="42"/>
  <c r="P114" i="42" s="1"/>
  <c r="K115" i="42"/>
  <c r="N115" i="42" s="1"/>
  <c r="P115" i="42" s="1"/>
  <c r="N100" i="42"/>
  <c r="P100" i="42" s="1"/>
  <c r="AL290" i="42"/>
  <c r="AM289" i="42" s="1"/>
  <c r="Z289" i="42"/>
  <c r="Z284" i="42"/>
  <c r="AL285" i="42"/>
  <c r="AM284" i="42" s="1"/>
  <c r="Y192" i="42"/>
  <c r="AJ192" i="42" s="1"/>
  <c r="S192" i="42"/>
  <c r="Y135" i="42"/>
  <c r="AJ135" i="42" s="1"/>
  <c r="S135" i="42"/>
  <c r="Z135" i="42" s="1"/>
  <c r="AL135" i="42" s="1"/>
  <c r="S327" i="42"/>
  <c r="Z327" i="42" s="1"/>
  <c r="AL327" i="42" s="1"/>
  <c r="Y327" i="42"/>
  <c r="AJ327" i="42" s="1"/>
  <c r="Y110" i="42"/>
  <c r="AJ110" i="42" s="1"/>
  <c r="S110" i="42"/>
  <c r="Z110" i="42" s="1"/>
  <c r="AL110" i="42" s="1"/>
  <c r="Y513" i="42"/>
  <c r="AJ513" i="42" s="1"/>
  <c r="S513" i="42"/>
  <c r="Z513" i="42" s="1"/>
  <c r="AL513" i="42" s="1"/>
  <c r="S301" i="42"/>
  <c r="Z301" i="42" s="1"/>
  <c r="AL301" i="42" s="1"/>
  <c r="Y301" i="42"/>
  <c r="AJ301" i="42" s="1"/>
  <c r="S386" i="42"/>
  <c r="Z386" i="42" s="1"/>
  <c r="AL386" i="42" s="1"/>
  <c r="Y386" i="42"/>
  <c r="AJ386" i="42" s="1"/>
  <c r="N168" i="42"/>
  <c r="P168" i="42" s="1"/>
  <c r="K169" i="42"/>
  <c r="N169" i="42" s="1"/>
  <c r="P169" i="42" s="1"/>
  <c r="S377" i="42"/>
  <c r="Z377" i="42" s="1"/>
  <c r="AL377" i="42" s="1"/>
  <c r="Y377" i="42"/>
  <c r="AJ377" i="42" s="1"/>
  <c r="Y87" i="42"/>
  <c r="AJ87" i="42" s="1"/>
  <c r="S87" i="42"/>
  <c r="Z87" i="42" s="1"/>
  <c r="AL87" i="42" s="1"/>
  <c r="AJ409" i="42"/>
  <c r="AK408" i="42" s="1"/>
  <c r="Y408" i="42"/>
  <c r="S362" i="42"/>
  <c r="Z362" i="42" s="1"/>
  <c r="AL362" i="42" s="1"/>
  <c r="Y362" i="42"/>
  <c r="AJ362" i="42" s="1"/>
  <c r="Y102" i="42"/>
  <c r="AJ102" i="42" s="1"/>
  <c r="S102" i="42"/>
  <c r="Z102" i="42" s="1"/>
  <c r="AL102" i="42" s="1"/>
  <c r="Y503" i="42"/>
  <c r="S503" i="42"/>
  <c r="Z503" i="42" s="1"/>
  <c r="S325" i="42"/>
  <c r="Z325" i="42" s="1"/>
  <c r="Y325" i="42"/>
  <c r="N178" i="42"/>
  <c r="P178" i="42" s="1"/>
  <c r="K179" i="42"/>
  <c r="N179" i="42" s="1"/>
  <c r="P179" i="42" s="1"/>
  <c r="N182" i="42"/>
  <c r="P182" i="42" s="1"/>
  <c r="K183" i="42"/>
  <c r="N183" i="42" s="1"/>
  <c r="P183" i="42" s="1"/>
  <c r="Y380" i="42"/>
  <c r="AJ380" i="42" s="1"/>
  <c r="S380" i="42"/>
  <c r="Z380" i="42" s="1"/>
  <c r="AL380" i="42" s="1"/>
  <c r="Y103" i="42"/>
  <c r="AJ103" i="42" s="1"/>
  <c r="S103" i="42"/>
  <c r="Z103" i="42" s="1"/>
  <c r="AL103" i="42" s="1"/>
  <c r="P214" i="42"/>
  <c r="S303" i="42"/>
  <c r="Z303" i="42" s="1"/>
  <c r="AL303" i="42" s="1"/>
  <c r="Y303" i="42"/>
  <c r="AJ303" i="42" s="1"/>
  <c r="Y384" i="42"/>
  <c r="S384" i="42"/>
  <c r="Z384" i="42" s="1"/>
  <c r="Y112" i="42"/>
  <c r="AJ112" i="42" s="1"/>
  <c r="S112" i="42"/>
  <c r="Z112" i="42" s="1"/>
  <c r="AL112" i="42" s="1"/>
  <c r="S307" i="42"/>
  <c r="Z307" i="42" s="1"/>
  <c r="AL307" i="42" s="1"/>
  <c r="Y307" i="42"/>
  <c r="AJ307" i="42" s="1"/>
  <c r="N164" i="42"/>
  <c r="P164" i="42" s="1"/>
  <c r="K165" i="42"/>
  <c r="N165" i="42" s="1"/>
  <c r="P165" i="42" s="1"/>
  <c r="S375" i="42"/>
  <c r="Z375" i="42" s="1"/>
  <c r="AL375" i="42" s="1"/>
  <c r="Y375" i="42"/>
  <c r="AJ375" i="42" s="1"/>
  <c r="N93" i="42"/>
  <c r="P93" i="42" s="1"/>
  <c r="S509" i="42"/>
  <c r="Z509" i="42" s="1"/>
  <c r="AL509" i="42" s="1"/>
  <c r="Y509" i="42"/>
  <c r="AJ509" i="42" s="1"/>
  <c r="Y206" i="42"/>
  <c r="S206" i="42"/>
  <c r="Z206" i="42" s="1"/>
  <c r="S310" i="42"/>
  <c r="Z310" i="42" s="1"/>
  <c r="Y310" i="42"/>
  <c r="AL404" i="42"/>
  <c r="AM403" i="42" s="1"/>
  <c r="Z403" i="42"/>
  <c r="N105" i="42"/>
  <c r="P105" i="42" s="1"/>
  <c r="K106" i="42"/>
  <c r="N106" i="42" s="1"/>
  <c r="P106" i="42" s="1"/>
  <c r="AL190" i="42"/>
  <c r="S321" i="42"/>
  <c r="Z321" i="42" s="1"/>
  <c r="AL321" i="42" s="1"/>
  <c r="Y321" i="42"/>
  <c r="AJ321" i="42" s="1"/>
  <c r="Y317" i="42"/>
  <c r="AJ317" i="42" s="1"/>
  <c r="S317" i="42"/>
  <c r="Z317" i="42" s="1"/>
  <c r="AL317" i="42" s="1"/>
  <c r="N143" i="42"/>
  <c r="P143" i="42" s="1"/>
  <c r="K144" i="42"/>
  <c r="N144" i="42" s="1"/>
  <c r="P144" i="42" s="1"/>
  <c r="Y88" i="42"/>
  <c r="AJ88" i="42" s="1"/>
  <c r="S88" i="42"/>
  <c r="Z88" i="42" s="1"/>
  <c r="AL88" i="42" s="1"/>
  <c r="S354" i="42"/>
  <c r="Z354" i="42" s="1"/>
  <c r="Y354" i="42"/>
  <c r="S208" i="42"/>
  <c r="Y208" i="42"/>
  <c r="AJ208" i="42" s="1"/>
  <c r="Y399" i="42"/>
  <c r="S399" i="42"/>
  <c r="Z399" i="42" s="1"/>
  <c r="K119" i="42"/>
  <c r="N119" i="42" s="1"/>
  <c r="P119" i="42" s="1"/>
  <c r="N118" i="42"/>
  <c r="P118" i="42" s="1"/>
  <c r="N99" i="42"/>
  <c r="P99" i="42" s="1"/>
  <c r="Y508" i="42"/>
  <c r="AJ508" i="42" s="1"/>
  <c r="S508" i="42"/>
  <c r="Z508" i="42" s="1"/>
  <c r="AL508" i="42" s="1"/>
  <c r="S191" i="42"/>
  <c r="Y191" i="42"/>
  <c r="AJ191" i="42" s="1"/>
  <c r="AJ535" i="42"/>
  <c r="AK532" i="42" s="1"/>
  <c r="Y284" i="42" l="1"/>
  <c r="Z196" i="42"/>
  <c r="S195" i="42"/>
  <c r="Z195" i="42" s="1"/>
  <c r="AL195" i="42" s="1"/>
  <c r="Z192" i="42"/>
  <c r="AL192" i="42" s="1"/>
  <c r="Z194" i="42"/>
  <c r="AL194" i="42" s="1"/>
  <c r="Z202" i="42"/>
  <c r="AL202" i="42" s="1"/>
  <c r="Z191" i="42"/>
  <c r="AL191" i="42" s="1"/>
  <c r="Z208" i="42"/>
  <c r="Z193" i="42"/>
  <c r="AL193" i="42" s="1"/>
  <c r="AL198" i="42"/>
  <c r="AM532" i="42"/>
  <c r="L211" i="42"/>
  <c r="N211" i="42" s="1"/>
  <c r="P211" i="42" s="1"/>
  <c r="Y211" i="42" s="1"/>
  <c r="Z532" i="42"/>
  <c r="Y532" i="42"/>
  <c r="S131" i="42"/>
  <c r="Z131" i="42" s="1"/>
  <c r="Y131" i="42"/>
  <c r="Y299" i="42"/>
  <c r="AJ300" i="42"/>
  <c r="AK299" i="42" s="1"/>
  <c r="S119" i="42"/>
  <c r="Z119" i="42" s="1"/>
  <c r="AL119" i="42" s="1"/>
  <c r="Y119" i="42"/>
  <c r="AJ119" i="42" s="1"/>
  <c r="AJ206" i="42"/>
  <c r="Z383" i="42"/>
  <c r="AL384" i="42"/>
  <c r="AM383" i="42" s="1"/>
  <c r="S214" i="42"/>
  <c r="Z214" i="42" s="1"/>
  <c r="Y214" i="42"/>
  <c r="S178" i="42"/>
  <c r="Z178" i="42" s="1"/>
  <c r="Y178" i="42"/>
  <c r="Y500" i="42"/>
  <c r="AJ503" i="42"/>
  <c r="AK500" i="42" s="1"/>
  <c r="Y168" i="42"/>
  <c r="AJ168" i="42" s="1"/>
  <c r="S168" i="42"/>
  <c r="Z168" i="42" s="1"/>
  <c r="AL168" i="42" s="1"/>
  <c r="Y96" i="42"/>
  <c r="AJ96" i="42" s="1"/>
  <c r="S96" i="42"/>
  <c r="Z96" i="42" s="1"/>
  <c r="AL96" i="42" s="1"/>
  <c r="S98" i="42"/>
  <c r="Z98" i="42" s="1"/>
  <c r="AL98" i="42" s="1"/>
  <c r="Y98" i="42"/>
  <c r="AJ98" i="42" s="1"/>
  <c r="S211" i="42"/>
  <c r="Y94" i="42"/>
  <c r="AJ94" i="42" s="1"/>
  <c r="S94" i="42"/>
  <c r="Z94" i="42" s="1"/>
  <c r="AL94" i="42" s="1"/>
  <c r="AL359" i="42"/>
  <c r="AM358" i="42" s="1"/>
  <c r="Z358" i="42"/>
  <c r="AJ305" i="42"/>
  <c r="AK304" i="42" s="1"/>
  <c r="Y304" i="42"/>
  <c r="S216" i="42"/>
  <c r="Z216" i="42" s="1"/>
  <c r="AL216" i="42" s="1"/>
  <c r="Y216" i="42"/>
  <c r="AJ216" i="42" s="1"/>
  <c r="Y378" i="42"/>
  <c r="AJ379" i="42"/>
  <c r="AK378" i="42" s="1"/>
  <c r="S180" i="42"/>
  <c r="Z180" i="42" s="1"/>
  <c r="AL180" i="42" s="1"/>
  <c r="Y180" i="42"/>
  <c r="AJ180" i="42" s="1"/>
  <c r="AJ364" i="42"/>
  <c r="AK363" i="42" s="1"/>
  <c r="Y363" i="42"/>
  <c r="Y91" i="42"/>
  <c r="S91" i="42"/>
  <c r="Z91" i="42" s="1"/>
  <c r="Y132" i="42"/>
  <c r="AJ132" i="42" s="1"/>
  <c r="S132" i="42"/>
  <c r="Z132" i="42" s="1"/>
  <c r="AL132" i="42" s="1"/>
  <c r="Z398" i="42"/>
  <c r="AL399" i="42"/>
  <c r="AM398" i="42" s="1"/>
  <c r="AJ354" i="42"/>
  <c r="AK353" i="42" s="1"/>
  <c r="Y353" i="42"/>
  <c r="Y106" i="42"/>
  <c r="AJ106" i="42" s="1"/>
  <c r="S106" i="42"/>
  <c r="Z106" i="42" s="1"/>
  <c r="AL106" i="42" s="1"/>
  <c r="AJ384" i="42"/>
  <c r="AK383" i="42" s="1"/>
  <c r="Y383" i="42"/>
  <c r="Y183" i="42"/>
  <c r="AJ183" i="42" s="1"/>
  <c r="S183" i="42"/>
  <c r="Z183" i="42" s="1"/>
  <c r="AL183" i="42" s="1"/>
  <c r="AJ325" i="42"/>
  <c r="AK324" i="42" s="1"/>
  <c r="Y324" i="42"/>
  <c r="Y100" i="42"/>
  <c r="AJ100" i="42" s="1"/>
  <c r="S100" i="42"/>
  <c r="Z100" i="42" s="1"/>
  <c r="AL100" i="42" s="1"/>
  <c r="S95" i="42"/>
  <c r="Z95" i="42" s="1"/>
  <c r="AL95" i="42" s="1"/>
  <c r="Y95" i="42"/>
  <c r="AJ95" i="42" s="1"/>
  <c r="S97" i="42"/>
  <c r="Z97" i="42" s="1"/>
  <c r="AL97" i="42" s="1"/>
  <c r="Y97" i="42"/>
  <c r="AJ97" i="42" s="1"/>
  <c r="S210" i="42"/>
  <c r="Y210" i="42"/>
  <c r="AJ210" i="42" s="1"/>
  <c r="AL320" i="42"/>
  <c r="AM319" i="42" s="1"/>
  <c r="Z319" i="42"/>
  <c r="S99" i="42"/>
  <c r="Z99" i="42" s="1"/>
  <c r="AL99" i="42" s="1"/>
  <c r="Y99" i="42"/>
  <c r="AJ99" i="42" s="1"/>
  <c r="AJ399" i="42"/>
  <c r="AK398" i="42" s="1"/>
  <c r="Y398" i="42"/>
  <c r="Z353" i="42"/>
  <c r="AL354" i="42"/>
  <c r="AM353" i="42" s="1"/>
  <c r="S143" i="42"/>
  <c r="Z143" i="42" s="1"/>
  <c r="Y143" i="42"/>
  <c r="S105" i="42"/>
  <c r="Z105" i="42" s="1"/>
  <c r="AL105" i="42" s="1"/>
  <c r="Y105" i="42"/>
  <c r="AJ105" i="42" s="1"/>
  <c r="Z309" i="42"/>
  <c r="AL310" i="42"/>
  <c r="AM309" i="42" s="1"/>
  <c r="Y165" i="42"/>
  <c r="AJ165" i="42" s="1"/>
  <c r="S165" i="42"/>
  <c r="Z165" i="42" s="1"/>
  <c r="AL165" i="42" s="1"/>
  <c r="Y182" i="42"/>
  <c r="AJ182" i="42" s="1"/>
  <c r="S182" i="42"/>
  <c r="Z182" i="42" s="1"/>
  <c r="AL182" i="42" s="1"/>
  <c r="AL325" i="42"/>
  <c r="AM324" i="42" s="1"/>
  <c r="Z324" i="42"/>
  <c r="S115" i="42"/>
  <c r="Z115" i="42" s="1"/>
  <c r="AL115" i="42" s="1"/>
  <c r="Y115" i="42"/>
  <c r="AJ115" i="42" s="1"/>
  <c r="AL201" i="42"/>
  <c r="Y314" i="42"/>
  <c r="AJ315" i="42"/>
  <c r="AK314" i="42" s="1"/>
  <c r="Y189" i="42"/>
  <c r="S108" i="42"/>
  <c r="Z108" i="42" s="1"/>
  <c r="AL108" i="42" s="1"/>
  <c r="Y108" i="42"/>
  <c r="AJ108" i="42" s="1"/>
  <c r="Y162" i="42"/>
  <c r="AJ162" i="42" s="1"/>
  <c r="S162" i="42"/>
  <c r="Z162" i="42" s="1"/>
  <c r="AL162" i="42" s="1"/>
  <c r="N133" i="42"/>
  <c r="P133" i="42" s="1"/>
  <c r="L134" i="42"/>
  <c r="N134" i="42" s="1"/>
  <c r="P134" i="42" s="1"/>
  <c r="Y186" i="42"/>
  <c r="AJ186" i="42" s="1"/>
  <c r="S186" i="42"/>
  <c r="Z186" i="42" s="1"/>
  <c r="AL186" i="42" s="1"/>
  <c r="Y319" i="42"/>
  <c r="AJ320" i="42"/>
  <c r="AK319" i="42" s="1"/>
  <c r="Y151" i="42"/>
  <c r="AJ151" i="42" s="1"/>
  <c r="S151" i="42"/>
  <c r="Z151" i="42" s="1"/>
  <c r="AL151" i="42" s="1"/>
  <c r="AL86" i="42"/>
  <c r="Z85" i="42"/>
  <c r="AJ374" i="42"/>
  <c r="AK373" i="42" s="1"/>
  <c r="Y373" i="42"/>
  <c r="Y161" i="42"/>
  <c r="AJ161" i="42" s="1"/>
  <c r="S161" i="42"/>
  <c r="Z161" i="42" s="1"/>
  <c r="AL161" i="42" s="1"/>
  <c r="AL300" i="42"/>
  <c r="AM299" i="42" s="1"/>
  <c r="Z299" i="42"/>
  <c r="Y144" i="42"/>
  <c r="AJ144" i="42" s="1"/>
  <c r="S144" i="42"/>
  <c r="Z144" i="42" s="1"/>
  <c r="AL144" i="42" s="1"/>
  <c r="Y309" i="42"/>
  <c r="AJ310" i="42"/>
  <c r="AK309" i="42" s="1"/>
  <c r="Y163" i="42"/>
  <c r="AJ163" i="42" s="1"/>
  <c r="S163" i="42"/>
  <c r="Z163" i="42" s="1"/>
  <c r="AL163" i="42" s="1"/>
  <c r="Y187" i="42"/>
  <c r="AJ187" i="42" s="1"/>
  <c r="S187" i="42"/>
  <c r="Z187" i="42" s="1"/>
  <c r="AL187" i="42" s="1"/>
  <c r="S118" i="42"/>
  <c r="Z118" i="42" s="1"/>
  <c r="AL118" i="42" s="1"/>
  <c r="Y118" i="42"/>
  <c r="AJ118" i="42" s="1"/>
  <c r="AL206" i="42"/>
  <c r="S93" i="42"/>
  <c r="Z93" i="42" s="1"/>
  <c r="AL93" i="42" s="1"/>
  <c r="Y93" i="42"/>
  <c r="AJ93" i="42" s="1"/>
  <c r="Y164" i="42"/>
  <c r="AJ164" i="42" s="1"/>
  <c r="S164" i="42"/>
  <c r="Z164" i="42" s="1"/>
  <c r="AL164" i="42" s="1"/>
  <c r="Y179" i="42"/>
  <c r="AJ179" i="42" s="1"/>
  <c r="S179" i="42"/>
  <c r="Z179" i="42" s="1"/>
  <c r="AL179" i="42" s="1"/>
  <c r="Z500" i="42"/>
  <c r="AL503" i="42"/>
  <c r="AM500" i="42" s="1"/>
  <c r="Y169" i="42"/>
  <c r="AJ169" i="42" s="1"/>
  <c r="S169" i="42"/>
  <c r="Z169" i="42" s="1"/>
  <c r="AL169" i="42" s="1"/>
  <c r="S114" i="42"/>
  <c r="Z114" i="42" s="1"/>
  <c r="Y114" i="42"/>
  <c r="Y200" i="42"/>
  <c r="AJ201" i="42"/>
  <c r="AK200" i="42" s="1"/>
  <c r="AL315" i="42"/>
  <c r="AM314" i="42" s="1"/>
  <c r="Z314" i="42"/>
  <c r="AK189" i="42"/>
  <c r="S107" i="42"/>
  <c r="Z107" i="42" s="1"/>
  <c r="AL107" i="42" s="1"/>
  <c r="Y107" i="42"/>
  <c r="AJ107" i="42" s="1"/>
  <c r="Y212" i="42"/>
  <c r="AJ212" i="42" s="1"/>
  <c r="S212" i="42"/>
  <c r="AJ359" i="42"/>
  <c r="AK358" i="42" s="1"/>
  <c r="Y358" i="42"/>
  <c r="AL305" i="42"/>
  <c r="AM304" i="42" s="1"/>
  <c r="Z304" i="42"/>
  <c r="AM196" i="42"/>
  <c r="Z378" i="42"/>
  <c r="AL379" i="42"/>
  <c r="AM378" i="42" s="1"/>
  <c r="S181" i="42"/>
  <c r="Z181" i="42" s="1"/>
  <c r="AL181" i="42" s="1"/>
  <c r="Y181" i="42"/>
  <c r="AJ181" i="42" s="1"/>
  <c r="Y150" i="42"/>
  <c r="S150" i="42"/>
  <c r="Z150" i="42" s="1"/>
  <c r="AL364" i="42"/>
  <c r="AM363" i="42" s="1"/>
  <c r="Z363" i="42"/>
  <c r="Y92" i="42"/>
  <c r="AJ92" i="42" s="1"/>
  <c r="S92" i="42"/>
  <c r="Z92" i="42" s="1"/>
  <c r="AL92" i="42" s="1"/>
  <c r="AJ86" i="42"/>
  <c r="Y85" i="42"/>
  <c r="AL374" i="42"/>
  <c r="AM373" i="42" s="1"/>
  <c r="Z373" i="42"/>
  <c r="Y160" i="42"/>
  <c r="S160" i="42"/>
  <c r="Z160" i="42" s="1"/>
  <c r="AM189" i="42" l="1"/>
  <c r="Z200" i="42"/>
  <c r="AM200" i="42"/>
  <c r="Z210" i="42"/>
  <c r="AL210" i="42" s="1"/>
  <c r="Z212" i="42"/>
  <c r="Z211" i="42"/>
  <c r="AL211" i="42" s="1"/>
  <c r="AL208" i="42"/>
  <c r="Z189" i="42"/>
  <c r="AJ211" i="42"/>
  <c r="Y204" i="42"/>
  <c r="Y159" i="42"/>
  <c r="AJ160" i="42"/>
  <c r="AK159" i="42" s="1"/>
  <c r="AJ91" i="42"/>
  <c r="AK90" i="42" s="1"/>
  <c r="Y90" i="42"/>
  <c r="AL214" i="42"/>
  <c r="AM213" i="42" s="1"/>
  <c r="Z213" i="42"/>
  <c r="Y149" i="42"/>
  <c r="AJ150" i="42"/>
  <c r="AK149" i="42" s="1"/>
  <c r="AL114" i="42"/>
  <c r="AM113" i="42" s="1"/>
  <c r="Z113" i="42"/>
  <c r="AM85" i="42"/>
  <c r="Y133" i="42"/>
  <c r="AJ133" i="42" s="1"/>
  <c r="S133" i="42"/>
  <c r="Z133" i="42" s="1"/>
  <c r="AL133" i="42" s="1"/>
  <c r="AJ178" i="42"/>
  <c r="AK177" i="42" s="1"/>
  <c r="Y177" i="42"/>
  <c r="AJ131" i="42"/>
  <c r="Y142" i="42"/>
  <c r="AJ143" i="42"/>
  <c r="AK142" i="42" s="1"/>
  <c r="AL91" i="42"/>
  <c r="AM90" i="42" s="1"/>
  <c r="Z90" i="42"/>
  <c r="AJ214" i="42"/>
  <c r="AK213" i="42" s="1"/>
  <c r="Y213" i="42"/>
  <c r="Z149" i="42"/>
  <c r="AL150" i="42"/>
  <c r="AM149" i="42" s="1"/>
  <c r="AJ114" i="42"/>
  <c r="AK113" i="42" s="1"/>
  <c r="Y113" i="42"/>
  <c r="Y134" i="42"/>
  <c r="AJ134" i="42" s="1"/>
  <c r="S134" i="42"/>
  <c r="Z134" i="42" s="1"/>
  <c r="AL134" i="42" s="1"/>
  <c r="AL143" i="42"/>
  <c r="AM142" i="42" s="1"/>
  <c r="Z142" i="42"/>
  <c r="AK204" i="42"/>
  <c r="Z159" i="42"/>
  <c r="AL160" i="42"/>
  <c r="AM159" i="42" s="1"/>
  <c r="Z177" i="42"/>
  <c r="AL178" i="42"/>
  <c r="AM177" i="42" s="1"/>
  <c r="AL131" i="42"/>
  <c r="AK85" i="42"/>
  <c r="AM128" i="42" l="1"/>
  <c r="Z204" i="42"/>
  <c r="Z128" i="42"/>
  <c r="U628" i="42" s="1"/>
  <c r="Z628" i="42" s="1"/>
  <c r="AL212" i="42"/>
  <c r="AM204" i="42" s="1"/>
  <c r="Y128" i="42"/>
  <c r="Y646" i="42" s="1"/>
  <c r="Y2" i="42" s="1"/>
  <c r="U625" i="42"/>
  <c r="U631" i="42"/>
  <c r="Z631" i="42" s="1"/>
  <c r="AL631" i="42" s="1"/>
  <c r="U636" i="42"/>
  <c r="Z636" i="42" s="1"/>
  <c r="AL636" i="42" s="1"/>
  <c r="U629" i="42"/>
  <c r="Z629" i="42" s="1"/>
  <c r="AL629" i="42" s="1"/>
  <c r="U634" i="42"/>
  <c r="Z634" i="42" s="1"/>
  <c r="AL634" i="42" s="1"/>
  <c r="U630" i="42"/>
  <c r="Z630" i="42" s="1"/>
  <c r="AL630" i="42" s="1"/>
  <c r="U633" i="42"/>
  <c r="Z633" i="42" s="1"/>
  <c r="AL633" i="42" s="1"/>
  <c r="AK128" i="42"/>
  <c r="AK646" i="42" s="1"/>
  <c r="AJ646" i="42"/>
  <c r="U632" i="42"/>
  <c r="Z632" i="42" s="1"/>
  <c r="AL632" i="42" s="1"/>
  <c r="U638" i="42"/>
  <c r="U626" i="42" l="1"/>
  <c r="Z626" i="42" s="1"/>
  <c r="AL626" i="42" s="1"/>
  <c r="U635" i="42"/>
  <c r="Z635" i="42" s="1"/>
  <c r="AL635" i="42" s="1"/>
  <c r="U637" i="42"/>
  <c r="Z637" i="42" s="1"/>
  <c r="AL637" i="42" s="1"/>
  <c r="AC646" i="42"/>
  <c r="Z638" i="42"/>
  <c r="AL638" i="42" s="1"/>
  <c r="AA646" i="42"/>
  <c r="Z625" i="42"/>
  <c r="AD646" i="42"/>
  <c r="AL628" i="42"/>
  <c r="Z627" i="42" l="1"/>
  <c r="AM627" i="42"/>
  <c r="Z624" i="42"/>
  <c r="Z646" i="42" s="1"/>
  <c r="AL625" i="42"/>
  <c r="AM624" i="42" l="1"/>
  <c r="AM646" i="42" s="1"/>
  <c r="AL646" i="42"/>
  <c r="Z648" i="42"/>
  <c r="Z650" i="42" s="1"/>
  <c r="Y651" i="42" s="1"/>
  <c r="Z2" i="42"/>
  <c r="S25" i="35" l="1"/>
  <c r="S24" i="35"/>
  <c r="S17" i="35" l="1"/>
  <c r="S16" i="35"/>
  <c r="S15" i="35"/>
  <c r="S14" i="35"/>
  <c r="Q17" i="35"/>
  <c r="Q16" i="35"/>
  <c r="Q15" i="35"/>
  <c r="Q14" i="35"/>
  <c r="Y11" i="35" l="1"/>
  <c r="Y10" i="35"/>
  <c r="G16" i="84" s="1"/>
  <c r="Y9" i="35"/>
  <c r="W9" i="35"/>
  <c r="W8" i="35"/>
  <c r="U11" i="35"/>
  <c r="U10" i="35"/>
  <c r="G20" i="84" s="1"/>
  <c r="K20" i="84" s="1"/>
  <c r="U9" i="35"/>
  <c r="U8" i="35"/>
  <c r="S11" i="35"/>
  <c r="R10" i="35"/>
  <c r="S10" i="35"/>
  <c r="G12" i="84" s="1"/>
  <c r="S9" i="35"/>
  <c r="R8" i="35"/>
  <c r="S8" i="35"/>
  <c r="G13" i="84" l="1"/>
  <c r="K12" i="84"/>
  <c r="G15" i="84"/>
  <c r="K15" i="84" s="1"/>
  <c r="N14" i="84"/>
  <c r="N15" i="84"/>
  <c r="N13" i="84"/>
  <c r="N12" i="84"/>
  <c r="K16" i="84"/>
  <c r="G17" i="84"/>
  <c r="K17" i="84" s="1"/>
  <c r="S7" i="35"/>
  <c r="S6" i="35"/>
  <c r="Q7" i="35"/>
  <c r="Q6" i="35"/>
  <c r="S5" i="35"/>
  <c r="Q5" i="35"/>
  <c r="Q4" i="35"/>
  <c r="S4" i="35"/>
  <c r="Q10" i="35"/>
  <c r="G9" i="84" s="1"/>
  <c r="Q11" i="35"/>
  <c r="Q9" i="35"/>
  <c r="Q8" i="35"/>
  <c r="O179" i="35"/>
  <c r="O180" i="35"/>
  <c r="O181" i="35"/>
  <c r="O182" i="35"/>
  <c r="O183" i="35"/>
  <c r="O184" i="35"/>
  <c r="O185" i="35"/>
  <c r="O186" i="35"/>
  <c r="O187" i="35"/>
  <c r="O188" i="35"/>
  <c r="O189" i="35"/>
  <c r="O190" i="35"/>
  <c r="O191" i="35"/>
  <c r="O192" i="35"/>
  <c r="O193" i="35"/>
  <c r="O194" i="35"/>
  <c r="O195" i="35"/>
  <c r="O196" i="35"/>
  <c r="O197" i="35"/>
  <c r="O198" i="35"/>
  <c r="O199" i="35"/>
  <c r="O200" i="35"/>
  <c r="O201" i="35"/>
  <c r="O202" i="35"/>
  <c r="O203" i="35"/>
  <c r="O204" i="35"/>
  <c r="O205" i="35"/>
  <c r="O206" i="35"/>
  <c r="O207" i="35"/>
  <c r="O208" i="35"/>
  <c r="O209" i="35"/>
  <c r="O210" i="35"/>
  <c r="O211" i="35"/>
  <c r="O212" i="35"/>
  <c r="O213" i="35"/>
  <c r="O214" i="35"/>
  <c r="O215" i="35"/>
  <c r="O216" i="35"/>
  <c r="O217" i="35"/>
  <c r="O218" i="35"/>
  <c r="O219" i="35"/>
  <c r="O220" i="35"/>
  <c r="O221" i="35"/>
  <c r="O222" i="35"/>
  <c r="O223" i="35"/>
  <c r="O224" i="35"/>
  <c r="O225" i="35"/>
  <c r="O226" i="35"/>
  <c r="O227" i="35"/>
  <c r="O228" i="35"/>
  <c r="O229" i="35"/>
  <c r="O230" i="35"/>
  <c r="O231" i="35"/>
  <c r="O232" i="35"/>
  <c r="O233" i="35"/>
  <c r="O234" i="35"/>
  <c r="O235" i="35"/>
  <c r="O236" i="35"/>
  <c r="O237" i="35"/>
  <c r="O238" i="35"/>
  <c r="O239" i="35"/>
  <c r="O240" i="35"/>
  <c r="O241" i="35"/>
  <c r="O242" i="35"/>
  <c r="O243" i="35"/>
  <c r="O244" i="35"/>
  <c r="O245" i="35"/>
  <c r="O246" i="35"/>
  <c r="O247" i="35"/>
  <c r="O248" i="35"/>
  <c r="O249" i="35"/>
  <c r="O250" i="35"/>
  <c r="O251" i="35"/>
  <c r="O252" i="35"/>
  <c r="O253" i="35"/>
  <c r="O254" i="35"/>
  <c r="O255" i="35"/>
  <c r="O256" i="35"/>
  <c r="O257" i="35"/>
  <c r="O258" i="35"/>
  <c r="O259" i="35"/>
  <c r="O260" i="35"/>
  <c r="O261" i="35"/>
  <c r="O262" i="35"/>
  <c r="O178" i="35"/>
  <c r="G10" i="84" l="1"/>
  <c r="K10" i="84" s="1"/>
  <c r="G11" i="84"/>
  <c r="K11" i="84" s="1"/>
  <c r="K9" i="84"/>
  <c r="G14" i="84"/>
  <c r="K14" i="84" s="1"/>
  <c r="K13" i="84"/>
  <c r="AD12" i="35" l="1"/>
  <c r="AD13" i="35"/>
  <c r="AD11" i="35"/>
  <c r="AD17" i="35"/>
  <c r="G78" i="84" s="1"/>
  <c r="K78" i="84" s="1"/>
  <c r="L78" i="84" s="1"/>
  <c r="M78" i="84" s="1"/>
  <c r="AD16" i="35"/>
  <c r="S59" i="27"/>
  <c r="T59" i="27" s="1"/>
  <c r="G45" i="35"/>
  <c r="G44" i="35"/>
  <c r="G43" i="35"/>
  <c r="G42" i="35"/>
  <c r="G41" i="35"/>
  <c r="G40" i="35"/>
  <c r="G39" i="35"/>
  <c r="G38" i="35"/>
  <c r="G37" i="35"/>
  <c r="G36" i="35"/>
  <c r="G35" i="35"/>
  <c r="G34" i="35"/>
  <c r="G39" i="84" s="1"/>
  <c r="K39" i="84" s="1"/>
  <c r="L39" i="84" s="1"/>
  <c r="M39" i="84" s="1"/>
  <c r="G33" i="35"/>
  <c r="G32" i="35"/>
  <c r="G31" i="35"/>
  <c r="G30" i="35"/>
  <c r="G29" i="35"/>
  <c r="G28" i="35"/>
  <c r="G27" i="35"/>
  <c r="G26" i="35"/>
  <c r="G25" i="35"/>
  <c r="G24" i="35"/>
  <c r="I7" i="20"/>
  <c r="I10" i="20" s="1"/>
  <c r="E21" i="26"/>
  <c r="G21" i="26" s="1"/>
  <c r="C13" i="26"/>
  <c r="C39" i="26" s="1"/>
  <c r="C14" i="26"/>
  <c r="C40" i="26" s="1"/>
  <c r="C15" i="26"/>
  <c r="C41" i="26" s="1"/>
  <c r="C16" i="26"/>
  <c r="C42" i="26" s="1"/>
  <c r="C17" i="26"/>
  <c r="C43" i="26" s="1"/>
  <c r="C18" i="26"/>
  <c r="C44" i="26" s="1"/>
  <c r="C19" i="26"/>
  <c r="C45" i="26" s="1"/>
  <c r="C21" i="26"/>
  <c r="C47" i="26" s="1"/>
  <c r="C22" i="26"/>
  <c r="C48" i="26" s="1"/>
  <c r="C23" i="26"/>
  <c r="C49" i="26" s="1"/>
  <c r="C24" i="26"/>
  <c r="C50" i="26" s="1"/>
  <c r="C25" i="26"/>
  <c r="C51" i="26" s="1"/>
  <c r="C26" i="26"/>
  <c r="C52" i="26" s="1"/>
  <c r="C27" i="26"/>
  <c r="C53" i="26" s="1"/>
  <c r="C28" i="26"/>
  <c r="C54" i="26" s="1"/>
  <c r="C12" i="26"/>
  <c r="C38" i="26" s="1"/>
  <c r="H7" i="20"/>
  <c r="S62" i="27"/>
  <c r="S66" i="27" s="1"/>
  <c r="T66" i="27" s="1"/>
  <c r="S60" i="27"/>
  <c r="S61" i="27" s="1"/>
  <c r="T61" i="27" s="1"/>
  <c r="G69" i="26"/>
  <c r="G65" i="26"/>
  <c r="C57" i="26"/>
  <c r="C56" i="26"/>
  <c r="H15" i="20"/>
  <c r="I15" i="20" s="1"/>
  <c r="L9" i="20"/>
  <c r="O9" i="20" s="1"/>
  <c r="S9" i="20" s="1"/>
  <c r="T9" i="20" s="1"/>
  <c r="L8" i="20"/>
  <c r="O8" i="20" s="1"/>
  <c r="S8" i="20" s="1"/>
  <c r="T8" i="20" s="1"/>
  <c r="E47" i="26"/>
  <c r="G47" i="26" s="1"/>
  <c r="E38" i="26"/>
  <c r="G38" i="26" s="1"/>
  <c r="G59" i="26" s="1"/>
  <c r="E12" i="26"/>
  <c r="G12" i="26" s="1"/>
  <c r="G30" i="26" s="1"/>
  <c r="L7" i="20" l="1"/>
  <c r="O7" i="20" s="1"/>
  <c r="S7" i="20" s="1"/>
  <c r="T7" i="20" s="1"/>
  <c r="G31" i="26"/>
  <c r="H65" i="26" s="1"/>
  <c r="H10" i="20"/>
  <c r="L10" i="20" s="1"/>
  <c r="O10" i="20" s="1"/>
  <c r="S10" i="20" s="1"/>
  <c r="T10" i="20" s="1"/>
  <c r="S12" i="20" l="1"/>
  <c r="T12" i="20" s="1"/>
  <c r="T14" i="20" s="1"/>
  <c r="G32" i="26"/>
  <c r="H59" i="26"/>
  <c r="H69" i="26"/>
  <c r="U7" i="20"/>
  <c r="S14" i="20" l="1"/>
  <c r="G34" i="26"/>
  <c r="G72" i="26"/>
  <c r="H72" i="26" s="1"/>
  <c r="G33" i="26"/>
  <c r="K62" i="84" l="1"/>
  <c r="L62" i="84" s="1"/>
  <c r="S15" i="20"/>
  <c r="S17" i="20" s="1"/>
  <c r="T17" i="20" s="1"/>
  <c r="M62" i="84" l="1"/>
  <c r="G86" i="84"/>
  <c r="K86" i="84" s="1"/>
  <c r="L86" i="84" s="1"/>
  <c r="M86" i="84" s="1"/>
  <c r="L87" i="84" l="1"/>
  <c r="L89" i="84" l="1"/>
  <c r="M89" i="84" s="1"/>
  <c r="M90" i="84" s="1"/>
  <c r="K18" i="27" s="1"/>
  <c r="M87" i="84"/>
  <c r="M93" i="84"/>
  <c r="M94" i="84" s="1"/>
  <c r="P21" i="27" l="1"/>
  <c r="L18" i="27"/>
  <c r="L52" i="27" l="1"/>
  <c r="L53" i="27" s="1"/>
  <c r="L54" i="27" s="1"/>
  <c r="L55" i="27" s="1"/>
  <c r="L56" i="2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E20" authorId="0" shapeId="0" xr:uid="{00000000-0006-0000-0800-000001000000}">
      <text>
        <r>
          <rPr>
            <sz val="9"/>
            <color indexed="81"/>
            <rFont val="Tahoma"/>
            <family val="2"/>
          </rPr>
          <t xml:space="preserve">Rp54,000/kG
</t>
        </r>
      </text>
    </comment>
    <comment ref="G20" authorId="0" shapeId="0" xr:uid="{00000000-0006-0000-0800-000002000000}">
      <text>
        <r>
          <rPr>
            <sz val="9"/>
            <color indexed="81"/>
            <rFont val="Tahoma"/>
            <family val="2"/>
          </rPr>
          <t xml:space="preserve">Rp54,000/kG
</t>
        </r>
      </text>
    </comment>
    <comment ref="AZ139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 xml:space="preserve">CMH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139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CMH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39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CMH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139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CMH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88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CF = Conversion Factor :</t>
        </r>
        <r>
          <rPr>
            <sz val="9"/>
            <color indexed="81"/>
            <rFont val="Tahoma"/>
            <family val="2"/>
          </rPr>
          <t xml:space="preserve">
CF = Density kG/m3
CF = Usage kG.m2
CF = Usage kG/mm
CF = Usage Liter/m2</t>
        </r>
      </text>
    </comment>
    <comment ref="N188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V/A/L = Measurement :</t>
        </r>
        <r>
          <rPr>
            <sz val="9"/>
            <color indexed="81"/>
            <rFont val="Tahoma"/>
            <family val="2"/>
          </rPr>
          <t xml:space="preserve">
V = Measure by Vol (m3)
A = Measure by Area (m2)
L = Measure by Length (m)
</t>
        </r>
      </text>
    </comment>
    <comment ref="Q188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Waste Factor :</t>
        </r>
        <r>
          <rPr>
            <sz val="9"/>
            <color indexed="81"/>
            <rFont val="Tahoma"/>
            <family val="2"/>
          </rPr>
          <t xml:space="preserve">
WF</t>
        </r>
      </text>
    </comment>
    <comment ref="R388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Suction Rotalock</t>
        </r>
        <r>
          <rPr>
            <sz val="9"/>
            <color indexed="81"/>
            <rFont val="Tahoma"/>
            <family val="2"/>
          </rPr>
          <t xml:space="preserve">
Provided on SHR
</t>
        </r>
      </text>
    </comment>
    <comment ref="R393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Discharge
 Rotalock</t>
        </r>
        <r>
          <rPr>
            <sz val="9"/>
            <color indexed="81"/>
            <rFont val="Tahoma"/>
            <family val="2"/>
          </rPr>
          <t xml:space="preserve">
Provided on SHR
</t>
        </r>
      </text>
    </comment>
    <comment ref="R398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Suction Rotalock</t>
        </r>
        <r>
          <rPr>
            <sz val="9"/>
            <color indexed="81"/>
            <rFont val="Tahoma"/>
            <family val="2"/>
          </rPr>
          <t xml:space="preserve">
Provided on SHR
</t>
        </r>
      </text>
    </comment>
    <comment ref="BR54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OD Gland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S54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 xml:space="preserve">Max Cable OD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T541" authorId="0" shapeId="0" xr:uid="{00000000-0006-0000-0800-00000F000000}">
      <text>
        <r>
          <rPr>
            <b/>
            <sz val="9"/>
            <color indexed="81"/>
            <rFont val="Tahoma"/>
            <family val="2"/>
          </rPr>
          <t xml:space="preserve">Cable Size Range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42" authorId="0" shapeId="0" xr:uid="{00000000-0006-0000-0800-000010000000}">
      <text>
        <r>
          <rPr>
            <sz val="9"/>
            <color indexed="81"/>
            <rFont val="Tahoma"/>
            <family val="2"/>
          </rPr>
          <t xml:space="preserve">Weld Penetrant Examination
Magnetic Particle Test
</t>
        </r>
      </text>
    </comment>
    <comment ref="B645" authorId="0" shapeId="0" xr:uid="{00000000-0006-0000-0800-000011000000}">
      <text>
        <r>
          <rPr>
            <b/>
            <sz val="9"/>
            <color indexed="81"/>
            <rFont val="Tahoma"/>
            <family val="2"/>
          </rPr>
          <t xml:space="preserve">LCIIE
</t>
        </r>
        <r>
          <rPr>
            <sz val="9"/>
            <color indexed="81"/>
            <rFont val="Tahoma"/>
            <family val="2"/>
          </rPr>
          <t>1. $45,000 (5 type test)
2. Travel cost
3. Accommodation cost
4. Mobilisation 3 days
5. Testing 2 days per Type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TPP</author>
  </authors>
  <commentList>
    <comment ref="M18" authorId="0" shapeId="0" xr:uid="{674F3BEA-A3D1-4429-987B-05907A3F05CB}">
      <text>
        <r>
          <rPr>
            <sz val="9"/>
            <color indexed="81"/>
            <rFont val="Tahoma"/>
            <family val="2"/>
          </rPr>
          <t xml:space="preserve">1.2x4x8=2090000
3.0x4x8=5168500
</t>
        </r>
      </text>
    </comment>
    <comment ref="M22" authorId="0" shapeId="0" xr:uid="{093F9BCA-6935-486B-80CA-48279DCB0E6B}">
      <text>
        <r>
          <rPr>
            <sz val="9"/>
            <color indexed="81"/>
            <rFont val="Tahoma"/>
            <family val="2"/>
          </rPr>
          <t xml:space="preserve">1.2x4x8=2090000
3.0x4x8=5168500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TPP</author>
    <author>USER</author>
  </authors>
  <commentList>
    <comment ref="M24" authorId="0" shapeId="0" xr:uid="{677C12F1-017B-407D-9E65-1FDCE8A1BC36}">
      <text>
        <r>
          <rPr>
            <sz val="9"/>
            <color indexed="81"/>
            <rFont val="Tahoma"/>
            <family val="2"/>
          </rPr>
          <t xml:space="preserve">1.2x4x8=2090000
3.0x4x8=5168500
</t>
        </r>
      </text>
    </comment>
    <comment ref="M25" authorId="0" shapeId="0" xr:uid="{3552CA54-DF9D-4E39-A40B-316C99BA9B1F}">
      <text>
        <r>
          <rPr>
            <sz val="9"/>
            <color indexed="81"/>
            <rFont val="Tahoma"/>
            <family val="2"/>
          </rPr>
          <t xml:space="preserve">1.2x4x8=2090000
3.0x4x8=5168500
</t>
        </r>
      </text>
    </comment>
    <comment ref="K57" authorId="1" shapeId="0" xr:uid="{C1CC25CB-7DCE-4462-BDE6-0033EB86993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 Inpu 1 jika ada 2 section</t>
        </r>
      </text>
    </comment>
    <comment ref="M63" authorId="0" shapeId="0" xr:uid="{3051864F-4228-4A65-B72B-3DE9F6EFD7C5}">
      <text>
        <r>
          <rPr>
            <sz val="9"/>
            <color indexed="81"/>
            <rFont val="Tahoma"/>
            <family val="2"/>
          </rPr>
          <t xml:space="preserve">1.2x4x8=2090000
3.0x4x8=5168500
</t>
        </r>
      </text>
    </comment>
    <comment ref="M64" authorId="0" shapeId="0" xr:uid="{5657BC40-DC5D-4935-BC23-E6F541F3BE3D}">
      <text>
        <r>
          <rPr>
            <sz val="9"/>
            <color indexed="81"/>
            <rFont val="Tahoma"/>
            <family val="2"/>
          </rPr>
          <t xml:space="preserve">1.2x4x8=2090000
3.0x4x8=5168500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TPP</author>
  </authors>
  <commentList>
    <comment ref="K38" authorId="0" shapeId="0" xr:uid="{E7A55091-712E-4E31-AF26-215D396941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Input 'X2' jika coil ada dua dan seterusnya</t>
        </r>
      </text>
    </comment>
    <comment ref="M43" authorId="1" shapeId="0" xr:uid="{D043F381-04DE-469A-A452-CB1EFFD8A543}">
      <text>
        <r>
          <rPr>
            <sz val="9"/>
            <color indexed="81"/>
            <rFont val="Tahoma"/>
            <family val="2"/>
          </rPr>
          <t xml:space="preserve">1.2x4x8=2090000
3.0x4x8=5168500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TPP</author>
  </authors>
  <commentList>
    <comment ref="G71" authorId="0" shapeId="0" xr:uid="{A54B22E0-D048-4E74-9C70-53DB2D5A3E91}">
      <text>
        <r>
          <rPr>
            <sz val="9"/>
            <color indexed="81"/>
            <rFont val="Tahoma"/>
            <family val="2"/>
          </rPr>
          <t>900ft2/USG/dry mil</t>
        </r>
        <r>
          <rPr>
            <sz val="9"/>
            <color indexed="81"/>
            <rFont val="Tahoma"/>
            <family val="2"/>
          </rPr>
          <t xml:space="preserve">
73% solid by weight</t>
        </r>
      </text>
    </comment>
    <comment ref="M71" authorId="0" shapeId="0" xr:uid="{B3F1A8DD-42CD-4324-A89C-A32439B0DC5C}">
      <text>
        <r>
          <rPr>
            <sz val="9"/>
            <color indexed="81"/>
            <rFont val="Tahoma"/>
            <family val="2"/>
          </rPr>
          <t>VR514: $43.50/USG =&gt; $70.00/USG (2024)
S440: $16.25/USG =&gt; $26.15/USG (2024)
UC5504: $64.11/USG =&gt; $103.17/USG (2024)
S330: $17.85/USG =&gt; $28.72/USG (2024)
WB506: $45.60/USG =&gt;$ 73.38/USG (2024)
TiO2: $30/Liter (2024)</t>
        </r>
      </text>
    </comment>
    <comment ref="N71" authorId="0" shapeId="0" xr:uid="{13C7226A-ADC2-405D-AB07-99FF7C00B325}">
      <text>
        <r>
          <rPr>
            <sz val="9"/>
            <color indexed="81"/>
            <rFont val="Tahoma"/>
            <family val="2"/>
          </rPr>
          <t>VR514: $43.50/USG =&gt; $70.00/USG (2024)
S440: $16.25/USG =&gt; $26.15/USG (2024)
UC5504: $64.11/USG =&gt; $103.17/USG (2024)
S330: $17.85/USG =&gt; $28.72/USG (2024)
WB506: $45.60/USG =&gt;$ 73.38/USG (2024)
TiO2: $30/Liter (2024)</t>
        </r>
      </text>
    </comment>
    <comment ref="G75" authorId="0" shapeId="0" xr:uid="{39736154-1EE7-45D6-9CA6-1EA84A0506A2}">
      <text>
        <r>
          <rPr>
            <sz val="9"/>
            <color indexed="81"/>
            <rFont val="Tahoma"/>
            <family val="2"/>
          </rPr>
          <t>$/USG: $228/5USG
$/kG: $228/5/4.442
$/Liter: $228/5/3.7854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8" authorId="0" shapeId="0" xr:uid="{8D15D7E3-CD64-457E-8B86-745F0638D84B}">
      <text>
        <r>
          <rPr>
            <b/>
            <sz val="9"/>
            <color indexed="81"/>
            <rFont val="Tahoma"/>
            <family val="2"/>
          </rPr>
          <t xml:space="preserve">Available 2025:
</t>
        </r>
        <r>
          <rPr>
            <sz val="9"/>
            <color indexed="81"/>
            <rFont val="Tahoma"/>
            <family val="2"/>
          </rPr>
          <t xml:space="preserve">3/8, 1/2, 5/8
</t>
        </r>
      </text>
    </comment>
  </commentList>
</comments>
</file>

<file path=xl/sharedStrings.xml><?xml version="1.0" encoding="utf-8"?>
<sst xmlns="http://schemas.openxmlformats.org/spreadsheetml/2006/main" count="6829" uniqueCount="2900">
  <si>
    <t>To</t>
  </si>
  <si>
    <t>QUOTATION</t>
  </si>
  <si>
    <t>From</t>
  </si>
  <si>
    <t>Add</t>
  </si>
  <si>
    <t>Date</t>
  </si>
  <si>
    <t>Up</t>
  </si>
  <si>
    <t>Telp</t>
  </si>
  <si>
    <t>Your Ref</t>
  </si>
  <si>
    <t>Hp</t>
  </si>
  <si>
    <t>Fax</t>
  </si>
  <si>
    <t>Our Ref</t>
  </si>
  <si>
    <t>No</t>
  </si>
  <si>
    <t>Description</t>
  </si>
  <si>
    <t>Qty</t>
  </si>
  <si>
    <t>UOM</t>
  </si>
  <si>
    <t>Unit Price</t>
  </si>
  <si>
    <t>Total Value</t>
  </si>
  <si>
    <t>Note :</t>
  </si>
  <si>
    <t>Total</t>
  </si>
  <si>
    <t>H</t>
  </si>
  <si>
    <t>D</t>
  </si>
  <si>
    <t>W</t>
  </si>
  <si>
    <t>RM</t>
  </si>
  <si>
    <t>NO</t>
  </si>
  <si>
    <t>DESCRIPTION</t>
  </si>
  <si>
    <t>Unit Costing</t>
  </si>
  <si>
    <t>Usage</t>
  </si>
  <si>
    <t>Price (Fcy)</t>
  </si>
  <si>
    <t>Factors</t>
  </si>
  <si>
    <t>Cost (US$)</t>
  </si>
  <si>
    <t>Uom</t>
  </si>
  <si>
    <t>U/P(Fcy)</t>
  </si>
  <si>
    <t>EF</t>
  </si>
  <si>
    <t>LF</t>
  </si>
  <si>
    <t>WF</t>
  </si>
  <si>
    <t>U/C</t>
  </si>
  <si>
    <t>Sub Total</t>
  </si>
  <si>
    <t>M</t>
  </si>
  <si>
    <t>RP</t>
  </si>
  <si>
    <t>PANEL CLIP BIG</t>
  </si>
  <si>
    <t>PANEL CLIP SMALL</t>
  </si>
  <si>
    <t>RUBBER INSERT</t>
  </si>
  <si>
    <t>GASKET</t>
  </si>
  <si>
    <t>PCS</t>
  </si>
  <si>
    <t>PANEL (PU+GI+CB)</t>
  </si>
  <si>
    <t>M2</t>
  </si>
  <si>
    <t>USD</t>
  </si>
  <si>
    <t>LOT</t>
  </si>
  <si>
    <t>SET</t>
  </si>
  <si>
    <t>Pre Filter 20x25x1</t>
  </si>
  <si>
    <t>Hepa Filter 24"x24"</t>
  </si>
  <si>
    <t>Hepa Filter 24"x12"</t>
  </si>
  <si>
    <t>MFG 134</t>
  </si>
  <si>
    <t>RUBBER, RM 2B ORANGE</t>
  </si>
  <si>
    <t>m2</t>
  </si>
  <si>
    <t>PE POAM + STRIP, POST</t>
  </si>
  <si>
    <t>FASTENER</t>
  </si>
  <si>
    <t>PALLET</t>
  </si>
  <si>
    <t>OPERATING SUPPLY</t>
  </si>
  <si>
    <t>Margin</t>
  </si>
  <si>
    <t>Spring Mounting YDS A 160 TAN</t>
  </si>
  <si>
    <t>Spring Mounting YDS</t>
  </si>
  <si>
    <t>Spring Mounting YDS A100-Grey</t>
  </si>
  <si>
    <t>set</t>
  </si>
  <si>
    <t>t</t>
  </si>
  <si>
    <t>h</t>
  </si>
  <si>
    <t>w</t>
  </si>
  <si>
    <t>@</t>
  </si>
  <si>
    <t>qty</t>
  </si>
  <si>
    <t>rp</t>
  </si>
  <si>
    <t>kG/m3</t>
  </si>
  <si>
    <t>Al</t>
  </si>
  <si>
    <t>-</t>
  </si>
  <si>
    <t>Cu</t>
  </si>
  <si>
    <t>Bending</t>
  </si>
  <si>
    <t>GI</t>
  </si>
  <si>
    <t>Emboss</t>
  </si>
  <si>
    <t>Brass</t>
  </si>
  <si>
    <t>Sch40</t>
  </si>
  <si>
    <t>TXV</t>
  </si>
  <si>
    <t>Cu-HA</t>
  </si>
  <si>
    <t>Distributor</t>
  </si>
  <si>
    <t>CF</t>
  </si>
  <si>
    <t>VR514</t>
  </si>
  <si>
    <t>S440</t>
  </si>
  <si>
    <t>UC5504</t>
  </si>
  <si>
    <t>S330</t>
  </si>
  <si>
    <t>Type</t>
  </si>
  <si>
    <t>Row</t>
  </si>
  <si>
    <t>FPI</t>
  </si>
  <si>
    <t>TH</t>
  </si>
  <si>
    <t>C</t>
  </si>
  <si>
    <t>Item</t>
  </si>
  <si>
    <t>n(pc)</t>
  </si>
  <si>
    <t>N(set)</t>
  </si>
  <si>
    <t>Matl</t>
  </si>
  <si>
    <t>- Finstock</t>
  </si>
  <si>
    <t>kG</t>
  </si>
  <si>
    <t>- Tubestock</t>
  </si>
  <si>
    <t>- U Bend</t>
  </si>
  <si>
    <t>Pc</t>
  </si>
  <si>
    <t>- Horizontal Plate</t>
  </si>
  <si>
    <t>- Middle Plate</t>
  </si>
  <si>
    <t>Stroke</t>
  </si>
  <si>
    <t>- TXV</t>
  </si>
  <si>
    <t>- Distributor</t>
  </si>
  <si>
    <t>BRAZING COST</t>
  </si>
  <si>
    <t>Cyl</t>
  </si>
  <si>
    <t>COATING COST</t>
  </si>
  <si>
    <t>USG/m2</t>
  </si>
  <si>
    <t>GP</t>
  </si>
  <si>
    <t>U/P</t>
  </si>
  <si>
    <t>Disc</t>
  </si>
  <si>
    <t>PPN</t>
  </si>
  <si>
    <t>Grand Total</t>
  </si>
  <si>
    <t>Rp</t>
  </si>
  <si>
    <t>x</t>
  </si>
  <si>
    <t>xx</t>
  </si>
  <si>
    <t>Ømm</t>
  </si>
  <si>
    <t>mmT</t>
  </si>
  <si>
    <t>mmL</t>
  </si>
  <si>
    <t>mmW</t>
  </si>
  <si>
    <t>kg/m3</t>
  </si>
  <si>
    <t>N(pc)</t>
  </si>
  <si>
    <t>Qty/Unit</t>
  </si>
  <si>
    <t>Unit/Set</t>
  </si>
  <si>
    <t>Rp/USD</t>
  </si>
  <si>
    <t>Qty/Set</t>
  </si>
  <si>
    <t>Fx</t>
  </si>
  <si>
    <t>Structure</t>
  </si>
  <si>
    <t>Bottom plate</t>
  </si>
  <si>
    <t>SS304</t>
  </si>
  <si>
    <t>kg</t>
  </si>
  <si>
    <t>mmP</t>
  </si>
  <si>
    <t>harga/lembar</t>
  </si>
  <si>
    <t>harga/kg</t>
  </si>
  <si>
    <t>Omega plate</t>
  </si>
  <si>
    <t>Outlet pipe</t>
  </si>
  <si>
    <t>BS</t>
  </si>
  <si>
    <t>pcs</t>
  </si>
  <si>
    <t>PE foam 10mm</t>
  </si>
  <si>
    <t>PE</t>
  </si>
  <si>
    <t>mm</t>
  </si>
  <si>
    <t>Operating Supply</t>
  </si>
  <si>
    <t>UP</t>
  </si>
  <si>
    <t>Pcs</t>
  </si>
  <si>
    <t>Usd</t>
  </si>
  <si>
    <t>Drainpan SS</t>
  </si>
  <si>
    <t>Set</t>
  </si>
  <si>
    <t>PT. UDARA JADI BERSIH</t>
  </si>
  <si>
    <t>PT. Udara Jadi Bersih</t>
  </si>
  <si>
    <t>Electrical Heater</t>
  </si>
  <si>
    <t>1. Payment : DP 50%, balance CBD</t>
  </si>
  <si>
    <t>2. Delivery : To be confirmed</t>
  </si>
  <si>
    <t>3. Price : Ex-work Cikarang, Rupiah</t>
  </si>
  <si>
    <t>4. Validity : 15 Days</t>
  </si>
  <si>
    <t>Med Filter 24"x12"</t>
  </si>
  <si>
    <t>PROJECT COSTING</t>
  </si>
  <si>
    <t xml:space="preserve">Tgl Penawaran          : </t>
  </si>
  <si>
    <t xml:space="preserve">Tgl Po                      : </t>
  </si>
  <si>
    <t xml:space="preserve">No Po                      : </t>
  </si>
  <si>
    <t>Tahap Penawaran Material</t>
  </si>
  <si>
    <t>Kurs</t>
  </si>
  <si>
    <t>%</t>
  </si>
  <si>
    <t>A</t>
  </si>
  <si>
    <t>Sales</t>
  </si>
  <si>
    <t>B</t>
  </si>
  <si>
    <t>Cost</t>
  </si>
  <si>
    <t>Total Cost</t>
  </si>
  <si>
    <t>Other Expense</t>
  </si>
  <si>
    <t>Total other Expense</t>
  </si>
  <si>
    <t>Margin ((A-(B+C+D))</t>
  </si>
  <si>
    <t>Penawaran disetujui oleh    :</t>
  </si>
  <si>
    <t>1) PP Tune</t>
  </si>
  <si>
    <t>2) Aminah</t>
  </si>
  <si>
    <t>Sales  : Naufal</t>
  </si>
  <si>
    <t>Drain Pan 1</t>
  </si>
  <si>
    <t>Nama  : Rotary Pratama Engineering</t>
  </si>
  <si>
    <t>Nama  : Pak Ahmad</t>
  </si>
  <si>
    <t>FRAME</t>
  </si>
  <si>
    <t>PANEL</t>
  </si>
  <si>
    <t>DOOR</t>
  </si>
  <si>
    <t>FAN &amp; MOTOR</t>
  </si>
  <si>
    <t>FILTER</t>
  </si>
  <si>
    <t>Filter Rail</t>
  </si>
  <si>
    <t>COIL</t>
  </si>
  <si>
    <t>ELECTRICAL</t>
  </si>
  <si>
    <t>Control Box</t>
  </si>
  <si>
    <t>Controller</t>
  </si>
  <si>
    <t>Starter</t>
  </si>
  <si>
    <t>Terminal Block</t>
  </si>
  <si>
    <t>Cable Bush</t>
  </si>
  <si>
    <t>Cable NYAF</t>
  </si>
  <si>
    <t>Terminal Ring/Fork/Socket/Insulation</t>
  </si>
  <si>
    <t>Cable Wrap</t>
  </si>
  <si>
    <t>LABEL &amp; PACKING</t>
  </si>
  <si>
    <t>Label</t>
  </si>
  <si>
    <t>Packing</t>
  </si>
  <si>
    <t>LEG/SKID</t>
  </si>
  <si>
    <t>Leg</t>
  </si>
  <si>
    <t>Skid</t>
  </si>
  <si>
    <t>ETC</t>
  </si>
  <si>
    <t>OPERATION</t>
  </si>
  <si>
    <t>Coating</t>
  </si>
  <si>
    <t>Coil DX</t>
  </si>
  <si>
    <t>MFG 125 DS50</t>
  </si>
  <si>
    <t>FLANGE &amp; FAN CONNECTION</t>
  </si>
  <si>
    <t>Issued by :</t>
  </si>
  <si>
    <t>Checked by :</t>
  </si>
  <si>
    <t>Approved by :</t>
  </si>
  <si>
    <t>Ahmad Zaki | Engineering</t>
  </si>
  <si>
    <t>Manufacture :  Kawasan Sarana Terpadu, JL. Industri Cikarang, Pasirgombong, Kec. Cikarang Utara</t>
  </si>
  <si>
    <t>Address : Kawasan Sarana Terpadu, JL. Industri Cikarang, Pasirgombong, Kec. Cikarang Utara. Bekasi - Jawa Barat 17530</t>
  </si>
  <si>
    <t>E-mail : saleshvac@udarajadibersih.co.id</t>
  </si>
  <si>
    <t>RAG/FAG</t>
  </si>
  <si>
    <t>per m2</t>
  </si>
  <si>
    <t>Motor 2.2kW-2P</t>
  </si>
  <si>
    <t>Section No.</t>
  </si>
  <si>
    <t>Profile</t>
  </si>
  <si>
    <t>Bush 1008</t>
  </si>
  <si>
    <t>Bush 1108</t>
  </si>
  <si>
    <t>Bush 1210</t>
  </si>
  <si>
    <t>Bush 1215</t>
  </si>
  <si>
    <t>Bush 1610</t>
  </si>
  <si>
    <t>Bush 1615</t>
  </si>
  <si>
    <t>Bush 2012</t>
  </si>
  <si>
    <t>Bush 2517</t>
  </si>
  <si>
    <t>Bush 2525</t>
  </si>
  <si>
    <t>Bush 3020</t>
  </si>
  <si>
    <t>Bush 3030</t>
  </si>
  <si>
    <t>Bush 3525</t>
  </si>
  <si>
    <t>Bush 3535</t>
  </si>
  <si>
    <t>Bush 4030</t>
  </si>
  <si>
    <t>Bush 4040</t>
  </si>
  <si>
    <t>Bush 4535</t>
  </si>
  <si>
    <t>Bush 4545</t>
  </si>
  <si>
    <t>Bush 5040</t>
  </si>
  <si>
    <t>Bush 5050</t>
  </si>
  <si>
    <t>BUSH NG.</t>
  </si>
  <si>
    <t>List Price</t>
  </si>
  <si>
    <t>METRIC</t>
  </si>
  <si>
    <t>INCH</t>
  </si>
  <si>
    <t>Rupiah</t>
  </si>
  <si>
    <t>2SPZ63</t>
  </si>
  <si>
    <t>2SPZ125</t>
  </si>
  <si>
    <t>PB</t>
  </si>
  <si>
    <t>PM</t>
  </si>
  <si>
    <t>Pitch Dia.</t>
  </si>
  <si>
    <t>Price</t>
  </si>
  <si>
    <t>1SPZ50</t>
  </si>
  <si>
    <t>1SPZ56</t>
  </si>
  <si>
    <t>1SPZ60</t>
  </si>
  <si>
    <t>1SPZ63</t>
  </si>
  <si>
    <t>1SPZ67</t>
  </si>
  <si>
    <t>1SPZ71</t>
  </si>
  <si>
    <t>1SPZ75</t>
  </si>
  <si>
    <t>1SPZ80</t>
  </si>
  <si>
    <t>1SPZ85</t>
  </si>
  <si>
    <t>1SPZ90</t>
  </si>
  <si>
    <t>1SPZ95</t>
  </si>
  <si>
    <t>1SPZ100</t>
  </si>
  <si>
    <t>1SPZ106</t>
  </si>
  <si>
    <t>1SPZ112</t>
  </si>
  <si>
    <t>1SPZ118</t>
  </si>
  <si>
    <t>1SPZ125</t>
  </si>
  <si>
    <t>1SPZ132</t>
  </si>
  <si>
    <t>1SPZ140</t>
  </si>
  <si>
    <t>1SPZ150</t>
  </si>
  <si>
    <t>1SPZ160</t>
  </si>
  <si>
    <t>1SPZ170</t>
  </si>
  <si>
    <t>1SPZ180</t>
  </si>
  <si>
    <t>1SPZ190</t>
  </si>
  <si>
    <t>1SPZ200</t>
  </si>
  <si>
    <t>1SPZ212</t>
  </si>
  <si>
    <t>1SPZ224</t>
  </si>
  <si>
    <t>1SPZ236</t>
  </si>
  <si>
    <t>1SPZ250</t>
  </si>
  <si>
    <t>1SPZ280</t>
  </si>
  <si>
    <t>1SPZ315</t>
  </si>
  <si>
    <t>1SPZ355</t>
  </si>
  <si>
    <t>1SPZ400</t>
  </si>
  <si>
    <t>1SPZ450</t>
  </si>
  <si>
    <t>1SPZ500</t>
  </si>
  <si>
    <t>2SPZ50</t>
  </si>
  <si>
    <t>2SPZ56</t>
  </si>
  <si>
    <t>2SPZ60</t>
  </si>
  <si>
    <t>2SPZ67</t>
  </si>
  <si>
    <t>2SPZ71</t>
  </si>
  <si>
    <t>2SPZ75</t>
  </si>
  <si>
    <t>2SPZ80</t>
  </si>
  <si>
    <t>2SPZ85</t>
  </si>
  <si>
    <t>2SPZ90</t>
  </si>
  <si>
    <t>2SPZ95</t>
  </si>
  <si>
    <t>2SPZ100</t>
  </si>
  <si>
    <t>2SPZ106</t>
  </si>
  <si>
    <t>2SPZ112</t>
  </si>
  <si>
    <t>2SPZ118</t>
  </si>
  <si>
    <t>2SPZ132</t>
  </si>
  <si>
    <t>2SPZ140</t>
  </si>
  <si>
    <t>2SPZ150</t>
  </si>
  <si>
    <t>2SPZ160</t>
  </si>
  <si>
    <t>2SPZ170</t>
  </si>
  <si>
    <t>2SPZ180</t>
  </si>
  <si>
    <t>2SPZ190</t>
  </si>
  <si>
    <t>2SPZ200</t>
  </si>
  <si>
    <t>2SPZ212</t>
  </si>
  <si>
    <t>2SPZ224</t>
  </si>
  <si>
    <t>2SPZ236</t>
  </si>
  <si>
    <t>2SPZ250</t>
  </si>
  <si>
    <t>2SPZ280</t>
  </si>
  <si>
    <t>2SPZ315</t>
  </si>
  <si>
    <t>2SPZ355</t>
  </si>
  <si>
    <t>2SPZ400</t>
  </si>
  <si>
    <t>2SPZ450</t>
  </si>
  <si>
    <t>2SPZ500</t>
  </si>
  <si>
    <t>2SPZ630</t>
  </si>
  <si>
    <t>3SPZ63</t>
  </si>
  <si>
    <t>3SPZ67</t>
  </si>
  <si>
    <t>3SPZ71</t>
  </si>
  <si>
    <t>3SPZ75</t>
  </si>
  <si>
    <t>3SPZ80</t>
  </si>
  <si>
    <t>3SPZ85</t>
  </si>
  <si>
    <t>3SPZ90</t>
  </si>
  <si>
    <t>3SPZ95</t>
  </si>
  <si>
    <t>3SPZ100</t>
  </si>
  <si>
    <t>3SPZ106</t>
  </si>
  <si>
    <t>3SPZ112</t>
  </si>
  <si>
    <t>3SPZ118</t>
  </si>
  <si>
    <t>3SPZ125</t>
  </si>
  <si>
    <t>3SPZ132</t>
  </si>
  <si>
    <t>3SPZ140</t>
  </si>
  <si>
    <t>3SPZ150</t>
  </si>
  <si>
    <t>3SPZ160</t>
  </si>
  <si>
    <t>3SPZ170</t>
  </si>
  <si>
    <t>3SPZ180</t>
  </si>
  <si>
    <t>3SPZ190</t>
  </si>
  <si>
    <t>3SPZ200</t>
  </si>
  <si>
    <t>3SPZ212</t>
  </si>
  <si>
    <t>3SPZ224</t>
  </si>
  <si>
    <t>3SPZ236</t>
  </si>
  <si>
    <t>3SPZ250</t>
  </si>
  <si>
    <t>3SPZ280</t>
  </si>
  <si>
    <t>3SPZ315</t>
  </si>
  <si>
    <t>3SPZ355</t>
  </si>
  <si>
    <t>3SPZ400</t>
  </si>
  <si>
    <t>3SPZ450</t>
  </si>
  <si>
    <t>3SPZ500</t>
  </si>
  <si>
    <t>3SPZ630</t>
  </si>
  <si>
    <t>3SPZ710</t>
  </si>
  <si>
    <t>3SPZ800</t>
  </si>
  <si>
    <t>1SPA63</t>
  </si>
  <si>
    <t>1SPA67</t>
  </si>
  <si>
    <t>1SPA71</t>
  </si>
  <si>
    <t>1SPA75</t>
  </si>
  <si>
    <t>1SPA80</t>
  </si>
  <si>
    <t>1SPA85</t>
  </si>
  <si>
    <t>1SPA90</t>
  </si>
  <si>
    <t>1SPA95</t>
  </si>
  <si>
    <t>1SPA100</t>
  </si>
  <si>
    <t>1SPA106</t>
  </si>
  <si>
    <t>1SPA112</t>
  </si>
  <si>
    <t>1SPA118</t>
  </si>
  <si>
    <t>1SPA125</t>
  </si>
  <si>
    <t>1SPA132</t>
  </si>
  <si>
    <t>1SPA140</t>
  </si>
  <si>
    <t>1SPA150</t>
  </si>
  <si>
    <t>1SPA160</t>
  </si>
  <si>
    <t>1SPA170</t>
  </si>
  <si>
    <t>1SPA180</t>
  </si>
  <si>
    <t>1SPA190</t>
  </si>
  <si>
    <t>1SPA200</t>
  </si>
  <si>
    <t>1SPA212</t>
  </si>
  <si>
    <t>1SPA224</t>
  </si>
  <si>
    <t>1SPA236</t>
  </si>
  <si>
    <t>1SPA250</t>
  </si>
  <si>
    <t>1SPA265</t>
  </si>
  <si>
    <t>1SPA280</t>
  </si>
  <si>
    <t>1SPA300</t>
  </si>
  <si>
    <t>1SPA315</t>
  </si>
  <si>
    <t>1SPA335</t>
  </si>
  <si>
    <t>1SPA355</t>
  </si>
  <si>
    <t>1SPA375</t>
  </si>
  <si>
    <t>1SPA400</t>
  </si>
  <si>
    <t>1SPA425</t>
  </si>
  <si>
    <t>1SPA450</t>
  </si>
  <si>
    <t>1SPA475</t>
  </si>
  <si>
    <t>1SPA500</t>
  </si>
  <si>
    <t>1SPA530</t>
  </si>
  <si>
    <t>1SPA560</t>
  </si>
  <si>
    <t>1SPA630</t>
  </si>
  <si>
    <t>2SPA63</t>
  </si>
  <si>
    <t>2SPA67</t>
  </si>
  <si>
    <t>2SPA71</t>
  </si>
  <si>
    <t>2SPA75</t>
  </si>
  <si>
    <t>2SPA80</t>
  </si>
  <si>
    <t>2SPA85</t>
  </si>
  <si>
    <t>2SPA90</t>
  </si>
  <si>
    <t>2SPA95</t>
  </si>
  <si>
    <t>2SPA100</t>
  </si>
  <si>
    <t>2SPA106</t>
  </si>
  <si>
    <t>2SPA112</t>
  </si>
  <si>
    <t>2SPA118</t>
  </si>
  <si>
    <t>2SPA125</t>
  </si>
  <si>
    <t>2SPA132</t>
  </si>
  <si>
    <t>2SPA140</t>
  </si>
  <si>
    <t>2SPA150</t>
  </si>
  <si>
    <t>2SPA160</t>
  </si>
  <si>
    <t>2SPA170</t>
  </si>
  <si>
    <t>2SPA180</t>
  </si>
  <si>
    <t>2SPA190</t>
  </si>
  <si>
    <t>2SPA200</t>
  </si>
  <si>
    <t>2SPA212</t>
  </si>
  <si>
    <t>2SPA224</t>
  </si>
  <si>
    <t>2SPA236</t>
  </si>
  <si>
    <t>2SPA250</t>
  </si>
  <si>
    <t>2SPA265</t>
  </si>
  <si>
    <t>2SPA280</t>
  </si>
  <si>
    <t>2SPA300</t>
  </si>
  <si>
    <t>2SPA315</t>
  </si>
  <si>
    <t>2SPA335</t>
  </si>
  <si>
    <t>2SPA355</t>
  </si>
  <si>
    <t>2SPA375</t>
  </si>
  <si>
    <t>2SPA400</t>
  </si>
  <si>
    <t>2SPA425</t>
  </si>
  <si>
    <t>2SPA450</t>
  </si>
  <si>
    <t>2SPA475</t>
  </si>
  <si>
    <t>2SPA500</t>
  </si>
  <si>
    <t>2SPA530</t>
  </si>
  <si>
    <t>2SPA560</t>
  </si>
  <si>
    <t>2SPA630</t>
  </si>
  <si>
    <t>2SPA710</t>
  </si>
  <si>
    <t>2SPA800</t>
  </si>
  <si>
    <t>3SPA71</t>
  </si>
  <si>
    <t>3SPA75</t>
  </si>
  <si>
    <t>3SPA80</t>
  </si>
  <si>
    <t>3SPA85</t>
  </si>
  <si>
    <t>3SPA90</t>
  </si>
  <si>
    <t>3SPA95</t>
  </si>
  <si>
    <t>3SPA100</t>
  </si>
  <si>
    <t>3SPA106</t>
  </si>
  <si>
    <t>3SPA112</t>
  </si>
  <si>
    <t>3SPA118</t>
  </si>
  <si>
    <t>3SPA125</t>
  </si>
  <si>
    <t>3SPA132</t>
  </si>
  <si>
    <t>3SPA140</t>
  </si>
  <si>
    <t>3SPA150</t>
  </si>
  <si>
    <t>3SPA160</t>
  </si>
  <si>
    <t>3SPA170</t>
  </si>
  <si>
    <t>3SPA180</t>
  </si>
  <si>
    <t>3SPA190</t>
  </si>
  <si>
    <t>3SPA200</t>
  </si>
  <si>
    <t>3SPA212</t>
  </si>
  <si>
    <t>3SPA224</t>
  </si>
  <si>
    <t>3SPA236</t>
  </si>
  <si>
    <t>3SPA250</t>
  </si>
  <si>
    <t>3SPA265</t>
  </si>
  <si>
    <t>3SPA280</t>
  </si>
  <si>
    <t>3SPA300</t>
  </si>
  <si>
    <t>3SPA315</t>
  </si>
  <si>
    <t>3SPA335</t>
  </si>
  <si>
    <t>3SPA355</t>
  </si>
  <si>
    <t>3SPA375</t>
  </si>
  <si>
    <t>3SPA400</t>
  </si>
  <si>
    <t>3SPA425</t>
  </si>
  <si>
    <t>3SPA450</t>
  </si>
  <si>
    <t>3SPA475</t>
  </si>
  <si>
    <t>3SPA500</t>
  </si>
  <si>
    <t>3SPA530</t>
  </si>
  <si>
    <t>3SPA560</t>
  </si>
  <si>
    <t>3SPA630</t>
  </si>
  <si>
    <t>3SPA710</t>
  </si>
  <si>
    <t>3SPA800</t>
  </si>
  <si>
    <t>3SPA900</t>
  </si>
  <si>
    <t>3SPA1000</t>
  </si>
  <si>
    <t>1SPB100</t>
  </si>
  <si>
    <t>1SPB106</t>
  </si>
  <si>
    <t>1SPB112</t>
  </si>
  <si>
    <t>1SPB118</t>
  </si>
  <si>
    <t>1SPB125</t>
  </si>
  <si>
    <t>1SPB132</t>
  </si>
  <si>
    <t>1SPB140</t>
  </si>
  <si>
    <t>1SPB150</t>
  </si>
  <si>
    <t>1SPB160</t>
  </si>
  <si>
    <t>1SPB170</t>
  </si>
  <si>
    <t>1SPB180</t>
  </si>
  <si>
    <t>1SPB190</t>
  </si>
  <si>
    <t>1SPB200</t>
  </si>
  <si>
    <t>1SPB212</t>
  </si>
  <si>
    <t>1SPB224</t>
  </si>
  <si>
    <t>1SPB236</t>
  </si>
  <si>
    <t>1SPB250</t>
  </si>
  <si>
    <t>1SPB265</t>
  </si>
  <si>
    <t>1SPB280</t>
  </si>
  <si>
    <t>1SPB300</t>
  </si>
  <si>
    <t>1SPB315</t>
  </si>
  <si>
    <t>1SPB335</t>
  </si>
  <si>
    <t>1SPB355</t>
  </si>
  <si>
    <t>1SPB375</t>
  </si>
  <si>
    <t>1SPB400</t>
  </si>
  <si>
    <t>1SPB425</t>
  </si>
  <si>
    <t>1SPB450</t>
  </si>
  <si>
    <t>1SPB475</t>
  </si>
  <si>
    <t>1SPB500</t>
  </si>
  <si>
    <t>1SPB530</t>
  </si>
  <si>
    <t>1SPB560</t>
  </si>
  <si>
    <t>1SPB630</t>
  </si>
  <si>
    <t>2SPB100</t>
  </si>
  <si>
    <t>2SPB106</t>
  </si>
  <si>
    <t>2SPB112</t>
  </si>
  <si>
    <t>2SPB118</t>
  </si>
  <si>
    <t>2SPB125</t>
  </si>
  <si>
    <t>2SPB132</t>
  </si>
  <si>
    <t>2SPB140</t>
  </si>
  <si>
    <t>2SPB150</t>
  </si>
  <si>
    <t>2SPB160</t>
  </si>
  <si>
    <t>2SPB170</t>
  </si>
  <si>
    <t>2SPB180</t>
  </si>
  <si>
    <t>2SPB190</t>
  </si>
  <si>
    <t>2SPB200</t>
  </si>
  <si>
    <t>2SPB212</t>
  </si>
  <si>
    <t>2SPB224</t>
  </si>
  <si>
    <t>2SPB236</t>
  </si>
  <si>
    <t>2SPB250</t>
  </si>
  <si>
    <t>2SPB265</t>
  </si>
  <si>
    <t>2SPB280</t>
  </si>
  <si>
    <t>2SPB300</t>
  </si>
  <si>
    <t>2SPB315</t>
  </si>
  <si>
    <t>2SPB335</t>
  </si>
  <si>
    <t>2SPB355</t>
  </si>
  <si>
    <t>2SPB375</t>
  </si>
  <si>
    <t>2SPB400</t>
  </si>
  <si>
    <t>2SPB425</t>
  </si>
  <si>
    <t>2SPB450</t>
  </si>
  <si>
    <t>2SPB475</t>
  </si>
  <si>
    <t>2SPB500</t>
  </si>
  <si>
    <t>2SPB530</t>
  </si>
  <si>
    <t>2SPB560</t>
  </si>
  <si>
    <t>2SPB630</t>
  </si>
  <si>
    <t>2SPB710</t>
  </si>
  <si>
    <t>2SPB800</t>
  </si>
  <si>
    <t>3SPB100</t>
  </si>
  <si>
    <t>3SPB106</t>
  </si>
  <si>
    <t>3SPB112</t>
  </si>
  <si>
    <t>3SPB118</t>
  </si>
  <si>
    <t>3SPB125</t>
  </si>
  <si>
    <t>3SPB132</t>
  </si>
  <si>
    <t>3SPB140</t>
  </si>
  <si>
    <t>3SPB150</t>
  </si>
  <si>
    <t>3SPB160</t>
  </si>
  <si>
    <t>3SPB170</t>
  </si>
  <si>
    <t>3SPB180</t>
  </si>
  <si>
    <t>3SPB190</t>
  </si>
  <si>
    <t>3SPB200</t>
  </si>
  <si>
    <t>3SPB212</t>
  </si>
  <si>
    <t>3SPB224</t>
  </si>
  <si>
    <t>3SPB236</t>
  </si>
  <si>
    <t>3SPB250</t>
  </si>
  <si>
    <t>3SPB265</t>
  </si>
  <si>
    <t>3SPB280</t>
  </si>
  <si>
    <t>3SPB300</t>
  </si>
  <si>
    <t>3SPB315</t>
  </si>
  <si>
    <t>3SPB335</t>
  </si>
  <si>
    <t>3SPB355</t>
  </si>
  <si>
    <t>3SPB375</t>
  </si>
  <si>
    <t>3SPB400</t>
  </si>
  <si>
    <t>3SPB425</t>
  </si>
  <si>
    <t>3SPB450</t>
  </si>
  <si>
    <t>3SPB475</t>
  </si>
  <si>
    <t>3SPB500</t>
  </si>
  <si>
    <t>3SPB530</t>
  </si>
  <si>
    <t>3SPB560</t>
  </si>
  <si>
    <t>3SPB630</t>
  </si>
  <si>
    <t>3SPB710</t>
  </si>
  <si>
    <t>3SPB800</t>
  </si>
  <si>
    <t>3SPB900</t>
  </si>
  <si>
    <t>3SPB1000</t>
  </si>
  <si>
    <t>3SPB1120</t>
  </si>
  <si>
    <t>3SPB1250</t>
  </si>
  <si>
    <t>3SPC200</t>
  </si>
  <si>
    <t>3SPC212</t>
  </si>
  <si>
    <t>3SPC224</t>
  </si>
  <si>
    <t>3SPC236</t>
  </si>
  <si>
    <t>3SPC250</t>
  </si>
  <si>
    <t>3SPC265</t>
  </si>
  <si>
    <t>3SPC280</t>
  </si>
  <si>
    <t>3SPC300</t>
  </si>
  <si>
    <t>3SPC315</t>
  </si>
  <si>
    <t>3SPC335</t>
  </si>
  <si>
    <t>3SPC355</t>
  </si>
  <si>
    <t>3SPC375</t>
  </si>
  <si>
    <t>3SPC400</t>
  </si>
  <si>
    <t>3SPC425</t>
  </si>
  <si>
    <t>3SPC450</t>
  </si>
  <si>
    <t>3SPC475</t>
  </si>
  <si>
    <t>3SPC500</t>
  </si>
  <si>
    <t>3SPC530</t>
  </si>
  <si>
    <t>3SPC560</t>
  </si>
  <si>
    <t>3SPC630</t>
  </si>
  <si>
    <t>3SPC710</t>
  </si>
  <si>
    <t>3SPC800</t>
  </si>
  <si>
    <t>3SPC900</t>
  </si>
  <si>
    <t>3SPC1000</t>
  </si>
  <si>
    <t>3SPC1120</t>
  </si>
  <si>
    <t>3SPC1250</t>
  </si>
  <si>
    <t>4SPC200</t>
  </si>
  <si>
    <t>4SPC212</t>
  </si>
  <si>
    <t>4SPC224</t>
  </si>
  <si>
    <t>4SPC236</t>
  </si>
  <si>
    <t>4SPC250</t>
  </si>
  <si>
    <t>4SPC265</t>
  </si>
  <si>
    <t>4SPC280</t>
  </si>
  <si>
    <t>4SPC300</t>
  </si>
  <si>
    <t>4SPC315</t>
  </si>
  <si>
    <t>4SPC335</t>
  </si>
  <si>
    <t>4SPC355</t>
  </si>
  <si>
    <t>4SPC375</t>
  </si>
  <si>
    <t>4SPC400</t>
  </si>
  <si>
    <t>4SPC425</t>
  </si>
  <si>
    <t>4SPC450</t>
  </si>
  <si>
    <t>4SPC475</t>
  </si>
  <si>
    <t>4SPC500</t>
  </si>
  <si>
    <t>4SPC530</t>
  </si>
  <si>
    <t>4SPC560</t>
  </si>
  <si>
    <t>4SPC630</t>
  </si>
  <si>
    <t>4SPC710</t>
  </si>
  <si>
    <t>4SPC800</t>
  </si>
  <si>
    <t>4SPC900</t>
  </si>
  <si>
    <t>4SPC1000</t>
  </si>
  <si>
    <t>4SPC1120</t>
  </si>
  <si>
    <t>4SPC1250</t>
  </si>
  <si>
    <t>5SPC200</t>
  </si>
  <si>
    <t>5SPC212</t>
  </si>
  <si>
    <t>5SPC224</t>
  </si>
  <si>
    <t>5SPC236</t>
  </si>
  <si>
    <t>5SPC250</t>
  </si>
  <si>
    <t>5SPC265</t>
  </si>
  <si>
    <t>5SPC280</t>
  </si>
  <si>
    <t>5SPC300</t>
  </si>
  <si>
    <t>5SPC315</t>
  </si>
  <si>
    <t>5SPC335</t>
  </si>
  <si>
    <t>5SPC355</t>
  </si>
  <si>
    <t>5SPC375</t>
  </si>
  <si>
    <t>5SPC400</t>
  </si>
  <si>
    <t>5SPC425</t>
  </si>
  <si>
    <t>5SPC450</t>
  </si>
  <si>
    <t>5SPC475</t>
  </si>
  <si>
    <t>5SPC500</t>
  </si>
  <si>
    <t>5SPC530</t>
  </si>
  <si>
    <t>5SPC560</t>
  </si>
  <si>
    <t>5SPC630</t>
  </si>
  <si>
    <t>5SPC710</t>
  </si>
  <si>
    <t>5SPC800</t>
  </si>
  <si>
    <t>5SPC900</t>
  </si>
  <si>
    <t>5SPC1000</t>
  </si>
  <si>
    <t>5SPC1120</t>
  </si>
  <si>
    <t>5SPC1250</t>
  </si>
  <si>
    <t>Motor 0.18kW-2P</t>
  </si>
  <si>
    <t>Motor 0.37kW-2P</t>
  </si>
  <si>
    <t>Motor 0.55kW-2P</t>
  </si>
  <si>
    <t>Motor 0.75kW-2P</t>
  </si>
  <si>
    <t>Motor 1.1kW-2P</t>
  </si>
  <si>
    <t>Motor 1.5kW-2P</t>
  </si>
  <si>
    <t>Motor 3kW-2P</t>
  </si>
  <si>
    <t>Motor 4kW-2P</t>
  </si>
  <si>
    <t>Motor 5.5kW-2P</t>
  </si>
  <si>
    <t>Motor 7.5kW-2P</t>
  </si>
  <si>
    <t>Motor 11kW-2P</t>
  </si>
  <si>
    <t>Motor 15kW-2P</t>
  </si>
  <si>
    <t>Motor 18.5kW-2P</t>
  </si>
  <si>
    <t>Motor 22kW-2P</t>
  </si>
  <si>
    <t>Motor 30kW-2P</t>
  </si>
  <si>
    <t>Motor 37kW-2P</t>
  </si>
  <si>
    <t>Motor 45kW-2P</t>
  </si>
  <si>
    <t>Motor 55kW-2P</t>
  </si>
  <si>
    <t>Motor 75kW-2P</t>
  </si>
  <si>
    <t>Motor 90kW-2P</t>
  </si>
  <si>
    <t>Motor 110kW-2P</t>
  </si>
  <si>
    <t>Motor 0.18kW-4P</t>
  </si>
  <si>
    <t>Motor 0.37kW-4P</t>
  </si>
  <si>
    <t>Motor 0.55kW-4P</t>
  </si>
  <si>
    <t>Motor 0.75kW-4P</t>
  </si>
  <si>
    <t>Motor 1.1kW-4P</t>
  </si>
  <si>
    <t>Motor 1.5kW-4P</t>
  </si>
  <si>
    <t>Motor 2.2kW-4P</t>
  </si>
  <si>
    <t>Motor 3kW-4P</t>
  </si>
  <si>
    <t>Motor 4kW-4P</t>
  </si>
  <si>
    <t>Motor 5.5kW-4P</t>
  </si>
  <si>
    <t>Motor 7.5kW-4P</t>
  </si>
  <si>
    <t>Motor 11kW-4P</t>
  </si>
  <si>
    <t>Motor 15kW-4P</t>
  </si>
  <si>
    <t>Motor 18.5kW-4P</t>
  </si>
  <si>
    <t>Motor 22kW-4P</t>
  </si>
  <si>
    <t>Motor 30kW-4P</t>
  </si>
  <si>
    <t>Motor 37kW-4P</t>
  </si>
  <si>
    <t>Motor 45kW-4P</t>
  </si>
  <si>
    <t>Motor 55kW-4P</t>
  </si>
  <si>
    <t>Motor 75kW-4P</t>
  </si>
  <si>
    <t>Motor 90kW-4P</t>
  </si>
  <si>
    <t>Motor 110kW-4P</t>
  </si>
  <si>
    <t>Motor 0.18kW-6P</t>
  </si>
  <si>
    <t>Motor 0.37kW-6P</t>
  </si>
  <si>
    <t>Motor 0.55kW-6P</t>
  </si>
  <si>
    <t>Motor 0.75kW-6P</t>
  </si>
  <si>
    <t>Motor 1.1kW-6P</t>
  </si>
  <si>
    <t>Motor 1.5kW-6P</t>
  </si>
  <si>
    <t>Motor 2.2kW-6P</t>
  </si>
  <si>
    <t>Motor 3kW-6P</t>
  </si>
  <si>
    <t>Motor 4kW-6P</t>
  </si>
  <si>
    <t>Motor 5.5kW-6P</t>
  </si>
  <si>
    <t>Motor 7.5kW-6P</t>
  </si>
  <si>
    <t>Motor 11kW-6P</t>
  </si>
  <si>
    <t>Motor 15kW-6P</t>
  </si>
  <si>
    <t>Motor 18.5kW-6P</t>
  </si>
  <si>
    <t>Motor 22kW-6P</t>
  </si>
  <si>
    <t>Motor 30kW-6P</t>
  </si>
  <si>
    <t>Motor 37kW-6P</t>
  </si>
  <si>
    <t>Motor 45kW-6P</t>
  </si>
  <si>
    <t>Motor 55kW-6P</t>
  </si>
  <si>
    <t>Motor 75kW-6P</t>
  </si>
  <si>
    <t>Motor 90kW-6P</t>
  </si>
  <si>
    <t>Motor 110kW-6P</t>
  </si>
  <si>
    <t>TYPE</t>
  </si>
  <si>
    <t>Ex-work</t>
  </si>
  <si>
    <t>(USD)</t>
  </si>
  <si>
    <t>Motor</t>
  </si>
  <si>
    <t>Blower</t>
  </si>
  <si>
    <t>Pulley</t>
  </si>
  <si>
    <t>Pentapost</t>
  </si>
  <si>
    <t>Centerpost</t>
  </si>
  <si>
    <t>Cornerpiece</t>
  </si>
  <si>
    <t>Omega Joint</t>
  </si>
  <si>
    <t>Panel Clip</t>
  </si>
  <si>
    <t>kG/m</t>
  </si>
  <si>
    <t>Rp/m</t>
  </si>
  <si>
    <t>kG/Pc</t>
  </si>
  <si>
    <t>Rp/Pc</t>
  </si>
  <si>
    <t>5060Y(NA06)</t>
  </si>
  <si>
    <t>1520T(NA06)</t>
  </si>
  <si>
    <t>1520T(NA20)</t>
  </si>
  <si>
    <t>1540T(NA06)</t>
  </si>
  <si>
    <t>1540T(NA20)</t>
  </si>
  <si>
    <t>2540Y(NA06)</t>
  </si>
  <si>
    <t>2540Y(NA20)</t>
  </si>
  <si>
    <t>5060Y(NA20)</t>
  </si>
  <si>
    <t>5060N(NA06)</t>
  </si>
  <si>
    <t>5060A(NA20)</t>
  </si>
  <si>
    <t>2550T(304)</t>
  </si>
  <si>
    <t>2550T(316)</t>
  </si>
  <si>
    <t>5070T(304)</t>
  </si>
  <si>
    <t>5070T(316)</t>
  </si>
  <si>
    <t>2540A(304)</t>
  </si>
  <si>
    <t>2540A(316)</t>
  </si>
  <si>
    <t>4550A(304)</t>
  </si>
  <si>
    <t>4550A(316)</t>
  </si>
  <si>
    <t>DS</t>
  </si>
  <si>
    <t>PROFILE TYPE</t>
  </si>
  <si>
    <t>LB20</t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</si>
  <si>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07/07-S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</si>
  <si>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09/07-S</t>
    </r>
    <r>
      <rPr>
        <sz val="8.5"/>
        <rFont val="Times New Roman"/>
        <family val="1"/>
      </rPr>
      <t/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</si>
  <si>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09/09-S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</si>
  <si>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10/08-S</t>
    </r>
    <r>
      <rPr>
        <sz val="8.5"/>
        <rFont val="Times New Roman"/>
        <family val="1"/>
      </rPr>
      <t/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</si>
  <si>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10/10-S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</si>
  <si>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12/09-S</t>
    </r>
    <r>
      <rPr>
        <sz val="8.5"/>
        <rFont val="Times New Roman"/>
        <family val="1"/>
      </rPr>
      <t/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</si>
  <si>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12/12-S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</si>
  <si>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15/11-S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</si>
  <si>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18/13-S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</si>
  <si>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18/13-S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C/W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F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</si>
  <si>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18/18-S</t>
    </r>
    <r>
      <rPr>
        <sz val="8.5"/>
        <rFont val="Times New Roman"/>
        <family val="1"/>
      </rPr>
      <t/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</si>
  <si>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18/18-S C/W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F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</si>
  <si>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09/09-AR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</si>
  <si>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09/07-AR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</si>
  <si>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10/10-AR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</si>
  <si>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10/08-AR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</si>
  <si>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12/12-AR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</si>
  <si>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12/12-AR</t>
    </r>
    <r>
      <rPr>
        <sz val="8.5"/>
        <rFont val="Times New Roman"/>
        <family val="1"/>
      </rPr>
      <t/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</si>
  <si>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12/09-AR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</si>
  <si>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15/15-AR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</si>
  <si>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15/11-AR</t>
    </r>
    <r>
      <rPr>
        <sz val="8.5"/>
        <rFont val="Times New Roman"/>
        <family val="1"/>
      </rPr>
      <t/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</si>
  <si>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18/18-AR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</si>
  <si>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18/13-AR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</si>
  <si>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07/07-SC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</si>
  <si>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09/07-SC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</si>
  <si>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09/09-SC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</si>
  <si>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10/08-SC</t>
    </r>
    <r>
      <rPr>
        <sz val="8.5"/>
        <rFont val="Times New Roman"/>
        <family val="1"/>
      </rPr>
      <t/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</si>
  <si>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10/10-SC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</si>
  <si>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12/09-SC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</si>
  <si>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12/12-SC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</si>
  <si>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15/11-SC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</si>
  <si>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15/15-SC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</si>
  <si>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18/13-SC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</si>
  <si>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18/18-SC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</si>
  <si>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20/15-TIC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</si>
  <si>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20/20-TIC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</si>
  <si>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20/20-TIC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</si>
  <si>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22/15-TIC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</si>
  <si>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22/22-TIC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</si>
  <si>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25/20-TIC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</si>
  <si>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25/25-TIC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</si>
  <si>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28/28-TIC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</si>
  <si>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30/28-TIC</t>
    </r>
    <r>
      <rPr>
        <sz val="8.5"/>
        <rFont val="Times New Roman"/>
        <family val="1"/>
      </rPr>
      <t xml:space="preserve"> 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</si>
  <si>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180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</si>
  <si>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</si>
  <si>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225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</si>
  <si>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250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</si>
  <si>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280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</si>
  <si>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315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</si>
  <si>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355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</si>
  <si>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400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</si>
  <si>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450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</si>
  <si>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500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</si>
  <si>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560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</si>
  <si>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630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</si>
  <si>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710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</si>
  <si>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250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</si>
  <si>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280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</si>
  <si>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315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</si>
  <si>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355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</si>
  <si>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400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</si>
  <si>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450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</si>
  <si>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500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</si>
  <si>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560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</si>
  <si>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630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</si>
  <si>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710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</si>
  <si>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800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</si>
  <si>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900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</si>
  <si>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1000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</si>
  <si>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315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K1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</si>
  <si>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355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K1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</si>
  <si>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400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K1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</si>
  <si>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450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K1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</si>
  <si>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500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K1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</si>
  <si>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560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K1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</si>
  <si>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630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K1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</si>
  <si>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710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K1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</si>
  <si>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800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K1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</si>
  <si>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900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K1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</si>
  <si>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560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K2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</si>
  <si>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630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K2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</si>
  <si>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710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K2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</si>
  <si>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800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K2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</si>
  <si>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900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K2</t>
    </r>
  </si>
  <si>
    <r>
      <rPr>
        <sz val="8.5"/>
        <rFont val="Arial"/>
        <family val="2"/>
      </rPr>
      <t>ADH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1000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K2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</si>
  <si>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180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</si>
  <si>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</si>
  <si>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225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</si>
  <si>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250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</si>
  <si>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280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</si>
  <si>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315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</si>
  <si>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355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</si>
  <si>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400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</si>
  <si>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450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</si>
  <si>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500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</si>
  <si>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560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</si>
  <si>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630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</si>
  <si>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710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R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</si>
  <si>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250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</si>
  <si>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280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</si>
  <si>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315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</si>
  <si>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355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</si>
  <si>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400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</si>
  <si>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450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</si>
  <si>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500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</si>
  <si>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560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</si>
  <si>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630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</si>
  <si>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710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</si>
  <si>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800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</si>
  <si>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900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</si>
  <si>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1000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</si>
  <si>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400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K1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</si>
  <si>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450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K1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</si>
  <si>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500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K1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</si>
  <si>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560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K1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</si>
  <si>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630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K1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</si>
  <si>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710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K1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</si>
  <si>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800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K1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</si>
  <si>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900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K1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</si>
  <si>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500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K2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</si>
  <si>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560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K2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</si>
  <si>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630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K2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</si>
  <si>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710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K2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</si>
  <si>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800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K2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</si>
  <si>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900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K2</t>
    </r>
  </si>
  <si>
    <r>
      <rPr>
        <sz val="8.5"/>
        <rFont val="Arial"/>
        <family val="2"/>
      </rPr>
      <t>RDH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1000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K2</t>
    </r>
  </si>
  <si>
    <t>SYT 09/07-L</t>
  </si>
  <si>
    <t>SYT 09/09-L</t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</si>
  <si>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22/22-S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</si>
  <si>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07/07-S C/W M/F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</si>
  <si>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09/07-S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C/W</t>
    </r>
    <r>
      <rPr>
        <sz val="8.5"/>
        <rFont val="Times New Roman"/>
        <family val="1"/>
      </rPr>
      <t xml:space="preserve"> M/</t>
    </r>
    <r>
      <rPr>
        <sz val="8.5"/>
        <rFont val="Arial"/>
        <family val="2"/>
      </rPr>
      <t>F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</si>
  <si>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09/09-S C/W</t>
    </r>
    <r>
      <rPr>
        <sz val="8.5"/>
        <rFont val="Times New Roman"/>
        <family val="1"/>
      </rPr>
      <t xml:space="preserve"> M/</t>
    </r>
    <r>
      <rPr>
        <sz val="8.5"/>
        <rFont val="Arial"/>
        <family val="2"/>
      </rPr>
      <t>F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</si>
  <si>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10/08-S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C/W M/F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</si>
  <si>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10/10-S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C/W</t>
    </r>
    <r>
      <rPr>
        <sz val="8.5"/>
        <rFont val="Times New Roman"/>
        <family val="1"/>
      </rPr>
      <t xml:space="preserve"> M/</t>
    </r>
    <r>
      <rPr>
        <sz val="8.5"/>
        <rFont val="Arial"/>
        <family val="2"/>
      </rPr>
      <t>F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</si>
  <si>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12/09-S C/W M/F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</si>
  <si>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12/12-S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C/W</t>
    </r>
    <r>
      <rPr>
        <sz val="8.5"/>
        <rFont val="Times New Roman"/>
        <family val="1"/>
      </rPr>
      <t xml:space="preserve"> M/</t>
    </r>
    <r>
      <rPr>
        <sz val="8.5"/>
        <rFont val="Arial"/>
        <family val="2"/>
      </rPr>
      <t>F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</si>
  <si>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15/11-S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C/W</t>
    </r>
    <r>
      <rPr>
        <sz val="8.5"/>
        <rFont val="Times New Roman"/>
        <family val="1"/>
      </rPr>
      <t xml:space="preserve"> M/</t>
    </r>
    <r>
      <rPr>
        <sz val="8.5"/>
        <rFont val="Arial"/>
        <family val="2"/>
      </rPr>
      <t>F</t>
    </r>
  </si>
  <si>
    <r>
      <rPr>
        <sz val="8.5"/>
        <rFont val="Arial"/>
        <family val="2"/>
      </rPr>
      <t>AT</t>
    </r>
    <r>
      <rPr>
        <sz val="8.5"/>
        <rFont val="Times New Roman"/>
        <family val="1"/>
      </rPr>
      <t xml:space="preserve"> </t>
    </r>
    <r>
      <rPr>
        <sz val="8.5"/>
        <rFont val="Arial"/>
        <family val="2"/>
      </rPr>
      <t>15/15-S C/W</t>
    </r>
    <r>
      <rPr>
        <sz val="8.5"/>
        <rFont val="Times New Roman"/>
        <family val="1"/>
      </rPr>
      <t xml:space="preserve"> M/</t>
    </r>
    <r>
      <rPr>
        <sz val="8.5"/>
        <rFont val="Arial"/>
        <family val="2"/>
      </rPr>
      <t>F</t>
    </r>
  </si>
  <si>
    <r>
      <rPr>
        <sz val="9"/>
        <rFont val="Arial"/>
        <family val="2"/>
      </rPr>
      <t>AT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09/07-G2L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C/W</t>
    </r>
    <r>
      <rPr>
        <sz val="9"/>
        <rFont val="Times New Roman"/>
        <family val="1"/>
      </rPr>
      <t xml:space="preserve"> M/</t>
    </r>
    <r>
      <rPr>
        <sz val="9"/>
        <rFont val="Arial"/>
        <family val="2"/>
      </rPr>
      <t>F</t>
    </r>
  </si>
  <si>
    <r>
      <rPr>
        <sz val="9"/>
        <rFont val="Arial"/>
        <family val="2"/>
      </rPr>
      <t>AT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09/09-G2L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C/W</t>
    </r>
    <r>
      <rPr>
        <sz val="9"/>
        <rFont val="Times New Roman"/>
        <family val="1"/>
      </rPr>
      <t xml:space="preserve"> M/</t>
    </r>
    <r>
      <rPr>
        <sz val="9"/>
        <rFont val="Arial"/>
        <family val="2"/>
      </rPr>
      <t>F</t>
    </r>
  </si>
  <si>
    <r>
      <rPr>
        <sz val="9"/>
        <rFont val="Arial"/>
        <family val="2"/>
      </rPr>
      <t>AT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10/08-G2L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C/W</t>
    </r>
    <r>
      <rPr>
        <sz val="9"/>
        <rFont val="Times New Roman"/>
        <family val="1"/>
      </rPr>
      <t xml:space="preserve"> M/</t>
    </r>
    <r>
      <rPr>
        <sz val="9"/>
        <rFont val="Arial"/>
        <family val="2"/>
      </rPr>
      <t>F</t>
    </r>
  </si>
  <si>
    <r>
      <rPr>
        <sz val="9"/>
        <rFont val="Arial"/>
        <family val="2"/>
      </rPr>
      <t>AT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10/10-G2L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C/W</t>
    </r>
    <r>
      <rPr>
        <sz val="9"/>
        <rFont val="Times New Roman"/>
        <family val="1"/>
      </rPr>
      <t xml:space="preserve"> M/</t>
    </r>
    <r>
      <rPr>
        <sz val="9"/>
        <rFont val="Arial"/>
        <family val="2"/>
      </rPr>
      <t>F</t>
    </r>
  </si>
  <si>
    <r>
      <rPr>
        <sz val="9"/>
        <rFont val="Arial"/>
        <family val="2"/>
      </rPr>
      <t>AT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12/09-G2L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C/W</t>
    </r>
    <r>
      <rPr>
        <sz val="9"/>
        <rFont val="Times New Roman"/>
        <family val="1"/>
      </rPr>
      <t xml:space="preserve"> M/</t>
    </r>
    <r>
      <rPr>
        <sz val="9"/>
        <rFont val="Arial"/>
        <family val="2"/>
      </rPr>
      <t>F</t>
    </r>
  </si>
  <si>
    <r>
      <rPr>
        <sz val="9"/>
        <rFont val="Arial"/>
        <family val="2"/>
      </rPr>
      <t>AT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12/12-G2L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C/W</t>
    </r>
    <r>
      <rPr>
        <sz val="9"/>
        <rFont val="Times New Roman"/>
        <family val="1"/>
      </rPr>
      <t xml:space="preserve"> M/</t>
    </r>
    <r>
      <rPr>
        <sz val="9"/>
        <rFont val="Arial"/>
        <family val="2"/>
      </rPr>
      <t>F</t>
    </r>
  </si>
  <si>
    <r>
      <rPr>
        <sz val="9"/>
        <rFont val="Arial"/>
        <family val="2"/>
      </rPr>
      <t>AT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15/11-G2L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C/W</t>
    </r>
    <r>
      <rPr>
        <sz val="9"/>
        <rFont val="Times New Roman"/>
        <family val="1"/>
      </rPr>
      <t xml:space="preserve"> M/</t>
    </r>
    <r>
      <rPr>
        <sz val="9"/>
        <rFont val="Arial"/>
        <family val="2"/>
      </rPr>
      <t>F</t>
    </r>
  </si>
  <si>
    <r>
      <rPr>
        <sz val="9"/>
        <rFont val="Arial"/>
        <family val="2"/>
      </rPr>
      <t>AT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15/15-G2L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C/W</t>
    </r>
    <r>
      <rPr>
        <sz val="9"/>
        <rFont val="Times New Roman"/>
        <family val="1"/>
      </rPr>
      <t xml:space="preserve"> M/</t>
    </r>
    <r>
      <rPr>
        <sz val="9"/>
        <rFont val="Arial"/>
        <family val="2"/>
      </rPr>
      <t>F</t>
    </r>
  </si>
  <si>
    <r>
      <rPr>
        <sz val="9"/>
        <rFont val="Arial"/>
        <family val="2"/>
      </rPr>
      <t>AT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18/13-G2L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C/W M/F</t>
    </r>
  </si>
  <si>
    <r>
      <rPr>
        <sz val="9"/>
        <rFont val="Arial"/>
        <family val="2"/>
      </rPr>
      <t>AT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18/18-G2L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C/W</t>
    </r>
    <r>
      <rPr>
        <sz val="9"/>
        <rFont val="Times New Roman"/>
        <family val="1"/>
      </rPr>
      <t xml:space="preserve"> M/</t>
    </r>
    <r>
      <rPr>
        <sz val="9"/>
        <rFont val="Arial"/>
        <family val="2"/>
      </rPr>
      <t>F</t>
    </r>
  </si>
  <si>
    <t>SYT 10/10-L</t>
  </si>
  <si>
    <t>SYT 12/09-L</t>
  </si>
  <si>
    <t>SYT 12/12-L</t>
  </si>
  <si>
    <t>SYT 15/11-LK</t>
  </si>
  <si>
    <t>SYT 15/15-LK</t>
  </si>
  <si>
    <t>SYT 18/13-LK</t>
  </si>
  <si>
    <t>SYT 18/18-LK</t>
  </si>
  <si>
    <t>SYT 09/07-L2</t>
  </si>
  <si>
    <t>SYT 09/09-L2</t>
  </si>
  <si>
    <t>SYT 10/10-L2</t>
  </si>
  <si>
    <t>SYT 12/09-L2</t>
  </si>
  <si>
    <t>SYT 12/12-L2</t>
  </si>
  <si>
    <t>SYT 15/11-L2</t>
  </si>
  <si>
    <t>SYT 15/15-L2</t>
  </si>
  <si>
    <t>SYT 18/13-L2</t>
  </si>
  <si>
    <t>SYT 18/18-L2</t>
  </si>
  <si>
    <t>SYD 630 K</t>
  </si>
  <si>
    <t>SYD 160 R</t>
  </si>
  <si>
    <t>SYD 180 R</t>
  </si>
  <si>
    <t>SYD 200 R</t>
  </si>
  <si>
    <t>SYD 225 R</t>
  </si>
  <si>
    <t>SYD 250 R</t>
  </si>
  <si>
    <t>SYD 280 R</t>
  </si>
  <si>
    <t>SYD 315 R</t>
  </si>
  <si>
    <t>SYD 355 R</t>
  </si>
  <si>
    <t>SYD 400 R</t>
  </si>
  <si>
    <t>SYD 450 R</t>
  </si>
  <si>
    <t>SYD 500 R</t>
  </si>
  <si>
    <t>SYD 560 R</t>
  </si>
  <si>
    <t>SYD 630 R</t>
  </si>
  <si>
    <t>SYD 710 R</t>
  </si>
  <si>
    <t>SYD 280 K</t>
  </si>
  <si>
    <t>SYD 315 K</t>
  </si>
  <si>
    <t>SYD 355 K</t>
  </si>
  <si>
    <t>SYD 400 K</t>
  </si>
  <si>
    <t>SYD 450 K</t>
  </si>
  <si>
    <t>SYD 500 K</t>
  </si>
  <si>
    <t>SYD 560 K</t>
  </si>
  <si>
    <t>SYD 710 K</t>
  </si>
  <si>
    <t>SYD 800 K</t>
  </si>
  <si>
    <t>SYD 900 K</t>
  </si>
  <si>
    <t>SYD 1000 K</t>
  </si>
  <si>
    <t>SYQ 200 R</t>
  </si>
  <si>
    <t>SYQ 225 R</t>
  </si>
  <si>
    <t>SYQ 250 R</t>
  </si>
  <si>
    <t>SYQ 280 R</t>
  </si>
  <si>
    <t>SYQ 315 R</t>
  </si>
  <si>
    <t>SYQ 400 R</t>
  </si>
  <si>
    <t>SYQ 450 R</t>
  </si>
  <si>
    <t>SYQ 500 R</t>
  </si>
  <si>
    <t>SYQ 560 R</t>
  </si>
  <si>
    <t>SYQ 630 R</t>
  </si>
  <si>
    <t>SYQ 710 R</t>
  </si>
  <si>
    <t>SYQ 280 K</t>
  </si>
  <si>
    <t>SYQ 315 K</t>
  </si>
  <si>
    <t>SYQ 355 K</t>
  </si>
  <si>
    <t>SYQ 400 K</t>
  </si>
  <si>
    <t>SYQ 450 K</t>
  </si>
  <si>
    <t>SYQ 500 K</t>
  </si>
  <si>
    <t>SYQ 560 K</t>
  </si>
  <si>
    <t>SYQ 630 K</t>
  </si>
  <si>
    <t>SYQ 710 K</t>
  </si>
  <si>
    <t>SYQ 800 K</t>
  </si>
  <si>
    <t>SYQ 900 K</t>
  </si>
  <si>
    <t>SYQ 1000 K</t>
  </si>
  <si>
    <t>SYQ 500 Z</t>
  </si>
  <si>
    <t>SYQ 560 Z</t>
  </si>
  <si>
    <t>SYQ 630 Z</t>
  </si>
  <si>
    <t>SYQ 710 Z</t>
  </si>
  <si>
    <t>SYQ 800 Z</t>
  </si>
  <si>
    <t>SYQ 900 Z</t>
  </si>
  <si>
    <t>SYQ 1000 Z</t>
  </si>
  <si>
    <t>SYH 280 R</t>
  </si>
  <si>
    <t>SYH 315 R</t>
  </si>
  <si>
    <t>SYH 355 R</t>
  </si>
  <si>
    <t>SYH 400 R</t>
  </si>
  <si>
    <t>SYH 500 R</t>
  </si>
  <si>
    <t>SYH 560 R</t>
  </si>
  <si>
    <t>SYH 630 R</t>
  </si>
  <si>
    <t>SYH 710 R</t>
  </si>
  <si>
    <t>SYH 450 R</t>
  </si>
  <si>
    <t>SYH 280 K</t>
  </si>
  <si>
    <t>SYH 315 K</t>
  </si>
  <si>
    <t>SYH 355 K</t>
  </si>
  <si>
    <t>SYH 400 K</t>
  </si>
  <si>
    <t>SYH 450 K</t>
  </si>
  <si>
    <t>SYH 500 K</t>
  </si>
  <si>
    <t>SYH 560 K</t>
  </si>
  <si>
    <t>SYH 630 K</t>
  </si>
  <si>
    <t>SYH 710 K</t>
  </si>
  <si>
    <t>SYH 800 K</t>
  </si>
  <si>
    <t>SYH 900 K</t>
  </si>
  <si>
    <t>SYH 1000 K</t>
  </si>
  <si>
    <t>SYH 500 Z</t>
  </si>
  <si>
    <t>SYH 560 Z</t>
  </si>
  <si>
    <t>SYH 630 Z</t>
  </si>
  <si>
    <t>SYH 710 Z</t>
  </si>
  <si>
    <t>SYH 800 Z</t>
  </si>
  <si>
    <t>SYH 900 Z</t>
  </si>
  <si>
    <t>SYH 1000 Z</t>
  </si>
  <si>
    <t>AT 00/00-X</t>
  </si>
  <si>
    <t>View Port</t>
  </si>
  <si>
    <t>Grill Flange SA</t>
  </si>
  <si>
    <t>Grill Flange RA</t>
  </si>
  <si>
    <t>kg total</t>
  </si>
  <si>
    <r>
      <rPr>
        <sz val="8.5"/>
        <rFont val="Arial"/>
        <family val="2"/>
      </rPr>
      <t>AT 15/15-S</t>
    </r>
    <r>
      <rPr>
        <sz val="8.5"/>
        <rFont val="Times New Roman"/>
        <family val="1"/>
      </rPr>
      <t xml:space="preserve"> </t>
    </r>
  </si>
  <si>
    <t>72uW/cm2</t>
  </si>
  <si>
    <t xml:space="preserve"> 145uW/cm2</t>
  </si>
  <si>
    <t>165uW/cm2</t>
  </si>
  <si>
    <t>245uW/cm2</t>
  </si>
  <si>
    <t>305uW/cm2</t>
  </si>
  <si>
    <t xml:space="preserve"> 340uW/cm2</t>
  </si>
  <si>
    <t>400uW/cm2</t>
  </si>
  <si>
    <t>Irridiance</t>
  </si>
  <si>
    <t>ESL 20W x 515mmL</t>
  </si>
  <si>
    <t>UVC</t>
  </si>
  <si>
    <t>ESL 40W x 910mmL</t>
  </si>
  <si>
    <t>ESL 60W x 550mmL</t>
  </si>
  <si>
    <t>ESL 80W x 843mmL</t>
  </si>
  <si>
    <t>ESL 95W x 530mmL</t>
  </si>
  <si>
    <t>ESL 120W x 1148mmL</t>
  </si>
  <si>
    <t>ESL 150W x 1554mmL</t>
  </si>
  <si>
    <t>DPG MagRFHelic</t>
  </si>
  <si>
    <t>DPG Magnehelic</t>
  </si>
  <si>
    <t>LED Lamp ZKLED-EX-401E</t>
  </si>
  <si>
    <t>RLM 22"</t>
  </si>
  <si>
    <t>RLM 33"</t>
  </si>
  <si>
    <t>RLM 61"</t>
  </si>
  <si>
    <t>EC-PDF190</t>
  </si>
  <si>
    <t>EC-PDF225</t>
  </si>
  <si>
    <t>EC-PDF315</t>
  </si>
  <si>
    <t>EC-PDF355</t>
  </si>
  <si>
    <t>EC-PDF450</t>
  </si>
  <si>
    <t>EC-PDF500</t>
  </si>
  <si>
    <t>EC-PDF560</t>
  </si>
  <si>
    <t>EC-PDF630</t>
  </si>
  <si>
    <t>EC-FCS180</t>
  </si>
  <si>
    <t>SYQ 355 R</t>
  </si>
  <si>
    <t xml:space="preserve">Phone : +6221-8935670 / 71  </t>
  </si>
  <si>
    <t>Tebal Panel</t>
  </si>
  <si>
    <t>SYWA 280</t>
  </si>
  <si>
    <t>SYWA 315</t>
  </si>
  <si>
    <t>SYWA 355</t>
  </si>
  <si>
    <t>SYWA 400</t>
  </si>
  <si>
    <t>SYWA 450</t>
  </si>
  <si>
    <t>SYWA 500</t>
  </si>
  <si>
    <t>SYWA 560</t>
  </si>
  <si>
    <t>SYWA 630</t>
  </si>
  <si>
    <t>SYWA 710</t>
  </si>
  <si>
    <t>SYWA 800</t>
  </si>
  <si>
    <t>SYWA 900</t>
  </si>
  <si>
    <t>SYWA 1000</t>
  </si>
  <si>
    <t>5. Price not include startup, test commissioning, &amp; installation</t>
  </si>
  <si>
    <t>Model</t>
  </si>
  <si>
    <t>Kab. Bekasi - Jawa Barat. 17530. Phone : (021) 8935670 - 71</t>
  </si>
  <si>
    <t>Material</t>
  </si>
  <si>
    <t>Bush 6050</t>
  </si>
  <si>
    <t>Bush 7060</t>
  </si>
  <si>
    <t>Support Blower</t>
  </si>
  <si>
    <t>Channel Atas</t>
  </si>
  <si>
    <t>Support</t>
  </si>
  <si>
    <t>6. Spareparts warranty is 12 months since delivery time/pick up of the unit</t>
  </si>
  <si>
    <t>7. Price is not include replacement of damaged items caused by operating errors and unstable power supply</t>
  </si>
  <si>
    <t>8. Price is not include unexpected costs</t>
  </si>
  <si>
    <t>Unit</t>
  </si>
  <si>
    <t>DS 25</t>
  </si>
  <si>
    <t>T</t>
  </si>
  <si>
    <t>L</t>
  </si>
  <si>
    <t>P</t>
  </si>
  <si>
    <t>DS 50</t>
  </si>
  <si>
    <t>X</t>
  </si>
  <si>
    <t>Euro</t>
  </si>
  <si>
    <t>Rmb</t>
  </si>
  <si>
    <t>Rs</t>
  </si>
  <si>
    <t>FOB</t>
  </si>
  <si>
    <t>m</t>
  </si>
  <si>
    <t>Rp/kG</t>
  </si>
  <si>
    <t>CB</t>
  </si>
  <si>
    <t>SUS304</t>
  </si>
  <si>
    <t>SUS316L</t>
  </si>
  <si>
    <t>UoM</t>
  </si>
  <si>
    <t>kG/m2</t>
  </si>
  <si>
    <t>Rp/m2</t>
  </si>
  <si>
    <t>Cu-IG</t>
  </si>
  <si>
    <t>Copper</t>
  </si>
  <si>
    <t>4W</t>
  </si>
  <si>
    <t>5W</t>
  </si>
  <si>
    <t>6W</t>
  </si>
  <si>
    <t>7W</t>
  </si>
  <si>
    <t>8W</t>
  </si>
  <si>
    <t>9W</t>
  </si>
  <si>
    <t>10W</t>
  </si>
  <si>
    <t>11W</t>
  </si>
  <si>
    <t>12W</t>
  </si>
  <si>
    <t>13W</t>
  </si>
  <si>
    <t>14W</t>
  </si>
  <si>
    <t>15W</t>
  </si>
  <si>
    <t>16W</t>
  </si>
  <si>
    <t>17W</t>
  </si>
  <si>
    <t>18W</t>
  </si>
  <si>
    <t>19W</t>
  </si>
  <si>
    <t>20W</t>
  </si>
  <si>
    <t>21W</t>
  </si>
  <si>
    <t>22W</t>
  </si>
  <si>
    <t>23W</t>
  </si>
  <si>
    <t>24W</t>
  </si>
  <si>
    <t>25W</t>
  </si>
  <si>
    <t>26W</t>
  </si>
  <si>
    <t>27W</t>
  </si>
  <si>
    <t>28W</t>
  </si>
  <si>
    <t>30W</t>
  </si>
  <si>
    <t>31W</t>
  </si>
  <si>
    <t>32W</t>
  </si>
  <si>
    <t>33W</t>
  </si>
  <si>
    <t>PE3</t>
  </si>
  <si>
    <t>PE5</t>
  </si>
  <si>
    <t>MF80</t>
  </si>
  <si>
    <t>B3</t>
  </si>
  <si>
    <t>B2</t>
  </si>
  <si>
    <t>rpm</t>
  </si>
  <si>
    <t>Frame</t>
  </si>
  <si>
    <t>LRA</t>
  </si>
  <si>
    <t>0.75-4</t>
  </si>
  <si>
    <t>OD</t>
  </si>
  <si>
    <t>R</t>
  </si>
  <si>
    <t>LC1E06</t>
  </si>
  <si>
    <t>LC1E16</t>
  </si>
  <si>
    <t>LC1E25</t>
  </si>
  <si>
    <t>LC1E32</t>
  </si>
  <si>
    <t>LC1E38</t>
  </si>
  <si>
    <t>LC1E65</t>
  </si>
  <si>
    <t>LC1E95</t>
  </si>
  <si>
    <t>LC1E120</t>
  </si>
  <si>
    <t>LC1E200</t>
  </si>
  <si>
    <t>LRE07</t>
  </si>
  <si>
    <t>LRE10</t>
  </si>
  <si>
    <t>LRE12</t>
  </si>
  <si>
    <t>LRE21</t>
  </si>
  <si>
    <t>LRE22</t>
  </si>
  <si>
    <t>LRE32</t>
  </si>
  <si>
    <t>LRE355</t>
  </si>
  <si>
    <t>LRE359</t>
  </si>
  <si>
    <t>Junction Box Assy : 150H150W90D-316L-IP65</t>
  </si>
  <si>
    <t>Terminal Block, Modular : 30A/4P/600V</t>
  </si>
  <si>
    <t>Terminal Block, Modular : 60A/4P/600V</t>
  </si>
  <si>
    <t>Provision for FAT</t>
  </si>
  <si>
    <t>kBtu/h</t>
  </si>
  <si>
    <t>kW</t>
  </si>
  <si>
    <t>CMH</t>
  </si>
  <si>
    <t>n</t>
  </si>
  <si>
    <t>U Bend</t>
  </si>
  <si>
    <t>FL</t>
  </si>
  <si>
    <t>PickList</t>
  </si>
  <si>
    <t>Opt</t>
  </si>
  <si>
    <t>Gross</t>
  </si>
  <si>
    <t>Unit Cost</t>
  </si>
  <si>
    <t>Wt(kG)</t>
  </si>
  <si>
    <t>Ø</t>
  </si>
  <si>
    <t>V/A/L</t>
  </si>
  <si>
    <t>UF</t>
  </si>
  <si>
    <t>Inner Liner</t>
  </si>
  <si>
    <t>Terminal, Ring 2.5/6 : Cable 1.5-2.5mm2/16-14AWG ; Ring M6</t>
  </si>
  <si>
    <t>Terminal, Ring 4-6/5 : Cable 4.0-6.0mm2/12-10AWG ; Ring M5</t>
  </si>
  <si>
    <t>Terminal, Fork 6.0/5 : Cable 2.5-6.0mm2/12-10AWG ; Fork M5</t>
  </si>
  <si>
    <t>Terminal, Socket  1.5/4.8 : Cable 0.5-1.5mm2 ; Tab 0.5x4.8mm</t>
  </si>
  <si>
    <t>Terminal Insulation, Socket Vinyl 1.25/4.8 : Clear ; S1.25/4.8</t>
  </si>
  <si>
    <t>m3</t>
  </si>
  <si>
    <t>Lot</t>
  </si>
  <si>
    <t>XXXXXXXX</t>
  </si>
  <si>
    <t>Casing Spec: SCU-</t>
  </si>
  <si>
    <t>SCU100M1</t>
  </si>
  <si>
    <t>SCU75M1</t>
  </si>
  <si>
    <t>SCU125M1</t>
  </si>
  <si>
    <t>SCU150M1</t>
  </si>
  <si>
    <t>Specification Casing</t>
  </si>
  <si>
    <t>Ambient</t>
  </si>
  <si>
    <t>Coat(Frm)</t>
  </si>
  <si>
    <t>Liner 1 (mmT)</t>
  </si>
  <si>
    <t>Liner 2 (mmT)</t>
  </si>
  <si>
    <t>Coat(Liner)</t>
  </si>
  <si>
    <t>Insulation</t>
  </si>
  <si>
    <t>Panel</t>
  </si>
  <si>
    <t>Coat(Pnl)</t>
  </si>
  <si>
    <t>Coat(Skd)</t>
  </si>
  <si>
    <t>Coat(Str)</t>
  </si>
  <si>
    <t>DrainPan</t>
  </si>
  <si>
    <t>Coat(DP)</t>
  </si>
  <si>
    <t>Entry==&gt;</t>
  </si>
  <si>
    <t>SA</t>
  </si>
  <si>
    <t>SGCC</t>
  </si>
  <si>
    <t>Specification Coil</t>
  </si>
  <si>
    <t>Fin (DXC/CWC)</t>
  </si>
  <si>
    <t>Tube (DXC/CWC)</t>
  </si>
  <si>
    <t>EP (DXC/CWC)</t>
  </si>
  <si>
    <t>Header</t>
  </si>
  <si>
    <t>AGC</t>
  </si>
  <si>
    <t>Al1100</t>
  </si>
  <si>
    <t>Specification Component</t>
  </si>
  <si>
    <t>Compressor</t>
  </si>
  <si>
    <t>Axial Fan</t>
  </si>
  <si>
    <t>Enclosure</t>
  </si>
  <si>
    <t>LCS</t>
  </si>
  <si>
    <t>Rfg PT</t>
  </si>
  <si>
    <t>Rfg PG</t>
  </si>
  <si>
    <t>CC Heater</t>
  </si>
  <si>
    <t>S. Accum.</t>
  </si>
  <si>
    <t>FD/SG</t>
  </si>
  <si>
    <t>Ball Valve</t>
  </si>
  <si>
    <t>Cable</t>
  </si>
  <si>
    <t>Skid Rpt</t>
  </si>
  <si>
    <t>WPS</t>
  </si>
  <si>
    <t>MPT</t>
  </si>
  <si>
    <t>Load Test</t>
  </si>
  <si>
    <t>FAT</t>
  </si>
  <si>
    <t>ATEX</t>
  </si>
  <si>
    <t>Copeland</t>
  </si>
  <si>
    <t>NA</t>
  </si>
  <si>
    <t>WeiGuang</t>
  </si>
  <si>
    <t>Std IP44</t>
  </si>
  <si>
    <t>1 Core</t>
  </si>
  <si>
    <t>Structure &amp; Coating</t>
  </si>
  <si>
    <t>Casing Structure</t>
  </si>
  <si>
    <t>Nylon-Coat</t>
  </si>
  <si>
    <t>Frame-Coat</t>
  </si>
  <si>
    <t>Liner-Coat</t>
  </si>
  <si>
    <t>Panel-Coat</t>
  </si>
  <si>
    <t>Skid-Hot Dip</t>
  </si>
  <si>
    <t>Structure-Coat</t>
  </si>
  <si>
    <t>DrainPan-Coat</t>
  </si>
  <si>
    <t>SPHC</t>
  </si>
  <si>
    <t>SGP</t>
  </si>
  <si>
    <t>Al6063</t>
  </si>
  <si>
    <t>Coating Area</t>
  </si>
  <si>
    <t>Cutting Allowance</t>
  </si>
  <si>
    <t>Corner</t>
  </si>
  <si>
    <t>PP</t>
  </si>
  <si>
    <t>CP</t>
  </si>
  <si>
    <t>CLIP</t>
  </si>
  <si>
    <t>Insert</t>
  </si>
  <si>
    <t>Gsk</t>
  </si>
  <si>
    <t>Clip L</t>
  </si>
  <si>
    <t>Clip H</t>
  </si>
  <si>
    <t>Pnl PP</t>
  </si>
  <si>
    <t>Pnl CP</t>
  </si>
  <si>
    <t>No Frame</t>
  </si>
  <si>
    <t>Panel &amp; Insulation</t>
  </si>
  <si>
    <t>Panel Insulation</t>
  </si>
  <si>
    <t>Profile Insulation</t>
  </si>
  <si>
    <t>Gasket</t>
  </si>
  <si>
    <t>Outer Liner</t>
  </si>
  <si>
    <t>mmW(PP)</t>
  </si>
  <si>
    <t>mmW(CP)</t>
  </si>
  <si>
    <t>MF60</t>
  </si>
  <si>
    <t>FO</t>
  </si>
  <si>
    <t>TB</t>
  </si>
  <si>
    <t>MF100</t>
  </si>
  <si>
    <t>ACC Coil &amp; Header</t>
  </si>
  <si>
    <t>Coil ACC</t>
  </si>
  <si>
    <t>UB (ACC)</t>
  </si>
  <si>
    <t>AGC (ACC)</t>
  </si>
  <si>
    <t>Fin (ACC)</t>
  </si>
  <si>
    <t>Tube (ACC)</t>
  </si>
  <si>
    <t>EP (ACC)</t>
  </si>
  <si>
    <t>Header (ACC)</t>
  </si>
  <si>
    <t>Sx</t>
  </si>
  <si>
    <t>Sy</t>
  </si>
  <si>
    <t>kG/pc</t>
  </si>
  <si>
    <t>Rp/pc</t>
  </si>
  <si>
    <t>2/7</t>
  </si>
  <si>
    <t>Aluminium</t>
  </si>
  <si>
    <t>3/8</t>
  </si>
  <si>
    <t>BF1100</t>
  </si>
  <si>
    <t>1/2</t>
  </si>
  <si>
    <t>GF1100</t>
  </si>
  <si>
    <t>5/8</t>
  </si>
  <si>
    <t>Cu1020</t>
  </si>
  <si>
    <t>SCU</t>
  </si>
  <si>
    <t>kBH</t>
  </si>
  <si>
    <t>KW</t>
  </si>
  <si>
    <t>ESP</t>
  </si>
  <si>
    <t>Ref</t>
  </si>
  <si>
    <t>Fan</t>
  </si>
  <si>
    <t>N(Fan)</t>
  </si>
  <si>
    <t>X407</t>
  </si>
  <si>
    <t>cfm</t>
  </si>
  <si>
    <t>PD</t>
  </si>
  <si>
    <t>FW</t>
  </si>
  <si>
    <t>FH</t>
  </si>
  <si>
    <t>Hdr</t>
  </si>
  <si>
    <t>Suction</t>
  </si>
  <si>
    <t>Discharge</t>
  </si>
  <si>
    <t>Liquid</t>
  </si>
  <si>
    <t>RC</t>
  </si>
  <si>
    <t>ACC75</t>
  </si>
  <si>
    <t>ACC100</t>
  </si>
  <si>
    <t>ACC125</t>
  </si>
  <si>
    <t>ACC150</t>
  </si>
  <si>
    <t>Part Master Item Description</t>
  </si>
  <si>
    <t>Layout</t>
  </si>
  <si>
    <t>Adj</t>
  </si>
  <si>
    <t>Size</t>
  </si>
  <si>
    <t>Total ($)</t>
  </si>
  <si>
    <t>U/W</t>
  </si>
  <si>
    <t>CASING: Skid Assy</t>
  </si>
  <si>
    <t>H x W x D</t>
  </si>
  <si>
    <t>Leg Assy: Leg, L/R (W)</t>
  </si>
  <si>
    <t>- Panel Painting</t>
  </si>
  <si>
    <t>Leg Assy: Leg Center</t>
  </si>
  <si>
    <t>CASING: Panel Assy</t>
  </si>
  <si>
    <t>Panel Assy: Base Tray Panel 75/100/125/150 (W x D)</t>
  </si>
  <si>
    <t>Panel Assy: Top/Orifice Panel 75/100/125 (H x W)</t>
  </si>
  <si>
    <t>Panel Assy: Top/Orifice Panel 150 (D x W)</t>
  </si>
  <si>
    <t>Panel Assy: Top Baffle Panel 75/100/125 (W x 238)</t>
  </si>
  <si>
    <t>Panel Assy: Back Panel 75/100/125 (H x W)</t>
  </si>
  <si>
    <t>Panel Assy: Back Panel 150 (H x 100)</t>
  </si>
  <si>
    <t>Panel Assy: Front Header Panel 75/100/125/150 (H x 150)</t>
  </si>
  <si>
    <t>Panel Assy: Front Top JB Panel 75/100/125/150 ((W-150) x 200)</t>
  </si>
  <si>
    <t>Panel Assy: Front Bottom Access Panel 75/100/125/150 ((W-150) x (H-200))</t>
  </si>
  <si>
    <t>Panel Assy: Side L/R Baffle Panel 75/100/125 (H x 183)</t>
  </si>
  <si>
    <t>Panel Assy: Side L/R Baffle Panel 150 (H x 153)</t>
  </si>
  <si>
    <t>CASING: Support Structure Assy</t>
  </si>
  <si>
    <t>H x W x D x d</t>
  </si>
  <si>
    <t>Control Box Assy: Control Box T/B/Back Panel (W-150) x 200H x 150D</t>
  </si>
  <si>
    <t>- Support Parts Painting</t>
  </si>
  <si>
    <t>Control Box Assy: Control Box Side L/R (200H x 150D)</t>
  </si>
  <si>
    <t>Control Box Assy: Electrical Component Board (W-150) x 200H</t>
  </si>
  <si>
    <t>Support Structures: Clamp Support</t>
  </si>
  <si>
    <t>Support Structures: Clamp Header Suction</t>
  </si>
  <si>
    <t>Support Structures: Clamp Header Liquid</t>
  </si>
  <si>
    <t>Support Structures: Mounting Plate</t>
  </si>
  <si>
    <t>CASING: Cornerpost Assy</t>
  </si>
  <si>
    <t>Cornerpiece DS</t>
  </si>
  <si>
    <t>- Painting Cornerpiece</t>
  </si>
  <si>
    <t>Penta Cornerpost DS, F/B (W)</t>
  </si>
  <si>
    <t>- Painting Cornerpost</t>
  </si>
  <si>
    <t>Penta Cornerpost DS, L/R (D)</t>
  </si>
  <si>
    <t>Penta Cornerpost DS, Vertical (H)</t>
  </si>
  <si>
    <t>OPTIONS: Axial Fan Assy</t>
  </si>
  <si>
    <t>AIR EXCHANGE: WeiGuang Fan Assy</t>
  </si>
  <si>
    <t>- Fan Assy</t>
  </si>
  <si>
    <t>$FOB</t>
  </si>
  <si>
    <t>PI(W)</t>
  </si>
  <si>
    <t>RA</t>
  </si>
  <si>
    <t>0Pa</t>
  </si>
  <si>
    <t>30Pa</t>
  </si>
  <si>
    <t>40Pa</t>
  </si>
  <si>
    <t>60Pa</t>
  </si>
  <si>
    <t>dBA</t>
  </si>
  <si>
    <t>YWF4D-630S-137/70-G</t>
  </si>
  <si>
    <t>800W-4P</t>
  </si>
  <si>
    <t>YWF6D-710S-180/75-G</t>
  </si>
  <si>
    <t>900W-6P</t>
  </si>
  <si>
    <t>- Low Collar Orifice</t>
  </si>
  <si>
    <t>OD x H</t>
  </si>
  <si>
    <t>AIR EXCHANGE: Yilida-Maer Fan Assy</t>
  </si>
  <si>
    <t>YSWF102L70P4-753N-630</t>
  </si>
  <si>
    <t>780W-4P</t>
  </si>
  <si>
    <t>YSWF127L65P6-840N-710</t>
  </si>
  <si>
    <t>AIR EXCHANGE: MultiWing Fan Assy-ExCR</t>
  </si>
  <si>
    <t>- Fan Blade CR</t>
  </si>
  <si>
    <t>630/3-6/28.5/PPG/4ZR; 0.75kW/4P</t>
  </si>
  <si>
    <t>0.75-4; 1.99A</t>
  </si>
  <si>
    <t>710/6-6/36/PPG/4ZR; 1.10kW/6P</t>
  </si>
  <si>
    <t>1.10-6; 3.31A</t>
  </si>
  <si>
    <t>- Fan Motor 4P/6P</t>
  </si>
  <si>
    <t>ATT</t>
  </si>
  <si>
    <r>
      <t>%ŋ</t>
    </r>
    <r>
      <rPr>
        <vertAlign val="subscript"/>
        <sz val="11"/>
        <rFont val="Arial"/>
        <family val="2"/>
      </rPr>
      <t>fl</t>
    </r>
  </si>
  <si>
    <r>
      <t>%PF</t>
    </r>
    <r>
      <rPr>
        <vertAlign val="subscript"/>
        <sz val="11"/>
        <rFont val="Arial"/>
        <family val="2"/>
      </rPr>
      <t>fl</t>
    </r>
  </si>
  <si>
    <r>
      <t>A</t>
    </r>
    <r>
      <rPr>
        <vertAlign val="subscript"/>
        <sz val="11"/>
        <rFont val="Arial"/>
        <family val="2"/>
      </rPr>
      <t>fl</t>
    </r>
    <r>
      <rPr>
        <sz val="11"/>
        <rFont val="Arial"/>
        <family val="2"/>
      </rPr>
      <t xml:space="preserve"> (A)</t>
    </r>
  </si>
  <si>
    <r>
      <t>PI</t>
    </r>
    <r>
      <rPr>
        <vertAlign val="subscript"/>
        <sz val="11"/>
        <rFont val="Arial"/>
        <family val="2"/>
      </rPr>
      <t xml:space="preserve">fl </t>
    </r>
    <r>
      <rPr>
        <sz val="11"/>
        <rFont val="Arial"/>
        <family val="2"/>
      </rPr>
      <t>(kW)</t>
    </r>
  </si>
  <si>
    <t>0.75kW-380V/3/50-4P</t>
  </si>
  <si>
    <t>1.10kW-380V/3/50-6P</t>
  </si>
  <si>
    <t>1.10-6</t>
  </si>
  <si>
    <t>- High Collar Orifice</t>
  </si>
  <si>
    <t>AIR EXCHANGE: MultiWing Fan Assy-ExNa</t>
  </si>
  <si>
    <t>- Fan Blade ExNa</t>
  </si>
  <si>
    <t>630/3-6/28.5/PAGAS/4ZR; 0.75kW/4P</t>
  </si>
  <si>
    <t>710/6-6/36/PAGAS/4ZR; 1.10kW/6P</t>
  </si>
  <si>
    <t>- Fan Motor ExNa</t>
  </si>
  <si>
    <t>ABB/CEM</t>
  </si>
  <si>
    <t>0.75kW-4P ExNa</t>
  </si>
  <si>
    <t>0.75-4 Ex</t>
  </si>
  <si>
    <t>1.10kW-6P ExNa</t>
  </si>
  <si>
    <t>1.10-6 Ex</t>
  </si>
  <si>
    <t>HEAT EXCHANGE: ACC Coil Assy</t>
  </si>
  <si>
    <t>- Coil Material</t>
  </si>
  <si>
    <t>Coil Matl : Fin</t>
  </si>
  <si>
    <t>Coil Matl : Tube</t>
  </si>
  <si>
    <t>Coil Matl : U-Bend</t>
  </si>
  <si>
    <t>Frame Matl : End-Plate</t>
  </si>
  <si>
    <t>Frame Matl : Horizontal-Plate</t>
  </si>
  <si>
    <t>Frame Matl : Middle-Plate</t>
  </si>
  <si>
    <t>- Coil Fab</t>
  </si>
  <si>
    <t>Frame FabCost : EP/MP Punching</t>
  </si>
  <si>
    <t>Punch GI &lt; 2.0mmT</t>
  </si>
  <si>
    <t>Frame FabCost : EP/MP Bending</t>
  </si>
  <si>
    <t>Shear/Bend GI &lt; 2.0mmT, S</t>
  </si>
  <si>
    <t>Frame FabCost : EP/MP Emboss/Ring</t>
  </si>
  <si>
    <t>- Coil Header</t>
  </si>
  <si>
    <t xml:space="preserve">Header Matl : Inlet : </t>
  </si>
  <si>
    <t xml:space="preserve">Header Matl : Outlet </t>
  </si>
  <si>
    <t>Header Matl : Connector 50mm</t>
  </si>
  <si>
    <t>- Coil Brazing</t>
  </si>
  <si>
    <t>Brazing Matl : 34%-Brass Connection</t>
  </si>
  <si>
    <t>B Cup2 (35%Ag)</t>
  </si>
  <si>
    <t>Brazing Matl : 2%-U Bend</t>
  </si>
  <si>
    <t>B Cup6 (2%Ag) : 2.4 x 3.2 x 600</t>
  </si>
  <si>
    <t>Brazing Matl : 2%-NC Connector</t>
  </si>
  <si>
    <t>Brazing Matl : 2%-Header Inlet</t>
  </si>
  <si>
    <t>Brazing Matl : 2%-Header Outlet</t>
  </si>
  <si>
    <t>LPG</t>
  </si>
  <si>
    <t>LPG : 6m3/cy ; 99.98% purity ; 150bar</t>
  </si>
  <si>
    <t>O2</t>
  </si>
  <si>
    <t>Oxygen : 6m3 ; 99.98% purity ; 150bar</t>
  </si>
  <si>
    <t>N2</t>
  </si>
  <si>
    <t>Nitrogen : 6m3 ; 99.98% purity ; 150bar</t>
  </si>
  <si>
    <t>- Coil Coating</t>
  </si>
  <si>
    <t>Coil Coating: Anti Corrosion Phenol VR514</t>
  </si>
  <si>
    <t>Phenolic Resin: Heresite VR514</t>
  </si>
  <si>
    <t>Coil Coating: Solvent S440</t>
  </si>
  <si>
    <t>Phenolic Thinner: Heresite S440</t>
  </si>
  <si>
    <t>Coil Coating: Anti UV PU Resin UC5504-A</t>
  </si>
  <si>
    <t>Polyurethane A&amp;B Resin: Heresite UC5504</t>
  </si>
  <si>
    <t>Coil Coating: Solvent S330</t>
  </si>
  <si>
    <t>Polyurethane Thinner: Heresite S330</t>
  </si>
  <si>
    <t>OPTIONS: Scroll Compressor</t>
  </si>
  <si>
    <t>1. COMPRESSOR: Invotech R407c</t>
  </si>
  <si>
    <t>- Compressor Assy</t>
  </si>
  <si>
    <t>Qc</t>
  </si>
  <si>
    <t>PI</t>
  </si>
  <si>
    <t>Qr</t>
  </si>
  <si>
    <t>SL</t>
  </si>
  <si>
    <t>DL</t>
  </si>
  <si>
    <t>LL</t>
  </si>
  <si>
    <t>7.5hp: YH230T1-100</t>
  </si>
  <si>
    <t>YH230</t>
  </si>
  <si>
    <t>10.0hp: YH307T1-100</t>
  </si>
  <si>
    <t>YH307</t>
  </si>
  <si>
    <t>12.5hp: YH355T1-100</t>
  </si>
  <si>
    <t>YH355</t>
  </si>
  <si>
    <t>15.0hp: YSH450T1G-100</t>
  </si>
  <si>
    <t>YSH450</t>
  </si>
  <si>
    <t>- Crankcase Heater</t>
  </si>
  <si>
    <t>Heater, Compressor Crankcase 90W/240V : ZR84-190</t>
  </si>
  <si>
    <t>2. COMPRESSOR: Danfoss R407c</t>
  </si>
  <si>
    <t>7.5hp: SZ094-4VM</t>
  </si>
  <si>
    <t>SZ094</t>
  </si>
  <si>
    <t>10.0hp: SZ120-4VM</t>
  </si>
  <si>
    <t>SZ120</t>
  </si>
  <si>
    <t>12.5hp: SZ147-A4ALB</t>
  </si>
  <si>
    <t>SZ147</t>
  </si>
  <si>
    <t>15.0hp: SZ185-4CAM</t>
  </si>
  <si>
    <t>SZ185</t>
  </si>
  <si>
    <t>3. COMPRESSOR: Copeland R407c</t>
  </si>
  <si>
    <t>7.5hp: ZR94KCE-TFD</t>
  </si>
  <si>
    <t>ZR94</t>
  </si>
  <si>
    <t>10.0hp: ZR125KCE-TFD</t>
  </si>
  <si>
    <t>ZR125</t>
  </si>
  <si>
    <t>12.5hp: ZR144KCE-TFD</t>
  </si>
  <si>
    <t>ZR144</t>
  </si>
  <si>
    <t>15.0hp: ZR190KCE-TFD</t>
  </si>
  <si>
    <t>ZR190</t>
  </si>
  <si>
    <t>4. COMPRESSOR: Daikin R407c</t>
  </si>
  <si>
    <t>7.5hp: JT265DA-Y1</t>
  </si>
  <si>
    <t>JT265</t>
  </si>
  <si>
    <t>10.0hp: JT300DA-Y1L</t>
  </si>
  <si>
    <t>JT300</t>
  </si>
  <si>
    <t>12.5hp: JT335DA-Y1L</t>
  </si>
  <si>
    <t>JT335</t>
  </si>
  <si>
    <t>15.0hp: JT265DA-Y1 x 2</t>
  </si>
  <si>
    <t>JT265-2</t>
  </si>
  <si>
    <t>5. COMPRESSOR: Copeland R407c ExNa</t>
  </si>
  <si>
    <t>- Attachment Assy</t>
  </si>
  <si>
    <t>7.5hp: Ring ZR84-144</t>
  </si>
  <si>
    <t>OD 232</t>
  </si>
  <si>
    <t>10.0hp: Ring ZR84-144</t>
  </si>
  <si>
    <t>12.5hp: Ring ZR84-144</t>
  </si>
  <si>
    <t>15.0hp: Ring ZR160-190</t>
  </si>
  <si>
    <t>OD 243</t>
  </si>
  <si>
    <t>Modified Attachment : Attachment Box 51H x 90W x 97L</t>
  </si>
  <si>
    <t>51 H x 90W  x 97L</t>
  </si>
  <si>
    <t>Modified Attachment : Junction Box Base 140W x 162L</t>
  </si>
  <si>
    <t>140W x 162L</t>
  </si>
  <si>
    <t>Assembly : Adhesive on ring bracket, Belzona 111 @ 3m2/kG</t>
  </si>
  <si>
    <t>Assembly : Fastener, SUS304 M6 Hex Bolt &amp; Nut</t>
  </si>
  <si>
    <t>Assembly : High Voltage epoxy insulation, Scotchcast</t>
  </si>
  <si>
    <t>Assembly : Encapsulation of attachment box,High Temp Liquid Silicon</t>
  </si>
  <si>
    <t>Assembly : Junction Box - Zone 1&amp;2, Ex d IIB, IP66</t>
  </si>
  <si>
    <t>- Electrical Assy</t>
  </si>
  <si>
    <t>mm2</t>
  </si>
  <si>
    <t>N2XH</t>
  </si>
  <si>
    <t>$/m</t>
  </si>
  <si>
    <t>N2XRH</t>
  </si>
  <si>
    <t>N2XRH 4C-4.0/7s</t>
  </si>
  <si>
    <t>4Cx4.0/7s</t>
  </si>
  <si>
    <t>4Cx6.0/7s</t>
  </si>
  <si>
    <t>N2XRH 4C-6.0/7s</t>
  </si>
  <si>
    <t>4Cx16/7s</t>
  </si>
  <si>
    <t>7.5hp: N2XRH 4Cx4.0/7s</t>
  </si>
  <si>
    <t>M25a</t>
  </si>
  <si>
    <t>18.5-26</t>
  </si>
  <si>
    <t>M63</t>
  </si>
  <si>
    <t>48.0-64</t>
  </si>
  <si>
    <t>10.0hp: N2XRH 4Cx4.0/7s</t>
  </si>
  <si>
    <t>12.5hp: N2XRH 4Cx4.0/7s</t>
  </si>
  <si>
    <t>15.0hp: N2XRH 4Cx6.0/7s</t>
  </si>
  <si>
    <t>COMPRESSOR: Scroll Pipework</t>
  </si>
  <si>
    <t>- Suction Pipe Assy</t>
  </si>
  <si>
    <t>H/4+W/2+D/4</t>
  </si>
  <si>
    <t>ID</t>
  </si>
  <si>
    <t>FA(OD)</t>
  </si>
  <si>
    <t>FA(ID)</t>
  </si>
  <si>
    <t>FA(WT)</t>
  </si>
  <si>
    <t>kG/M</t>
  </si>
  <si>
    <t>1 1/8 x 1.2</t>
  </si>
  <si>
    <t>1 3/8 x 1.2</t>
  </si>
  <si>
    <t>- Discharge Pipe Assy</t>
  </si>
  <si>
    <t>H/4+W+D/3</t>
  </si>
  <si>
    <t>7/8 x 0.9</t>
  </si>
  <si>
    <t>- Liquid Pipe Assy</t>
  </si>
  <si>
    <t>H/4+W+D/4</t>
  </si>
  <si>
    <t>1/2 x 0.8</t>
  </si>
  <si>
    <t>5/8 x 0.8</t>
  </si>
  <si>
    <t>3/4 x 0.9</t>
  </si>
  <si>
    <t>- Line Component Pipe Assy</t>
  </si>
  <si>
    <t>Pressure Switch Line 1/4": HiLo</t>
  </si>
  <si>
    <t>Pressure Switch</t>
  </si>
  <si>
    <t>1/4 x 0.6</t>
  </si>
  <si>
    <t>Pressure Gauge Line 1/4": HiLo</t>
  </si>
  <si>
    <t>Pressure Gauge</t>
  </si>
  <si>
    <t>Access Valve Line 1/4": HiLo</t>
  </si>
  <si>
    <t>Acess Valve</t>
  </si>
  <si>
    <t>COMPRESSOR: Scroll In Line Components</t>
  </si>
  <si>
    <t>- Suction Accummulator</t>
  </si>
  <si>
    <t>Airmende</t>
  </si>
  <si>
    <t>Airmender</t>
  </si>
  <si>
    <t>SL"</t>
  </si>
  <si>
    <t>OD"</t>
  </si>
  <si>
    <t>H"</t>
  </si>
  <si>
    <t>Rfg kG</t>
  </si>
  <si>
    <t>$/Pc</t>
  </si>
  <si>
    <t>A17-613</t>
  </si>
  <si>
    <t>RA211</t>
  </si>
  <si>
    <t>RA213</t>
  </si>
  <si>
    <t>A08-405</t>
  </si>
  <si>
    <t>RA221</t>
  </si>
  <si>
    <t>A09-506</t>
  </si>
  <si>
    <t>RA225</t>
  </si>
  <si>
    <t>A14-611</t>
  </si>
  <si>
    <t>- Filter Drier</t>
  </si>
  <si>
    <t>Danfoss</t>
  </si>
  <si>
    <t>LL"</t>
  </si>
  <si>
    <t>DML34s</t>
  </si>
  <si>
    <t>DML55s</t>
  </si>
  <si>
    <t>DML166s</t>
  </si>
  <si>
    <t>- Sight Glass</t>
  </si>
  <si>
    <t>SGN 12s</t>
  </si>
  <si>
    <t>SGN 16s</t>
  </si>
  <si>
    <t>SGN 18s</t>
  </si>
  <si>
    <t>- Suction Line Ball Valves</t>
  </si>
  <si>
    <t>GBC 28s</t>
  </si>
  <si>
    <t>GBC 42s</t>
  </si>
  <si>
    <t>GBC 35s</t>
  </si>
  <si>
    <t>- Discharge Line Ball Valves</t>
  </si>
  <si>
    <t>GBC 22s</t>
  </si>
  <si>
    <t>- Liquid Line Ball Valves</t>
  </si>
  <si>
    <t>GBC 12s</t>
  </si>
  <si>
    <t>GBC 16s</t>
  </si>
  <si>
    <t>GBC 18s</t>
  </si>
  <si>
    <t>OPTIONS: Semi Hermetic Compressor</t>
  </si>
  <si>
    <t>1. COMPRESSOR: Dorin R407c</t>
  </si>
  <si>
    <t>Dorin</t>
  </si>
  <si>
    <t>€ FOB</t>
  </si>
  <si>
    <t>7.5hp: H705CC</t>
  </si>
  <si>
    <t>H705</t>
  </si>
  <si>
    <t>10.0hp: H1002CC</t>
  </si>
  <si>
    <t>H1002</t>
  </si>
  <si>
    <t>12.5hp: H1201CC</t>
  </si>
  <si>
    <t>H1201</t>
  </si>
  <si>
    <t>15.0hp: H2001CC</t>
  </si>
  <si>
    <t>H2001</t>
  </si>
  <si>
    <t>- Compressor Accessories</t>
  </si>
  <si>
    <t>Oil Sump Heater</t>
  </si>
  <si>
    <t>Capacity Regulator</t>
  </si>
  <si>
    <t>Differential Oil Pressure Switch</t>
  </si>
  <si>
    <t>Special Marine Coating</t>
  </si>
  <si>
    <t>2. COMPRESSOR: Dorin R407c ExNa</t>
  </si>
  <si>
    <t>Dorin ExNa</t>
  </si>
  <si>
    <t>7.5hp: HEX705CC</t>
  </si>
  <si>
    <t>HEX705</t>
  </si>
  <si>
    <t>10.0hp: HEX1002CC</t>
  </si>
  <si>
    <t>HEX1002</t>
  </si>
  <si>
    <t>12.5hp: HEX1201CC</t>
  </si>
  <si>
    <t>HEX1201</t>
  </si>
  <si>
    <t>15.0hp: HEX2001CC</t>
  </si>
  <si>
    <t>HEX2001</t>
  </si>
  <si>
    <t>COMPRESSOR: SH Recip Pipework</t>
  </si>
  <si>
    <t>7.5hp: H705CC/ HEX705CC</t>
  </si>
  <si>
    <t>3/4 x 0.8</t>
  </si>
  <si>
    <t>10.0hp: H1002CC/ HEX1002CC</t>
  </si>
  <si>
    <t>12.5hp: H1201CC/ HEX1201CC</t>
  </si>
  <si>
    <t>15.0hp: H2001CC/ HEX2001CC</t>
  </si>
  <si>
    <t>3/8 x 0.6</t>
  </si>
  <si>
    <t>COMPRESSOR: SH Recip In Line Components</t>
  </si>
  <si>
    <t>A08-304</t>
  </si>
  <si>
    <t>RA215</t>
  </si>
  <si>
    <t>RA231</t>
  </si>
  <si>
    <t>Danfoss/Castel</t>
  </si>
  <si>
    <t>DML33s</t>
  </si>
  <si>
    <t>4411/9A</t>
  </si>
  <si>
    <t>4490/AA-1</t>
  </si>
  <si>
    <t>4412/7A</t>
  </si>
  <si>
    <t>4490/AA-2</t>
  </si>
  <si>
    <t>4412/9A</t>
  </si>
  <si>
    <t>SGN 10s / SGP6s</t>
  </si>
  <si>
    <t>SGN 12s / SGP10s</t>
  </si>
  <si>
    <t>GBC 67s</t>
  </si>
  <si>
    <t>GBC 79s</t>
  </si>
  <si>
    <t>- Suction Vibration Absorber Pipe</t>
  </si>
  <si>
    <t>Castel</t>
  </si>
  <si>
    <t>7690/9-1 1/8 x 330</t>
  </si>
  <si>
    <t>7690/17</t>
  </si>
  <si>
    <t>2 1/8 x 510</t>
  </si>
  <si>
    <t>7690/11-1 3/8 x 375</t>
  </si>
  <si>
    <t>7690/24</t>
  </si>
  <si>
    <t>3 x 690</t>
  </si>
  <si>
    <t>7690/25</t>
  </si>
  <si>
    <t>3 1/8 x 710</t>
  </si>
  <si>
    <t>7690/13-1 5/8 x 430</t>
  </si>
  <si>
    <t>7690/34</t>
  </si>
  <si>
    <t>4 1/4 x 710</t>
  </si>
  <si>
    <t>- Discharge Vibration Absorber Pipe</t>
  </si>
  <si>
    <t>7690/7-7/8 x 290</t>
  </si>
  <si>
    <t>ELECTRICAL: Protection Device</t>
  </si>
  <si>
    <t>- Phase Protection: Phase &amp; Over Volatge Relay</t>
  </si>
  <si>
    <t>Relay, Phase Failure : Saturn 90C.F021.CTT.SX.001</t>
  </si>
  <si>
    <t>- Contactor Protection: Compressor</t>
  </si>
  <si>
    <t>Contactor</t>
  </si>
  <si>
    <t>LA</t>
  </si>
  <si>
    <t>Syneider</t>
  </si>
  <si>
    <t>7.5hp: ZR94/H705</t>
  </si>
  <si>
    <t>10.0hp: ZR125/H1002</t>
  </si>
  <si>
    <t>12.5hp: ZR144H1201</t>
  </si>
  <si>
    <t>15.0hp: ZR190/H2001</t>
  </si>
  <si>
    <t>- Overload Protection: Compressor</t>
  </si>
  <si>
    <t>Overload</t>
  </si>
  <si>
    <t>Range</t>
  </si>
  <si>
    <t>E18_38</t>
  </si>
  <si>
    <t>8_19</t>
  </si>
  <si>
    <t>12.0_18.0</t>
  </si>
  <si>
    <t>E28_38</t>
  </si>
  <si>
    <t>13_19</t>
  </si>
  <si>
    <t>23.0_32.0</t>
  </si>
  <si>
    <t>E40_65A</t>
  </si>
  <si>
    <t>22_37</t>
  </si>
  <si>
    <t>30.0_40.0</t>
  </si>
  <si>
    <t>E65A</t>
  </si>
  <si>
    <t>48.0_65.0</t>
  </si>
  <si>
    <t>- Contactor Protection: Fan Motor</t>
  </si>
  <si>
    <t>Axial Fan OD630</t>
  </si>
  <si>
    <t>Axial Fan OD710</t>
  </si>
  <si>
    <t>- Overload Protection: Fan Motor</t>
  </si>
  <si>
    <t>E06_38</t>
  </si>
  <si>
    <t>2_19</t>
  </si>
  <si>
    <t>4.00_6.00</t>
  </si>
  <si>
    <t>5.50_8.00</t>
  </si>
  <si>
    <t>- Pressure Protection: Switch, Gauge</t>
  </si>
  <si>
    <t>Pressure Instruments, Refrigerant : HLPS KP15</t>
  </si>
  <si>
    <t>Pressure Instruments, Refrigerant : HPS KP5</t>
  </si>
  <si>
    <t>Pressure Switch Hi : H20PS - 350psig Off / 275psig On</t>
  </si>
  <si>
    <t>Pressure Instruments, Refrigerant : LPS KP1</t>
  </si>
  <si>
    <t>Pressure Switch Lo : H20PS - 30psig Off / 45psig On</t>
  </si>
  <si>
    <t>Pressure Instruments, Refrigerant : HPS , Cartridge (1.24 Bar)</t>
  </si>
  <si>
    <t>ACB-2UA571W (SEP) $6.69 / DMID $2.85; 2.41Mpa Off/1.9Mpa In</t>
  </si>
  <si>
    <t>Pressure Instruments, Refrigerant : LPS , Cartridge (1.24 Bar)</t>
  </si>
  <si>
    <t>ACB-2TB07W (SEP) $6.69 / DMID $2.70 ; 0.2Mpa Off/0.3Mpa In</t>
  </si>
  <si>
    <t>Pressure Instruments, Refrigerant : High Pressure Gauge</t>
  </si>
  <si>
    <t>Pressure Gauge, Hi : 76cmHg-15kg/cm2 (30-200psi)</t>
  </si>
  <si>
    <t>Pressure Instruments, Refrigerant : Low Pressure Gauge</t>
  </si>
  <si>
    <t>Pressure Gauge, Lo : 76cmHg-15kg/cm2 (30-200psi)</t>
  </si>
  <si>
    <t>ELECTRICAL: Junction Box &amp; Terminal Accessories</t>
  </si>
  <si>
    <t>- Junction Box: Box &amp; Accessories</t>
  </si>
  <si>
    <t>Non EeX</t>
  </si>
  <si>
    <t>30A/4P/600V; T3019-1-4P-CL0</t>
  </si>
  <si>
    <t>60A/4P/600V; T3011-1-4P-CL0</t>
  </si>
  <si>
    <t>- Wiring: Terminals-Ring</t>
  </si>
  <si>
    <t>Terminal, Ring 1.5/4 : Cable 0.5-1.5mm2/22-16AWG ; Ring M4</t>
  </si>
  <si>
    <t>Terminal, Ring 1.5/5 : Cable 0.5-1.5mm2/22-16AWG ; Ring M5</t>
  </si>
  <si>
    <t>Terminal, Ring 1.5/6 : Cable 0.5-1.5mm2/22-16AWG ; Ring M6</t>
  </si>
  <si>
    <t>Terminal, Ring 2.5/4 : Cable 1.5-2.5mm2/16-14AWG ; Ring M4</t>
  </si>
  <si>
    <t>Terminal, Ring 2.5/5 : Cable 1.5-2.5mm2/16-14AWG ; Ring M5</t>
  </si>
  <si>
    <t>Terminal, Ring 4-6/4 : Cable 4.0-6.0mm2/12-10AWG ; Ring M4</t>
  </si>
  <si>
    <t>Terminal, Ring 4-6/6 : Cable 4.0-6.0mm2/12-10AWG ; Ring M6</t>
  </si>
  <si>
    <t>Terminal, Ring 4-6/8 : Cable 4.0-6.0mm2/12-10AWG ; RingM8</t>
  </si>
  <si>
    <t>Terminal, Ring 10.0/6 : Cable 10mm2 ; Ring M6 ; Bud connection</t>
  </si>
  <si>
    <t>Terminal, Ring 10.0/10 : Cable 10mm2 ; Ring M10</t>
  </si>
  <si>
    <t>- Wiring: Terminals-Fork</t>
  </si>
  <si>
    <t xml:space="preserve">Terminal, Fork 1.5/4 : Cable 0.5-1.5mm2/22-16AWG ; Fork M4 </t>
  </si>
  <si>
    <t>Terminal, Fork 1.5/5 : Cable 1.25mm ; Fork M5 ; Bud connection</t>
  </si>
  <si>
    <t xml:space="preserve">Terminal, Fork 2.5/4 : Cable 1.5-2.5mm2/16-14AWG ; Fork M4 </t>
  </si>
  <si>
    <t>Terminal, Fork 2.5/5 : Cable 1.5-2.5mm2/16-14AWG ; Fork M5</t>
  </si>
  <si>
    <t>Terminal, Fork 6.0/4 : Cable 2.5-6.0mm2/12-10AWG ; Fork M4</t>
  </si>
  <si>
    <t>Terminal, Fork 6.0/6 : Cable 2.5-6.0mm2/12-10AWG ; Fork M6</t>
  </si>
  <si>
    <t>- Wiring: Terminals-Socket</t>
  </si>
  <si>
    <t>Terminal, Socket  1.5/6.3 : Cable 0.5-1.5mm2 ; Tab 0.8x6.3mm</t>
  </si>
  <si>
    <t>Terminal, Socket  2.5/4.8 : Cable 1.5-2.5mm2 ; Tab 0.5x4.8mm</t>
  </si>
  <si>
    <t>Terminal, Socket  2.5/6.3 : Cable 1.5-2.5mm2 ; Tab 0.8x6.3mm</t>
  </si>
  <si>
    <t>Terminal, Socket  6.0/6.3 : Cable 2.5-6.0mm2 ; Tab 0.8x6.3mm</t>
  </si>
  <si>
    <t>- Wiring: Terminals-Socket Flag</t>
  </si>
  <si>
    <t>Terminal, Socket-Flag 1.5/4.8 : Cable 0.5-1.5mm2; Tab 0.5x4.8mm</t>
  </si>
  <si>
    <t>Terminal, Socket-Flag 1.5/6.3 : Cable 0.5-1.5mm2; Tab 0.8x6.3mm</t>
  </si>
  <si>
    <t>Terminal, Socket-Flag 2.5/4.8 : Cable 1.5-2.5mm2; Tab 0.5x4.8mm</t>
  </si>
  <si>
    <t>Terminal, Socket-Flag 2.5/6.3 : Cable 1.5-2.5mm2; Tab 0.8x6.3mm</t>
  </si>
  <si>
    <t>- Wiring: Terminal Insulation- Sleeve</t>
  </si>
  <si>
    <t>Terminal Insulation, Sleeve Vinyl 1.25 : Clear ; Cable 1.25mm2</t>
  </si>
  <si>
    <t>Terminal Insulation, Sleeve Vinyl 1.5 : Clear ; Cable 2.0mm2</t>
  </si>
  <si>
    <t>Terminal Insulation, Sleeve Vinyl 2.5 : Clear ; Cable 2.5mm2</t>
  </si>
  <si>
    <t>Terminal Insulation, Sleeve Vinyl 4.0 : Clear ; Cable 4.0mm2</t>
  </si>
  <si>
    <t>Terminal Insulation, Sleeve Vinyl 6.0 : Clear ; Cable 6.0mm2</t>
  </si>
  <si>
    <t>Terminal Insulation, Sleeve Vinyl 8.0 : Clear ; Cable 8.0mm2</t>
  </si>
  <si>
    <t>- Wiring: Terminal Insulation- Socket</t>
  </si>
  <si>
    <t>Terminal Insulation, Socket Vinyl 1.25/6.3 : Clear ; S1.25/6.3</t>
  </si>
  <si>
    <t>Terminal Insulation, Socket Vinyl 1.5/4.8 : Clear ; S1.5/4.8</t>
  </si>
  <si>
    <t>Terminal Insulation, Socket Vinyl 1.5/6.3 : Clear ; S1.5/6.3</t>
  </si>
  <si>
    <t>Terminal Insulation, Socket Vinyl 2.5/4.8 : Clear ; S2.5/4.8</t>
  </si>
  <si>
    <t>Terminal Insulation, Socket Vinyl 2.5/6.3 : Clear ; S2.5/6.3</t>
  </si>
  <si>
    <t>Terminal Insulation, Socket Vinyl 4.0/4.8 : Clear ; S4.0/4.8</t>
  </si>
  <si>
    <t>Terminal Insulation, Socket Vinyl 4.0/6.3 : Clear ; S4.0/6.3</t>
  </si>
  <si>
    <t>- Wiring: Terminal Insulation- Socket Flag</t>
  </si>
  <si>
    <t>Terminal Insulation, Flag Socket Vinyl 1.5/4.8 : Clear ; S1.5/4.8</t>
  </si>
  <si>
    <t>Terminal Insulation, Flag Socket Vinyl 1.5/6.3 : Clear ; S1.5/6.3</t>
  </si>
  <si>
    <t>Terminal Insulation, Flag Socket Vinyl 2.5/4.8 : Clear ; S2.5/4.8</t>
  </si>
  <si>
    <t>Terminal Insulation, Flag Socket Vinyl 2.5/6.3 : Clear ; S2.5/6.3</t>
  </si>
  <si>
    <t>OPTIONS: Cable Harness Assembly</t>
  </si>
  <si>
    <t>ELECTRICAL: Single Core 1C Cable Assy</t>
  </si>
  <si>
    <t>Wiring: Cable 1 Core</t>
  </si>
  <si>
    <t>- Cable, Compressor: NYA 1C</t>
  </si>
  <si>
    <t>H + W/2 + D/2</t>
  </si>
  <si>
    <t>Supreme</t>
  </si>
  <si>
    <t>4X</t>
  </si>
  <si>
    <t>NYA 1C</t>
  </si>
  <si>
    <t>NYY 1C</t>
  </si>
  <si>
    <t>NYY 3C</t>
  </si>
  <si>
    <t>7.5hp ZR94/H705</t>
  </si>
  <si>
    <t>NYA 1C/1.50 x 4</t>
  </si>
  <si>
    <t>1C/1.50</t>
  </si>
  <si>
    <t>35.0mm2</t>
  </si>
  <si>
    <t>10.0hp ZR125/H1002</t>
  </si>
  <si>
    <t>NYA 1C/2.50 x 4</t>
  </si>
  <si>
    <t>1C/2.50</t>
  </si>
  <si>
    <t>0.75mm2</t>
  </si>
  <si>
    <t>12.5hp ZR144H1201</t>
  </si>
  <si>
    <t>1.25mm2</t>
  </si>
  <si>
    <t>15.0hp ZR190/H2001</t>
  </si>
  <si>
    <t>NYA 1C/4.00 x 4</t>
  </si>
  <si>
    <t>1C/4.0</t>
  </si>
  <si>
    <t>2.50mm2</t>
  </si>
  <si>
    <t>- Cable, Fan Motor: NYA 1C</t>
  </si>
  <si>
    <t>H/4 + W/2 + D/2</t>
  </si>
  <si>
    <t>3X</t>
  </si>
  <si>
    <t>Axial Fan 630</t>
  </si>
  <si>
    <t>NYA 1C/0.75 x 3</t>
  </si>
  <si>
    <t>Axial Fan 710</t>
  </si>
  <si>
    <t>- Cable, CC Heater: NYA 1C</t>
  </si>
  <si>
    <t>1X</t>
  </si>
  <si>
    <t>2X</t>
  </si>
  <si>
    <t>CC Heater Compressor 7.5-15hp</t>
  </si>
  <si>
    <t>NYA 1C/0.75 x 2</t>
  </si>
  <si>
    <t>2C/0.75</t>
  </si>
  <si>
    <t>- Cable, HPLP Switch: NYA 1C</t>
  </si>
  <si>
    <t>HPLP Switch</t>
  </si>
  <si>
    <t>HP Switch</t>
  </si>
  <si>
    <t>LP Switch</t>
  </si>
  <si>
    <t>Wiring: Harness Assy</t>
  </si>
  <si>
    <t>- Cable Tube Black, Compressor: NYA 1C x 4</t>
  </si>
  <si>
    <t>Tube Black</t>
  </si>
  <si>
    <t>Rp FOB</t>
  </si>
  <si>
    <t>Range(4X)</t>
  </si>
  <si>
    <t>Range(3X)</t>
  </si>
  <si>
    <t>Range(2X)</t>
  </si>
  <si>
    <t>1.0-7.5hp: 1C/1.50 x 4</t>
  </si>
  <si>
    <t>12(1/2")</t>
  </si>
  <si>
    <t>0.75-1.50</t>
  </si>
  <si>
    <t>0.75-2.50</t>
  </si>
  <si>
    <t>0.75-10.0</t>
  </si>
  <si>
    <t>9.0-13.0hp: 1C/2.50 x 4</t>
  </si>
  <si>
    <t>15(5/8")</t>
  </si>
  <si>
    <t>14(5/8")</t>
  </si>
  <si>
    <t>1.50-2.50</t>
  </si>
  <si>
    <t>4.00-6.00</t>
  </si>
  <si>
    <t>10.0-16.0</t>
  </si>
  <si>
    <t>15.0hp: 1C/4.0 x 4</t>
  </si>
  <si>
    <t>20(3/4")</t>
  </si>
  <si>
    <t>1C/4.00</t>
  </si>
  <si>
    <t>25.0-35.0</t>
  </si>
  <si>
    <t>- Cable Fastening, Compressor</t>
  </si>
  <si>
    <t>Connector bud CE-2 : 2.5mmID x OD 10mm x 27mm</t>
  </si>
  <si>
    <t>#100</t>
  </si>
  <si>
    <t>0.75-25.0</t>
  </si>
  <si>
    <t>0.75-35.0</t>
  </si>
  <si>
    <t>Connector bud CE-5 : 5.0mmID x OD 10mm x 27mm</t>
  </si>
  <si>
    <t>#150</t>
  </si>
  <si>
    <t>16.0-35.0</t>
  </si>
  <si>
    <t>1.0-30.0hp: 1C/0.75-10.0 x 4</t>
  </si>
  <si>
    <t>T5x100x2.5mm</t>
  </si>
  <si>
    <t>#200</t>
  </si>
  <si>
    <t>- Cable Tube Black, Fan Motor: NYA 1C x 3</t>
  </si>
  <si>
    <t>1C/16.0</t>
  </si>
  <si>
    <t>1C/25.0</t>
  </si>
  <si>
    <t>- Cable Fastening, Fan Motor</t>
  </si>
  <si>
    <t>Cable Tie</t>
  </si>
  <si>
    <t>Axial Fan 400-800</t>
  </si>
  <si>
    <t>ELECTRICAL: Multi Core 4C Cable Assy</t>
  </si>
  <si>
    <t>Wiring: Cable 4 Core</t>
  </si>
  <si>
    <t>- Cable, Compressor: NYY 4C</t>
  </si>
  <si>
    <t>NYY 4C/1.50</t>
  </si>
  <si>
    <t>4C/1.50</t>
  </si>
  <si>
    <t>NYY 4C/2.50</t>
  </si>
  <si>
    <t>4C/2.50</t>
  </si>
  <si>
    <t>NYY 4C/4.00</t>
  </si>
  <si>
    <t>4C/4.00</t>
  </si>
  <si>
    <t>- Cable Gland, Compressor: NYY 4C</t>
  </si>
  <si>
    <t>KSS</t>
  </si>
  <si>
    <t>7.5hp ZR94/H705 NYY 4C/1.50</t>
  </si>
  <si>
    <t>EG-16</t>
  </si>
  <si>
    <t>EG-36</t>
  </si>
  <si>
    <t>22-32</t>
  </si>
  <si>
    <t>EG-19</t>
  </si>
  <si>
    <t>12-16</t>
  </si>
  <si>
    <t>10.0hp ZR125/H1002 NYY 4C/2.50</t>
  </si>
  <si>
    <t>EG-48</t>
  </si>
  <si>
    <t>34-44</t>
  </si>
  <si>
    <t>EG-7</t>
  </si>
  <si>
    <t>3.5-6</t>
  </si>
  <si>
    <t>12.5hp ZR144H1201 NYY 4C/2.50</t>
  </si>
  <si>
    <t>EG-9</t>
  </si>
  <si>
    <t>4.0-8</t>
  </si>
  <si>
    <t>15.0hp ZR190/H2001 NYY 4C/4.0</t>
  </si>
  <si>
    <t>EG-21</t>
  </si>
  <si>
    <t>EG-13.5</t>
  </si>
  <si>
    <t>6-12</t>
  </si>
  <si>
    <t>- Cable, Fan Motor: NYY 3C</t>
  </si>
  <si>
    <t>NYY 3C/0.75</t>
  </si>
  <si>
    <t>3C/0.75</t>
  </si>
  <si>
    <t>- Cable Gland, Fan Motor: NYY 3C</t>
  </si>
  <si>
    <t>Axial Fan 400_800 NYY 3C/0.75</t>
  </si>
  <si>
    <t>- Cable, CC Heater: NYY 2C</t>
  </si>
  <si>
    <t>NYY 2C/0.75</t>
  </si>
  <si>
    <t>- Cable Gland, CC Heater: NYY 2C</t>
  </si>
  <si>
    <t>CC Heater Compressor 1.8-30hp NYY 2C/0.75</t>
  </si>
  <si>
    <t>- Cable, HPLP Switch: NYY 2C</t>
  </si>
  <si>
    <t>- Cable Gland, HPLP Switchd: NYY 2C</t>
  </si>
  <si>
    <t>HPLP Compressor 1.8-30hp NYY 2C/0.75</t>
  </si>
  <si>
    <t>ASSEMBLY: Fastener</t>
  </si>
  <si>
    <t>Bolt, Hex M08 x 45mm</t>
  </si>
  <si>
    <t>Nut, Hex M08</t>
  </si>
  <si>
    <t>Washer, Spring M08</t>
  </si>
  <si>
    <t>Washer, Flat M08 x 11/32" x 29/32"</t>
  </si>
  <si>
    <t>Bolt, Hex M08 x 20mm</t>
  </si>
  <si>
    <t>Bolt, Hex M06 x 20mm</t>
  </si>
  <si>
    <t>Nut, Hex M06</t>
  </si>
  <si>
    <t>Washer, Spring M06</t>
  </si>
  <si>
    <t>Washer, Flat M06 x 9/32" x 15/16"</t>
  </si>
  <si>
    <t xml:space="preserve">Bolt, Countersunk M06 x 25mm </t>
  </si>
  <si>
    <t>Nut, Insert M06</t>
  </si>
  <si>
    <t>Screw, ST TH #08 (M04) x 3/4" (20mm)</t>
  </si>
  <si>
    <t>Screw, ST TH #10 (M05) x 3/8" (10mm)</t>
  </si>
  <si>
    <t>Screw, ST TH #10 (M05) x 1/2" (15mm)</t>
  </si>
  <si>
    <t>Screw, ST TH #10 (M05) x 5/8" (20mm)</t>
  </si>
  <si>
    <t>Screw, ST TH #10 (M05) x 1" (25mm)</t>
  </si>
  <si>
    <t>Screw, ST WH #8 (M04) x 16mm</t>
  </si>
  <si>
    <t>Screw, PH #08 (M04) x 1/2" (15mm)</t>
  </si>
  <si>
    <t>Screw, PH #08 (M04) x 1" (25mm)</t>
  </si>
  <si>
    <t>Screw, PH #10 (M05) x 1 1/4" (35mm)</t>
  </si>
  <si>
    <t>Screw, Wood - 3/8" x 1.5"</t>
  </si>
  <si>
    <t>Rivet, Blind #435 : 3mmOD, 1000pc/box</t>
  </si>
  <si>
    <t>Knob - M6 x 35mm</t>
  </si>
  <si>
    <t>Handle, Recessed : SRL-0102/HC-001</t>
  </si>
  <si>
    <t>Spacer, Isolator - 1/2" x 10mm</t>
  </si>
  <si>
    <t>ASSEMBLY: Labeling</t>
  </si>
  <si>
    <t>Label, Identity - Logo/Nameplate 1.2T-120W-50H x SUS304/316L</t>
  </si>
  <si>
    <t>Label, Identity - Serial Number 1.2T-120W-150H x SUS304/316L</t>
  </si>
  <si>
    <t>Label, Identity - Logo/Nameplate Sticker Type</t>
  </si>
  <si>
    <t>Label, Identity - Serial Number Sticker Type</t>
  </si>
  <si>
    <t>Label, Identity - Packing/Carton Sticker</t>
  </si>
  <si>
    <t>Label, User Caution - High Voltage Caution</t>
  </si>
  <si>
    <t>Label, User Caution - Fan Moving Caution</t>
  </si>
  <si>
    <t>Label, User Caution - High Temperature Caution</t>
  </si>
  <si>
    <t>Label, User Caution - Pressurized Holding Charge</t>
  </si>
  <si>
    <t>Label, User Caution - Warning, Electric Shock</t>
  </si>
  <si>
    <t>Label, User Caution - Warning, Inspection Power Off</t>
  </si>
  <si>
    <t>Label, User Instruction - IOM</t>
  </si>
  <si>
    <t>Label, User Instruction - Wiring Diagram</t>
  </si>
  <si>
    <t>Label, User Instruction - System Installation</t>
  </si>
  <si>
    <t>Label, User Instruction - TXV Installation</t>
  </si>
  <si>
    <t>Label, User Instruction - Controls Installation</t>
  </si>
  <si>
    <t xml:space="preserve">Label, User Instruction - Hi/Lo Pressure Switch </t>
  </si>
  <si>
    <t>Label, User Instruction - IN/OUT Circuit</t>
  </si>
  <si>
    <t>Label, User Instruction - Grounding</t>
  </si>
  <si>
    <t>Tag, Inspection : SO &amp; Unit Spec</t>
  </si>
  <si>
    <t>Tag, Inspection - QC Coil Leak Pas</t>
  </si>
  <si>
    <t>Tag, Inspection - QC Coil Circuit Pass</t>
  </si>
  <si>
    <t>Tag, Inspection - QC Unit Pipe Leak Pass</t>
  </si>
  <si>
    <t>Tag, Inspection - QC Unit Current Leak/HiPot Pass</t>
  </si>
  <si>
    <t>Tag, Inspection - QC Unit Pulley Alignment Pass</t>
  </si>
  <si>
    <t>Tag, Inspection - QC Unit Fan Run Pass</t>
  </si>
  <si>
    <t>Tag, Inspection - QC Unit Compressor Run Pass</t>
  </si>
  <si>
    <t>Tag, Inspection - QC Unit Final Assy Pass</t>
  </si>
  <si>
    <t>ASSEMBLY: Crating</t>
  </si>
  <si>
    <t>Stretch Film SF 0.017mmT x 0.5mW x 100mL (H x W/D)</t>
  </si>
  <si>
    <t>Stretch Film SF 0.017mmT x 0.5mW x 100mL</t>
  </si>
  <si>
    <t>Stretch Film SF 0.017mmT x 0.5mW x 100mL (D x H/W)</t>
  </si>
  <si>
    <t>Nails, Crating Packing</t>
  </si>
  <si>
    <t>Nails, 5cm</t>
  </si>
  <si>
    <t>Wooden Crate</t>
  </si>
  <si>
    <t>PROVISION: Refrigerant Charge</t>
  </si>
  <si>
    <t>Provision for R407c Charge</t>
  </si>
  <si>
    <t>Refrigerant : R407C, 13.6kg Can (10kG)</t>
  </si>
  <si>
    <t>PROVISION: Subcon &amp; Fastening</t>
  </si>
  <si>
    <t>Provision for Sheet Metal Fabrication</t>
  </si>
  <si>
    <t>Provision for Fasteners</t>
  </si>
  <si>
    <t>PROVISION: Operating Supplies</t>
  </si>
  <si>
    <t>Provision for Abrasive Supplies</t>
  </si>
  <si>
    <t>Provision for Adhesive Supplies</t>
  </si>
  <si>
    <t>Provision for Cleaning Supplies</t>
  </si>
  <si>
    <t>Provision for Coating Supplies</t>
  </si>
  <si>
    <t>Provision for Cutting Supplies</t>
  </si>
  <si>
    <t>Provision for Drill Supplies</t>
  </si>
  <si>
    <t>Provision for Packing Supplies</t>
  </si>
  <si>
    <t>Provision for Protective Wear Supplies</t>
  </si>
  <si>
    <t>Provision for Tape Supplies</t>
  </si>
  <si>
    <t>Provision for Vessel Bit Supplies</t>
  </si>
  <si>
    <t>Provision for Welding Supplies</t>
  </si>
  <si>
    <t>PROVISON: Tests &amp; Certification</t>
  </si>
  <si>
    <t>Provision for Skid Analysis: Loading Plan/Lifting Plan/Anchor Plan</t>
  </si>
  <si>
    <t>Provision for Welder Certification &amp; WPS</t>
  </si>
  <si>
    <t>Provision for NDT: WPE &amp; MPT</t>
  </si>
  <si>
    <t>Provision for NDT: Load Test</t>
  </si>
  <si>
    <t>Provision for ATEX Certification</t>
  </si>
  <si>
    <t>Unit Weight (kG) / Unit Cost (USD)</t>
  </si>
  <si>
    <t>Fee 5%</t>
  </si>
  <si>
    <t>V-BELT SPA</t>
  </si>
  <si>
    <t>Access Door</t>
  </si>
  <si>
    <r>
      <t>ThermalTrue</t>
    </r>
    <r>
      <rPr>
        <b/>
        <sz val="18"/>
        <color rgb="FFFF0000"/>
        <rFont val="Calibri"/>
        <family val="2"/>
      </rPr>
      <t>®</t>
    </r>
  </si>
  <si>
    <t>FOREX</t>
  </si>
  <si>
    <t>JPY</t>
  </si>
  <si>
    <t>COIL GEOMETRY</t>
  </si>
  <si>
    <t>mmT-T</t>
  </si>
  <si>
    <t>mmR-R</t>
  </si>
  <si>
    <t>Fin WT</t>
  </si>
  <si>
    <t>LWC WT</t>
  </si>
  <si>
    <t>EP WT</t>
  </si>
  <si>
    <t>RW</t>
  </si>
  <si>
    <t>WF (Fin)</t>
  </si>
  <si>
    <t>WF (LWC)</t>
  </si>
  <si>
    <t>WF (EP)</t>
  </si>
  <si>
    <t>SF</t>
  </si>
  <si>
    <r>
      <t>L</t>
    </r>
    <r>
      <rPr>
        <b/>
        <vertAlign val="subscript"/>
        <sz val="11"/>
        <color rgb="FF0000CC"/>
        <rFont val="Arial"/>
        <family val="2"/>
      </rPr>
      <t>hp</t>
    </r>
  </si>
  <si>
    <t>7mm</t>
  </si>
  <si>
    <t>7mmOD x 12R x 21.00 (T-T) x 18.19 (R-R) x 2P</t>
  </si>
  <si>
    <t>7mm+</t>
  </si>
  <si>
    <t>7mmOD x 12R x 22.00 (T-T) x 20.00 (R-R) x 2P</t>
  </si>
  <si>
    <t>3/8" x 12R x 25.00 (T-T) x 21.65 (R-R) x 2P</t>
  </si>
  <si>
    <t>3/8+</t>
  </si>
  <si>
    <t>3/8" x 12R x 25.40 (T-T) x 22.00 (R-R) x 2P</t>
  </si>
  <si>
    <t>1/2" x 8R x 31.75 (T-T) x 27.50 (R-R) x 1P</t>
  </si>
  <si>
    <t>5/8" x 6R x 38.10 (T-T) x 33.00 (R-R) x 1P</t>
  </si>
  <si>
    <t>3/4</t>
  </si>
  <si>
    <t>3/4" x 6R x 50.00 (T-T) x 43.30 (R-R) x 1P</t>
  </si>
  <si>
    <t>METAL STOCK</t>
  </si>
  <si>
    <t>MX</t>
  </si>
  <si>
    <t>Fab/Frt</t>
  </si>
  <si>
    <r>
      <t>$ U/C</t>
    </r>
    <r>
      <rPr>
        <b/>
        <vertAlign val="subscript"/>
        <sz val="11"/>
        <color rgb="FF0000CC"/>
        <rFont val="Arial"/>
        <family val="2"/>
      </rPr>
      <t>UoM</t>
    </r>
  </si>
  <si>
    <t>Rp/$</t>
  </si>
  <si>
    <r>
      <t>Rp U/C</t>
    </r>
    <r>
      <rPr>
        <b/>
        <vertAlign val="subscript"/>
        <sz val="11"/>
        <color rgb="FF0000CC"/>
        <rFont val="Arial"/>
        <family val="2"/>
      </rPr>
      <t>UoM</t>
    </r>
  </si>
  <si>
    <r>
      <t>U/W</t>
    </r>
    <r>
      <rPr>
        <b/>
        <vertAlign val="subscript"/>
        <sz val="11"/>
        <color rgb="FF0000CC"/>
        <rFont val="Arial"/>
        <family val="2"/>
      </rPr>
      <t>uom</t>
    </r>
  </si>
  <si>
    <t>GI-1.0</t>
  </si>
  <si>
    <t>MS0102-004-0-XX-2</t>
  </si>
  <si>
    <t>SGCC (GI) 1.0mm x 4' x 8' (8.07kG/m2)</t>
  </si>
  <si>
    <t>GI-1.2</t>
  </si>
  <si>
    <t>MS0102-005-0-XX-2</t>
  </si>
  <si>
    <t>SGCC (GI) 1.2mm x 4' x 8' (9.64kG/m2)</t>
  </si>
  <si>
    <t>GI-1.5</t>
  </si>
  <si>
    <t>MS0102-006-0-XX-2</t>
  </si>
  <si>
    <t>SGCC (GI) 1.5mm x 4' x 8' (12.00kG/m2)</t>
  </si>
  <si>
    <t>GI-2.0</t>
  </si>
  <si>
    <t>MS0102-007-0-XX-2</t>
  </si>
  <si>
    <t>SGCC (GI) 2.0mm x 4' x 8' (15.92kG/m2)</t>
  </si>
  <si>
    <t>GI-2.5</t>
  </si>
  <si>
    <t>MS0102-008-0-XX-2</t>
  </si>
  <si>
    <t>SGCC (GI) 2.5mm x 4' x 8' (19.85kG/m2)</t>
  </si>
  <si>
    <t>304-1.0</t>
  </si>
  <si>
    <t>MS0105-003-0-XX-2</t>
  </si>
  <si>
    <t>SUS304 1.0mm x 4' x 8' (7.93kG/m2)</t>
  </si>
  <si>
    <t>304-1.2</t>
  </si>
  <si>
    <t>MS0105-004-0-XX-2</t>
  </si>
  <si>
    <t>SUS304 1.2mm x 4' x 8' (9.52kG/m2)</t>
  </si>
  <si>
    <t>304-1.5</t>
  </si>
  <si>
    <t>MS0105-005-0-XX-2</t>
  </si>
  <si>
    <t>SUS304 1.5mm x 4' x 8' (11.90kG/m2)</t>
  </si>
  <si>
    <t>316-1.0</t>
  </si>
  <si>
    <t>MS0106-003-0-XX-2</t>
  </si>
  <si>
    <t>SUS316L 1.0mm x 4' x 8' (7.98kG/m2)</t>
  </si>
  <si>
    <t>316-1.2</t>
  </si>
  <si>
    <t>MS0106-004-0-XX-2</t>
  </si>
  <si>
    <t>SUS316L 1.2mm x 4' x 8' (9.58kG/m2)</t>
  </si>
  <si>
    <t>316-1.5</t>
  </si>
  <si>
    <t>MS0106-005-0-XX-2</t>
  </si>
  <si>
    <t>SUS316L 1.5mm x 4' x 8' (11.97kG/m2)</t>
  </si>
  <si>
    <t>Al-1.0</t>
  </si>
  <si>
    <t>MS0107-004-0-XX-2</t>
  </si>
  <si>
    <t>Al Sheet 1.2mm x 4' x 8' (3.24kG/m2)</t>
  </si>
  <si>
    <t>Al-1.5</t>
  </si>
  <si>
    <t>MS0107-005-0-XX-2</t>
  </si>
  <si>
    <t>Al Sheet 1.5mm x 4' x 8' (4.05kG/m2)</t>
  </si>
  <si>
    <t>Al-2.0</t>
  </si>
  <si>
    <t>MS0107-006-0-XX-2</t>
  </si>
  <si>
    <t>Al Sheet 2.0mm x 4' x 8' (5.40kG/m2)</t>
  </si>
  <si>
    <t>Brass-1.0</t>
  </si>
  <si>
    <t>MS0109-000-0-XX-2</t>
  </si>
  <si>
    <t>Brass 1.0mm x 1m2 x 8650kG/m3</t>
  </si>
  <si>
    <t>Brass-1.2</t>
  </si>
  <si>
    <t>MS0109-001-0-XX-2</t>
  </si>
  <si>
    <t>Brass 1.2mm x 1m x 2m</t>
  </si>
  <si>
    <t>Brass-1.5</t>
  </si>
  <si>
    <t>MS0109-002-0-XX-2</t>
  </si>
  <si>
    <t>Brass 1.5mm x 1m x 2m</t>
  </si>
  <si>
    <t>FIN STOCK</t>
  </si>
  <si>
    <t>AF-3/8 x 0.11</t>
  </si>
  <si>
    <t>CS0102-001-0-XX-3</t>
  </si>
  <si>
    <t>Al Fin 272mmRW : Plain 0.110mmT</t>
  </si>
  <si>
    <t>AF-1/2 x 0.11</t>
  </si>
  <si>
    <t>CS0102-002-0-XX-3</t>
  </si>
  <si>
    <t>Al Fin 230mmRW : Plain 0.110mmT</t>
  </si>
  <si>
    <t>AF-5/8 x 0.12</t>
  </si>
  <si>
    <t>CS0102-003-0-XX-3</t>
  </si>
  <si>
    <t>Al Fin 208mmRW : Plain 0.120mmT</t>
  </si>
  <si>
    <t>AF-3/8 x 0.14</t>
  </si>
  <si>
    <t>CS0102-004-0-XX-3</t>
  </si>
  <si>
    <t>Al Fin 272mmRW : Plain 0.140mmT</t>
  </si>
  <si>
    <t>AF-1/2 x 0.14</t>
  </si>
  <si>
    <t>CS0102-005-0-XX-3</t>
  </si>
  <si>
    <t>Al Fin 230mmRW : Plain 0.140mmT</t>
  </si>
  <si>
    <t>AF-5/8 x 0.14</t>
  </si>
  <si>
    <t>CS0102-006-0-XX-3</t>
  </si>
  <si>
    <t>Al Fin 208mmRW : Plain 0.140mmT</t>
  </si>
  <si>
    <t>BF-3/8 x 0.115</t>
  </si>
  <si>
    <t>CS0102-101-0-XX-3</t>
  </si>
  <si>
    <t>Al Blue Fin 272mmRW : 0.115mmT</t>
  </si>
  <si>
    <t>BF-1/2 x 0.115</t>
  </si>
  <si>
    <t>CS0102-102-0-XX-3</t>
  </si>
  <si>
    <t>Al Blue Fin 230mmRW : 0.115mmT</t>
  </si>
  <si>
    <t>BF-5/8 x 0.115</t>
  </si>
  <si>
    <t>CS0102-103-0-XX-3</t>
  </si>
  <si>
    <t>Al Blue Fin 208mmRW : 0.115mmT</t>
  </si>
  <si>
    <t>GF-3/8 x 0.115</t>
  </si>
  <si>
    <t>CS0102-201-0-XX-3</t>
  </si>
  <si>
    <t>Al Gold Fin 272mmRW : 0.115mmT</t>
  </si>
  <si>
    <t>GF-1/2 x 0.115</t>
  </si>
  <si>
    <t>CS0102-202-0-XX-3</t>
  </si>
  <si>
    <t>Al Gold Fin 230mmRW : 0.115mmT</t>
  </si>
  <si>
    <t>GF-5/8 x 0.115</t>
  </si>
  <si>
    <t>CS0102-203-0-XX-3</t>
  </si>
  <si>
    <t>Al Gold Fin 208mmRW : 0.115mmT</t>
  </si>
  <si>
    <t>CF-3/8 x 0.120</t>
  </si>
  <si>
    <t>CS0102-301-0-XX-3</t>
  </si>
  <si>
    <t>Cu Fin 272mmRW : Plain 0.120mmT</t>
  </si>
  <si>
    <t>CF-1/2 x 0.120</t>
  </si>
  <si>
    <t>CS0102-302-0-XX-3</t>
  </si>
  <si>
    <t>Cu Fin 230mmRW : Plain 0.120mmT</t>
  </si>
  <si>
    <t>CF-5/8 x 0.120</t>
  </si>
  <si>
    <t>CS0102-303-0-XX-3</t>
  </si>
  <si>
    <t>Cu Fin 208mmRW : Plain 0.120mmT</t>
  </si>
  <si>
    <t>LWC</t>
  </si>
  <si>
    <t>CuLWC-7mm x 0.30</t>
  </si>
  <si>
    <t>CS0101-001-0-XX-3</t>
  </si>
  <si>
    <t>Copper LWC Plain : 7.00Ø x 0.33T</t>
  </si>
  <si>
    <t>CuLWC-3/8 x 0.33</t>
  </si>
  <si>
    <t>CS0101-002-0-XX-3</t>
  </si>
  <si>
    <t>Copper LWC Plain : 9.52Ø x 0.33T</t>
  </si>
  <si>
    <t>CuLWC-1/2 x 0.34</t>
  </si>
  <si>
    <t>CS0101-003-0-XX-3</t>
  </si>
  <si>
    <t>Copper LWC Plain : 12.70Ø x 0.34T</t>
  </si>
  <si>
    <t>CuLWC-5/8 x 0.41</t>
  </si>
  <si>
    <t>CS0101-004-0-XX-3</t>
  </si>
  <si>
    <t>Copper LWC Plain : 15.87Ø x 0.41T</t>
  </si>
  <si>
    <t>U BEND / AGC RING</t>
  </si>
  <si>
    <t>UB-3/8</t>
  </si>
  <si>
    <t>CS0106-001-1-XX-2</t>
  </si>
  <si>
    <t>U Bend 3/8" (25p)</t>
  </si>
  <si>
    <t>UB-1/2</t>
  </si>
  <si>
    <t>CS0106-002-1-XX-2</t>
  </si>
  <si>
    <t>U Bend 1/2" (32p)</t>
  </si>
  <si>
    <t>UB-5/8</t>
  </si>
  <si>
    <t>CS0106-003-1-XX-2</t>
  </si>
  <si>
    <t>U Bend 5/8" (38p)</t>
  </si>
  <si>
    <t>BRAZING ALLOY</t>
  </si>
  <si>
    <t>Alloy-2%</t>
  </si>
  <si>
    <t>OS0301-003-0-XX-2</t>
  </si>
  <si>
    <t>Brazing Rod 2% x 55Pc/kG</t>
  </si>
  <si>
    <t>Alloy-35%</t>
  </si>
  <si>
    <t>OS0301-005-0-XX-2</t>
  </si>
  <si>
    <t>Brazing Rod 35% x 49Pc/kG</t>
  </si>
  <si>
    <t>Welding</t>
  </si>
  <si>
    <t>OS0302-001-0-XX-2</t>
  </si>
  <si>
    <t>Welding Rod : Steel RB 2.6; 5kg/packing</t>
  </si>
  <si>
    <t>BRAZING GASES</t>
  </si>
  <si>
    <t>OS0304-001-0-XX-2</t>
  </si>
  <si>
    <t>Industrial Gas, LPG : 6m3/150bar</t>
  </si>
  <si>
    <t>Cy</t>
  </si>
  <si>
    <t>OS0304-002-0-XX-2</t>
  </si>
  <si>
    <t>Industrial Gas, Oxygen : 6m3/150bar</t>
  </si>
  <si>
    <t>OS0304-003-0-XX-2</t>
  </si>
  <si>
    <t>Industrial Gas, Nitrogen : 6m3/150bar</t>
  </si>
  <si>
    <t>N2-Leak Test</t>
  </si>
  <si>
    <t>COATING SUPPLIES</t>
  </si>
  <si>
    <t>$/m2R</t>
  </si>
  <si>
    <t>OS0201-001-0-HE-3</t>
  </si>
  <si>
    <t>Heresite Phenolic VR514 (5USG Pail @ 4.442kG/USG)</t>
  </si>
  <si>
    <t>OS0201-002-0-HE-3</t>
  </si>
  <si>
    <t>Heresite Solvent S440 (Impala Super)</t>
  </si>
  <si>
    <t>OS0201-003-0-HE-3</t>
  </si>
  <si>
    <t>Heresite Polyurethane UC5504</t>
  </si>
  <si>
    <t>OS0201-004-0-HE-3</t>
  </si>
  <si>
    <t>Heresite Solvent S330</t>
  </si>
  <si>
    <t>WB506</t>
  </si>
  <si>
    <t>OS0201-005-0-HE-3</t>
  </si>
  <si>
    <t>Heresite Phenolic WB506 (5USG/4.442kG per Pail)</t>
  </si>
  <si>
    <t>L/m2</t>
  </si>
  <si>
    <t>Water</t>
  </si>
  <si>
    <t>Aeris AC</t>
  </si>
  <si>
    <t>OS0203-001-0-DM-3</t>
  </si>
  <si>
    <t>Aeris AG-CPB-5 (AUD$451.52 per 5Liter)</t>
  </si>
  <si>
    <t>Aeris AB</t>
  </si>
  <si>
    <t>OS0203-002-0-DM-3</t>
  </si>
  <si>
    <t>Aeris AG-CPB-5 (AUD$115.02 per 1.25Liter)</t>
  </si>
  <si>
    <t>TiO2</t>
  </si>
  <si>
    <t>OS0202-001-0-DM-3</t>
  </si>
  <si>
    <t>ECRA-DMT TiO2</t>
  </si>
  <si>
    <t>FAB COST</t>
  </si>
  <si>
    <t>Bend</t>
  </si>
  <si>
    <t>SC0101-001-0-XX-2</t>
  </si>
  <si>
    <t>Metal FabCharge : Shear/Bend GI &lt; 2.0mmT, S</t>
  </si>
  <si>
    <t>Punch</t>
  </si>
  <si>
    <t>SC0101-016-0-XX-2</t>
  </si>
  <si>
    <t>Metal FabCharge : Punch GI &lt; 2.0mmT</t>
  </si>
  <si>
    <t>SC0101-013-0-XX-2</t>
  </si>
  <si>
    <t>Metal FabCharge : Emboss 3/8", 1/2", 5/8"</t>
  </si>
  <si>
    <t>AGC-3/8</t>
  </si>
  <si>
    <t>CS0107-001-1-TT-2</t>
  </si>
  <si>
    <t>Silicon Ring 3/8"</t>
  </si>
  <si>
    <t>AGC-1/2</t>
  </si>
  <si>
    <t>CS0107-002-1-TT-2</t>
  </si>
  <si>
    <t>Silicon Ring 1/2"</t>
  </si>
  <si>
    <t>AGC-5/8</t>
  </si>
  <si>
    <t>CS0107-003-1-TT-2</t>
  </si>
  <si>
    <t>Silicon Ring 5/8"</t>
  </si>
  <si>
    <t>HEADER</t>
  </si>
  <si>
    <t>WT</t>
  </si>
  <si>
    <t>BS40-3/4</t>
  </si>
  <si>
    <t>CS0202-002-0-XX-2</t>
  </si>
  <si>
    <t>Steel Pipe, 3/4" ANSI Sch40 (25mm)</t>
  </si>
  <si>
    <t>BS40-1</t>
  </si>
  <si>
    <t>CS0202-003-0-XX-2</t>
  </si>
  <si>
    <t>Steel Pipe, 1" ANSI Sch40 (35mm)</t>
  </si>
  <si>
    <t>BS40-1 1/4</t>
  </si>
  <si>
    <t>CS0202-004-0-XX-2</t>
  </si>
  <si>
    <t>Steel Pipe, 1 1/4" ANSI Sch40 (40mm)</t>
  </si>
  <si>
    <t>BS40-1 1/2</t>
  </si>
  <si>
    <t>CS0202-005-0-XX-2</t>
  </si>
  <si>
    <t>Steel Pipe, 1 1/2" ANSI Sch40 (50mm)</t>
  </si>
  <si>
    <t>BS40-2</t>
  </si>
  <si>
    <t>CS0202-006-0-XX-2</t>
  </si>
  <si>
    <t>Steel Pipe, 2" ANSI Sch40 (65mm)</t>
  </si>
  <si>
    <t>BS40-2 1/2</t>
  </si>
  <si>
    <t>CS0202-007-0-XX-2</t>
  </si>
  <si>
    <t>Steel Pipe, 2 1/2" ANSI Sch40 (75mm)</t>
  </si>
  <si>
    <t>BS40-3</t>
  </si>
  <si>
    <t>CS0202-008-0-XX-2</t>
  </si>
  <si>
    <t>Steel Pipe, 3" ANSI Sch40 (80mm)</t>
  </si>
  <si>
    <t>BS40-3 1/2</t>
  </si>
  <si>
    <t>CS0202-009-0-XX-2</t>
  </si>
  <si>
    <t>Steel Pipe, 3 1/2" ANSI Sch40 (100mm)</t>
  </si>
  <si>
    <t>BS40-4</t>
  </si>
  <si>
    <t>Steel Pipe, 4" ANSI Sch40 (115mm)</t>
  </si>
  <si>
    <t>BS40-5</t>
  </si>
  <si>
    <t>CS0202-010-0-XX-2</t>
  </si>
  <si>
    <t>Steel Pipe, 5" ANSI Sch40 (140mm)</t>
  </si>
  <si>
    <t>CuCWC-7/8</t>
  </si>
  <si>
    <t>CS0203-001-0-XX-2</t>
  </si>
  <si>
    <t>Cu Header Pipe, 22mmOD (7/8" x 0.9T x 0.531kG/m)</t>
  </si>
  <si>
    <t>CuCWC-1 1/8</t>
  </si>
  <si>
    <t>CS0203-002-0-XX-2</t>
  </si>
  <si>
    <t>Cu Header Pipe, 28mmOD (1 1/8" x 0.9T x 0.682kG/m)</t>
  </si>
  <si>
    <t>CuCWC-1 3/8</t>
  </si>
  <si>
    <t>CS0203-003-0-XX-2</t>
  </si>
  <si>
    <t>Cu Header Pipe, 35mmOD (1 3/8" x 1.2T x 1.134kG/m)</t>
  </si>
  <si>
    <t>CuCWC-1 5/8</t>
  </si>
  <si>
    <t>CS0203-004-0-XX-2</t>
  </si>
  <si>
    <t>Cu Header Pipe, 42mmOD (1 5/8" x 1.2T x 1.369kG/m)</t>
  </si>
  <si>
    <t>CuCWC-2 1/8</t>
  </si>
  <si>
    <t>CS0203-005-0-XX-2</t>
  </si>
  <si>
    <t>Cu Header Pipe, 54mmOD (2 1/8" x 1.2T x 1.772kG/m)</t>
  </si>
  <si>
    <t>CuCWC-2 5/8</t>
  </si>
  <si>
    <t>CS0203-006-0-XX-2</t>
  </si>
  <si>
    <t>Cu Header Pipe, 67mmOD (2 5/8" x 1.5T x 2.747kG/m)</t>
  </si>
  <si>
    <t>CuCWC-3 3/8</t>
  </si>
  <si>
    <t>CS0203-009-0-XX-2</t>
  </si>
  <si>
    <t>Cu Header Pipe, 85mmOD (3 3/8" x 1.5T x 3.125kG/m)</t>
  </si>
  <si>
    <t>CuCWC-4 3/8</t>
  </si>
  <si>
    <t>CS0203-010-0-XX-2</t>
  </si>
  <si>
    <t>Cu Header Pipe, 108mmOD (4 3/8" x 1.5T x 4.467kG/m)</t>
  </si>
  <si>
    <t>CuCWC-5 3/8</t>
  </si>
  <si>
    <t>CS0203-011-0-XX-2</t>
  </si>
  <si>
    <t>Cu Header Pipe, 133mmOD (5 3/8" x 1.5T x 5.515kG/m)</t>
  </si>
  <si>
    <t>CuDX/ACC-7/8</t>
  </si>
  <si>
    <t>CS0205-101-0-XX-3</t>
  </si>
  <si>
    <t>Cu SA, 7/8" x 1.20mmT x 4m x 2.823kG/Lg</t>
  </si>
  <si>
    <t>CuDX/ACC-1</t>
  </si>
  <si>
    <t>CS0205-102-0-XX-3</t>
  </si>
  <si>
    <t>Cu SA, 1" x 1.20mmT x 4m x 3.249kG/Lg</t>
  </si>
  <si>
    <t>CuDX/ACC-1 1/8</t>
  </si>
  <si>
    <t>CS0205-103-0-XX-3</t>
  </si>
  <si>
    <t>Cu SA, 1 1/8" x 1.40mmT x 4m x 4.257kG/Lg</t>
  </si>
  <si>
    <t>CuDX/ACC-1 3/8</t>
  </si>
  <si>
    <t>CS0205-104-0-XX-3</t>
  </si>
  <si>
    <t>Cu SA, 1 3/8" x 1.40mmT x 4m x 5.251kG/Lg</t>
  </si>
  <si>
    <t>CuDX/ACC-1 5/8</t>
  </si>
  <si>
    <t>CS0205-105-0-XX-3</t>
  </si>
  <si>
    <t>Cu SA, 1 5/8" x 1.40mmT x 4m x 6.246kG/Lg</t>
  </si>
  <si>
    <t>CuDX/ACC-1 7/8</t>
  </si>
  <si>
    <t>CS0205-106-0-XX-3</t>
  </si>
  <si>
    <t>Cu SA, 1 7/8" x 1.40mmT x 4m x 7.241kG/Lg</t>
  </si>
  <si>
    <t>CuDX/ACC-2</t>
  </si>
  <si>
    <t>CS0205-107-0-XX-3</t>
  </si>
  <si>
    <t>Cu SA, 2" x 1.40mmT x 4m x 7.738kG/Lg</t>
  </si>
  <si>
    <t>CuDX/ACC-2 1/8</t>
  </si>
  <si>
    <t>CS0205-108-0-XX-3</t>
  </si>
  <si>
    <t>Cu SA, 2 1/8" x 1.40mmT x 4m x 8.235kG/Lg</t>
  </si>
  <si>
    <t>CuDX/ACC-3/16</t>
  </si>
  <si>
    <t>CS0204-001-0-XX-3</t>
  </si>
  <si>
    <t>Cu Pancake, 3/16" x 0.45mmT x 30m x 1.628kG/Roll</t>
  </si>
  <si>
    <t>CuDX/ACC-1/4</t>
  </si>
  <si>
    <t>CS0204-002-0-XX-3</t>
  </si>
  <si>
    <t>Cu Pancake, 1/4" x 0.71mmT x 15m x 1.680kG/Roll</t>
  </si>
  <si>
    <t>CuDX/ACC-5/16</t>
  </si>
  <si>
    <t>CS0204-003-0-XX-3</t>
  </si>
  <si>
    <t>Cu Pancake, 5/16" x 0.71mmT x 15m x 2.153kG/Roll</t>
  </si>
  <si>
    <t>CuDX/ACC-3/8</t>
  </si>
  <si>
    <t>CS0204-004-0-XX-3</t>
  </si>
  <si>
    <t>Cu Pancake, 3/8" x 0.81mmT x 15m x 2.962kG/Roll</t>
  </si>
  <si>
    <t>CuDX/ACC-1/2</t>
  </si>
  <si>
    <t>CS0204-005-0-XX-3</t>
  </si>
  <si>
    <t>Cu Pancake, 1/2" x 0.81mmT x 15m x 4.041kG/Roll</t>
  </si>
  <si>
    <t>CuDX/ACC-5/8</t>
  </si>
  <si>
    <t>CS0204-006-0-XX-3</t>
  </si>
  <si>
    <t>Cu Pancake, 5/8" x 0.81mmT x 15m x 5.120kG/Roll</t>
  </si>
  <si>
    <t>CuDX/ACC-3/4</t>
  </si>
  <si>
    <t>CS0204-007-0-XX-3</t>
  </si>
  <si>
    <t>Cu Pancake, 3/4" x 1.20mmT x 15m x 8.987kG/Roll</t>
  </si>
  <si>
    <t>Cap-BS 3/4</t>
  </si>
  <si>
    <t>CS0207-102-1-XX-1</t>
  </si>
  <si>
    <t>Black Steel Cap - 3/4"</t>
  </si>
  <si>
    <t>Cap-BS 1</t>
  </si>
  <si>
    <t>CS0207-103-1-XX-1</t>
  </si>
  <si>
    <t xml:space="preserve">Black Steel Cap - 1" </t>
  </si>
  <si>
    <t>Cap-BS 1 1/4</t>
  </si>
  <si>
    <t>CS0207-104-1-XX-1</t>
  </si>
  <si>
    <t>Black Steel Cap - 1 1/4"</t>
  </si>
  <si>
    <t>Cap-BS 1 1/2</t>
  </si>
  <si>
    <t>CS0207-105-1-XX-1</t>
  </si>
  <si>
    <t>Black Steel Cap - 1 1/2"</t>
  </si>
  <si>
    <t>Cap-BS 2</t>
  </si>
  <si>
    <t>CS0207-106-1-XX-1</t>
  </si>
  <si>
    <t xml:space="preserve">Black Steel Cap - 2" </t>
  </si>
  <si>
    <t>Cap-BS 2 1/2</t>
  </si>
  <si>
    <t>CS0207-107-1-XX-1</t>
  </si>
  <si>
    <t>Black Steel Cap - 2 1/2"</t>
  </si>
  <si>
    <t>Cap-BS 3</t>
  </si>
  <si>
    <t>CS0207-108-1-XX-1</t>
  </si>
  <si>
    <t xml:space="preserve">Black Steel Cap - 3" </t>
  </si>
  <si>
    <t>Cap-BS 3 1/2</t>
  </si>
  <si>
    <t>CS0207-109-1-XX-1</t>
  </si>
  <si>
    <t>Black Steel Cap - 3 1/2"</t>
  </si>
  <si>
    <t>Cap-BS 4</t>
  </si>
  <si>
    <t>CS0207-110-1-XX-1</t>
  </si>
  <si>
    <t xml:space="preserve">Black Steel Cap - 4" </t>
  </si>
  <si>
    <t>Cap-BS 5</t>
  </si>
  <si>
    <t>CS0207-111-1-XX-1</t>
  </si>
  <si>
    <t xml:space="preserve">Black Steel Cap - 5" </t>
  </si>
  <si>
    <t>Cap-Cu 1/2</t>
  </si>
  <si>
    <t>CS0207-001-1-XX-1</t>
  </si>
  <si>
    <t>Copper Cap - 1/2"</t>
  </si>
  <si>
    <t>Cap-Cu 5/8</t>
  </si>
  <si>
    <t>CS0207-002-1-XX-1</t>
  </si>
  <si>
    <t>Copper Cap - 5/8"</t>
  </si>
  <si>
    <t>Cap-Cu 3/4</t>
  </si>
  <si>
    <t>CS0207-003-1-XX-1</t>
  </si>
  <si>
    <t>Copper Cap - 3/4"</t>
  </si>
  <si>
    <t>Cap-Cu 7/8</t>
  </si>
  <si>
    <t>CS0207-004-1-XX-1</t>
  </si>
  <si>
    <t>Copper Cap - 7/8"</t>
  </si>
  <si>
    <t>Cap-Cu 1</t>
  </si>
  <si>
    <t>CS0207-005-1-XX-1</t>
  </si>
  <si>
    <t>Copper Cap - 1"</t>
  </si>
  <si>
    <t>Cap-Cu 1 1/8</t>
  </si>
  <si>
    <t>CS0207-006-1-XX-1</t>
  </si>
  <si>
    <t>Copper Cap - 1 1/8"</t>
  </si>
  <si>
    <t>Cap-Cu 1 1/4</t>
  </si>
  <si>
    <t>CS0207-007-1-XX-1</t>
  </si>
  <si>
    <t>Copper Cap - 1 1/4"</t>
  </si>
  <si>
    <t>Cap-Cu 1 3/8</t>
  </si>
  <si>
    <t>CS0207-008-1-XX-1</t>
  </si>
  <si>
    <t>Copper Cap - 1 3/8"</t>
  </si>
  <si>
    <t>Cap-Cu 1 1/2</t>
  </si>
  <si>
    <t>CS0207-009-1-XX-1</t>
  </si>
  <si>
    <t>Copper Cap - 1 1/2"</t>
  </si>
  <si>
    <t>Cap-Cu 1 5/8</t>
  </si>
  <si>
    <t>CS0207-010-1-XX-1</t>
  </si>
  <si>
    <t>Copper Cap - 1 5/8"</t>
  </si>
  <si>
    <t>Cap-Cu 2 1/8</t>
  </si>
  <si>
    <t>CS0207-011-1-XX-1</t>
  </si>
  <si>
    <t>Copper Cap - 2 1/8"</t>
  </si>
  <si>
    <t>AV-Core</t>
  </si>
  <si>
    <t>LC0301-101-1-PA-3</t>
  </si>
  <si>
    <t>Access Valve, Valve Core (Green)</t>
  </si>
  <si>
    <t>AV-cap</t>
  </si>
  <si>
    <t>LC0301-102-1-PA-3</t>
  </si>
  <si>
    <t>Access Valve, Valve Cap c/w Opener</t>
  </si>
  <si>
    <t>AV-Body</t>
  </si>
  <si>
    <t>LC0301-103-1-PA-3</t>
  </si>
  <si>
    <t>Access Valve, Valve Body</t>
  </si>
  <si>
    <t>TXV407-2</t>
  </si>
  <si>
    <t>LC0101-001-1-SA-3</t>
  </si>
  <si>
    <t>TXV 2TR R407c</t>
  </si>
  <si>
    <t>TXV407-3</t>
  </si>
  <si>
    <t>LC0101-002-1-SA-3</t>
  </si>
  <si>
    <t>TXV 3TR R407c</t>
  </si>
  <si>
    <t>TXV407-4</t>
  </si>
  <si>
    <t>LC0101-003-1-SA-3</t>
  </si>
  <si>
    <t>TXV 4TR R407c</t>
  </si>
  <si>
    <t>TXV407-5</t>
  </si>
  <si>
    <t>LC0101-004-1-SA-3</t>
  </si>
  <si>
    <t>TGEX 10-6 (20kW/R407c/5TR)</t>
  </si>
  <si>
    <t>TXV407-6</t>
  </si>
  <si>
    <t>LC0101-005-1-SA-3</t>
  </si>
  <si>
    <t>TXV 6TR R407c</t>
  </si>
  <si>
    <t>TXV407-7.5</t>
  </si>
  <si>
    <t>LC0101-006-1-SA-3</t>
  </si>
  <si>
    <t>TGEX 10-7.5 (27kW/R407c/7TR)</t>
  </si>
  <si>
    <t>TXV407-10</t>
  </si>
  <si>
    <t>LC0101-007-1-SA-3</t>
  </si>
  <si>
    <t>TGEX 10-11 (38kW/R407c/10TR)</t>
  </si>
  <si>
    <t>TXV407-11</t>
  </si>
  <si>
    <t>LC0101-008-1-SA-3</t>
  </si>
  <si>
    <t>TXV 11TR R407c</t>
  </si>
  <si>
    <t>TXV407-12.5</t>
  </si>
  <si>
    <t>LC0101-009-1-SA-3</t>
  </si>
  <si>
    <t>TGEX 10-11 (38kW/R407c/12.5TR)</t>
  </si>
  <si>
    <t>TXV407-15</t>
  </si>
  <si>
    <t>LC0101-010-1-SA-3</t>
  </si>
  <si>
    <t>TGEX 20-15 (54kW/R407c/15TR)</t>
  </si>
  <si>
    <t>TXV407-18</t>
  </si>
  <si>
    <t>LC0101-011-1-SA-3</t>
  </si>
  <si>
    <t>TXV 18TR R407c</t>
  </si>
  <si>
    <t>TXV407-20</t>
  </si>
  <si>
    <t>LC0101-012-1-SA-3</t>
  </si>
  <si>
    <t>TXV 20TR R407c</t>
  </si>
  <si>
    <t>TXV407-25</t>
  </si>
  <si>
    <t>LC0101-013-1-SA-3</t>
  </si>
  <si>
    <t>TXV 25TR R407c</t>
  </si>
  <si>
    <t>TXV407-30</t>
  </si>
  <si>
    <t>LC0101-014-1-SA-3</t>
  </si>
  <si>
    <t>TXV 30TR R407c</t>
  </si>
  <si>
    <t>TXV410-2</t>
  </si>
  <si>
    <t>LC0102-001-1-SA-3</t>
  </si>
  <si>
    <t>TXV 2TR R410a</t>
  </si>
  <si>
    <t>TXV410-3</t>
  </si>
  <si>
    <t>LC0102-002-1-SA-3</t>
  </si>
  <si>
    <t>TXV 3TR R410a</t>
  </si>
  <si>
    <t>TXV410-4</t>
  </si>
  <si>
    <t>LC0102-003-1-SA-3</t>
  </si>
  <si>
    <t>TXV 4TR R410a</t>
  </si>
  <si>
    <t>TXV410-5</t>
  </si>
  <si>
    <t>LC0102-004-1-SA-3</t>
  </si>
  <si>
    <t>TXV 5TR R410a</t>
  </si>
  <si>
    <t>TXV410-6</t>
  </si>
  <si>
    <t>LC0102-005-1-SA-3</t>
  </si>
  <si>
    <t>TXV 6TR R410a</t>
  </si>
  <si>
    <t>TXV410-7.5</t>
  </si>
  <si>
    <t>LC0102-006-1-SA-3</t>
  </si>
  <si>
    <t>TXV 7.5TR R410a</t>
  </si>
  <si>
    <t>TXV410-10</t>
  </si>
  <si>
    <t>LC0102-007-1-SA-3</t>
  </si>
  <si>
    <t>TXV 10TR R410a</t>
  </si>
  <si>
    <t>TXV410-11</t>
  </si>
  <si>
    <t>LC0102-008-1-SA-3</t>
  </si>
  <si>
    <t>TXV 11TR R410a</t>
  </si>
  <si>
    <t>TXV410-12.5</t>
  </si>
  <si>
    <t>LC0102-009-1-SA-3</t>
  </si>
  <si>
    <t>TXV 12.5TR R410a</t>
  </si>
  <si>
    <t>TXV410-16</t>
  </si>
  <si>
    <t>LC0102-010-1-SA-3</t>
  </si>
  <si>
    <t>TXV 16TR R410a</t>
  </si>
  <si>
    <t>TXV410-18</t>
  </si>
  <si>
    <t>LC0102-011-1-SA-3</t>
  </si>
  <si>
    <t>TXV 18TR R410a</t>
  </si>
  <si>
    <t>TXV410-20</t>
  </si>
  <si>
    <t>LC0102-012-1-SA-3</t>
  </si>
  <si>
    <t>TXV 20TR R410a</t>
  </si>
  <si>
    <t>TXV410-25</t>
  </si>
  <si>
    <t>LC0102-013-1-SA-3</t>
  </si>
  <si>
    <t>TXV 25TR R410a</t>
  </si>
  <si>
    <t>TXV410-30</t>
  </si>
  <si>
    <t>LC0102-014-1-SA-3</t>
  </si>
  <si>
    <t>TXV 30TR R410a</t>
  </si>
  <si>
    <t>DISTRIBUTOR</t>
  </si>
  <si>
    <t>LC0201-001-1-TT-1</t>
  </si>
  <si>
    <t>Conical 4W x 3/8"</t>
  </si>
  <si>
    <t>LC0201-002-1-TT-1</t>
  </si>
  <si>
    <t>Conical 5W x 3/8"</t>
  </si>
  <si>
    <t>LC0201-003-1-TT-1</t>
  </si>
  <si>
    <t>Conical 6W x 3/8"</t>
  </si>
  <si>
    <t>LC0201-004-1-TT-1</t>
  </si>
  <si>
    <t>Conical 7W x 3/8"</t>
  </si>
  <si>
    <t>LC0201-005-1-TT-1</t>
  </si>
  <si>
    <t>Conical 8W x 3/8"</t>
  </si>
  <si>
    <t>LC0201-006-1-TT-1</t>
  </si>
  <si>
    <t>Conical 9W x 1/2"</t>
  </si>
  <si>
    <t>LC0201-007-1-TT-1</t>
  </si>
  <si>
    <t>Conical 10W x 1/2"</t>
  </si>
  <si>
    <t>LC0201-009-1-TT-1</t>
  </si>
  <si>
    <t>Conical 11W x 5/8"</t>
  </si>
  <si>
    <t>LC0201-010-1-TT-1</t>
  </si>
  <si>
    <t>Conical 12W x 5/8"</t>
  </si>
  <si>
    <t>LC0201-012-1-TT-1</t>
  </si>
  <si>
    <t>Conical 13W x 5/8"</t>
  </si>
  <si>
    <t>LC0201-013-1-TT-1</t>
  </si>
  <si>
    <t>Conical 14W x 5/8"</t>
  </si>
  <si>
    <t>LC0201-015-1-TT-1</t>
  </si>
  <si>
    <t>Conical 15W x 5/8"</t>
  </si>
  <si>
    <t>LC0201-016-1-TT-1</t>
  </si>
  <si>
    <t>Conical 16W x 5/8"</t>
  </si>
  <si>
    <t>LC0201-018-1-TT-1</t>
  </si>
  <si>
    <t>Conical 17W x 5/8"</t>
  </si>
  <si>
    <t>LC0201-019-1-TT-1</t>
  </si>
  <si>
    <t>Conical 18W x 5/8"</t>
  </si>
  <si>
    <t>LC0201-020-1-TT-1</t>
  </si>
  <si>
    <t>Conical 19W x 5/8"</t>
  </si>
  <si>
    <t>LC0201-021-1-TT-1</t>
  </si>
  <si>
    <t>Conical 20W x 5/8"</t>
  </si>
  <si>
    <t>LC0201-022-1-TT-1</t>
  </si>
  <si>
    <t>Conical 21W x 5/8"</t>
  </si>
  <si>
    <t>LC0201-023-1-TT-1</t>
  </si>
  <si>
    <t>Conical 22W x 3/4"</t>
  </si>
  <si>
    <t>LC0201-024-1-TT-1</t>
  </si>
  <si>
    <t>Conical 23W x 3/4"</t>
  </si>
  <si>
    <t>LC0201-025-1-TT-1</t>
  </si>
  <si>
    <t>Conical 24W x 3/4"</t>
  </si>
  <si>
    <t>LC0201-026-1-TT-1</t>
  </si>
  <si>
    <t>Conical 25W x 7/8"</t>
  </si>
  <si>
    <t>LC0201-027-1-TT-1</t>
  </si>
  <si>
    <t>Conical 26W x 7/8"</t>
  </si>
  <si>
    <t>LC0201-028-1-TT-1</t>
  </si>
  <si>
    <t>Conical 27W x 7/8"</t>
  </si>
  <si>
    <t>LC0201-029-1-TT-1</t>
  </si>
  <si>
    <t>Conical 28W x 7/8"</t>
  </si>
  <si>
    <t>29W</t>
  </si>
  <si>
    <t>LC0201-030-1-TT-1</t>
  </si>
  <si>
    <t>Conical 29W x 7/8"</t>
  </si>
  <si>
    <t>LC0201-031-1-TT-1</t>
  </si>
  <si>
    <t>Conical 30W x 7/8"</t>
  </si>
  <si>
    <t>LC0201-032-1-TT-1</t>
  </si>
  <si>
    <t>Conical 31W x 7/8"</t>
  </si>
  <si>
    <t>LC0201-033-1-TT-1</t>
  </si>
  <si>
    <t>Conical 32W x 7/8"</t>
  </si>
  <si>
    <t>LC0201-034-1-TT-1</t>
  </si>
  <si>
    <t>Conical 33W x 7/8"</t>
  </si>
  <si>
    <t>SELECT: COIL TYPE</t>
  </si>
  <si>
    <r>
      <t>FL</t>
    </r>
    <r>
      <rPr>
        <vertAlign val="subscript"/>
        <sz val="11"/>
        <rFont val="Arial"/>
        <family val="2"/>
      </rPr>
      <t>mm</t>
    </r>
  </si>
  <si>
    <r>
      <t>NC</t>
    </r>
    <r>
      <rPr>
        <vertAlign val="subscript"/>
        <sz val="11"/>
        <rFont val="Arial"/>
        <family val="2"/>
      </rPr>
      <t>new</t>
    </r>
  </si>
  <si>
    <r>
      <t>RC</t>
    </r>
    <r>
      <rPr>
        <vertAlign val="subscript"/>
        <sz val="11"/>
        <rFont val="Arial"/>
        <family val="2"/>
      </rPr>
      <t>new</t>
    </r>
  </si>
  <si>
    <t>IN</t>
  </si>
  <si>
    <t>OUT</t>
  </si>
  <si>
    <t>Coil Spec</t>
  </si>
  <si>
    <t>System Type</t>
  </si>
  <si>
    <t>Coil Geometry: T-T</t>
  </si>
  <si>
    <r>
      <t>OD</t>
    </r>
    <r>
      <rPr>
        <b/>
        <vertAlign val="subscript"/>
        <sz val="11"/>
        <rFont val="Arial"/>
        <family val="2"/>
      </rPr>
      <t>mm</t>
    </r>
  </si>
  <si>
    <t>TL</t>
  </si>
  <si>
    <r>
      <t>NC</t>
    </r>
    <r>
      <rPr>
        <vertAlign val="subscript"/>
        <sz val="11"/>
        <rFont val="Arial"/>
        <family val="2"/>
      </rPr>
      <t>default</t>
    </r>
  </si>
  <si>
    <r>
      <t>RC</t>
    </r>
    <r>
      <rPr>
        <vertAlign val="subscript"/>
        <sz val="11"/>
        <rFont val="Arial"/>
        <family val="2"/>
      </rPr>
      <t>default</t>
    </r>
  </si>
  <si>
    <t>Coil Geometry: R-R</t>
  </si>
  <si>
    <t>SELECT: COIL MATERIAL</t>
  </si>
  <si>
    <r>
      <t>WT</t>
    </r>
    <r>
      <rPr>
        <vertAlign val="subscript"/>
        <sz val="11"/>
        <rFont val="Arial"/>
        <family val="2"/>
      </rPr>
      <t>new</t>
    </r>
  </si>
  <si>
    <r>
      <t>WT</t>
    </r>
    <r>
      <rPr>
        <vertAlign val="subscript"/>
        <sz val="11"/>
        <rFont val="Arial"/>
        <family val="2"/>
      </rPr>
      <t>default</t>
    </r>
  </si>
  <si>
    <r>
      <t>U/C</t>
    </r>
    <r>
      <rPr>
        <vertAlign val="subscript"/>
        <sz val="11"/>
        <rFont val="Arial"/>
        <family val="2"/>
      </rPr>
      <t>new</t>
    </r>
  </si>
  <si>
    <r>
      <t>U/C</t>
    </r>
    <r>
      <rPr>
        <vertAlign val="subscript"/>
        <sz val="11"/>
        <rFont val="Arial"/>
        <family val="2"/>
      </rPr>
      <t>select</t>
    </r>
  </si>
  <si>
    <t>Material Spec</t>
  </si>
  <si>
    <t>Fin Stock (Rp/kG)</t>
  </si>
  <si>
    <t>LWC (Rp/kG)</t>
  </si>
  <si>
    <t>Coil Plate (Rp/kG)</t>
  </si>
  <si>
    <t>SELECT: HEADER MATERIAL</t>
  </si>
  <si>
    <t>Header: Copper/Black Steel</t>
  </si>
  <si>
    <t>Inlet Header</t>
  </si>
  <si>
    <t>Inlet Header Cap</t>
  </si>
  <si>
    <t>Outlet Header</t>
  </si>
  <si>
    <t>Outlet Header Cap</t>
  </si>
  <si>
    <t>SELECT: FABRICATION</t>
  </si>
  <si>
    <r>
      <t>N</t>
    </r>
    <r>
      <rPr>
        <vertAlign val="subscript"/>
        <sz val="11"/>
        <rFont val="Arial"/>
        <family val="2"/>
      </rPr>
      <t>new</t>
    </r>
  </si>
  <si>
    <r>
      <t>N</t>
    </r>
    <r>
      <rPr>
        <vertAlign val="subscript"/>
        <sz val="11"/>
        <rFont val="Arial"/>
        <family val="2"/>
      </rPr>
      <t>default</t>
    </r>
  </si>
  <si>
    <t>Fabrication Spec</t>
  </si>
  <si>
    <t>Tube Length</t>
  </si>
  <si>
    <t>Tube Holding</t>
  </si>
  <si>
    <t>No Coating</t>
  </si>
  <si>
    <t>Group</t>
  </si>
  <si>
    <r>
      <t>Q</t>
    </r>
    <r>
      <rPr>
        <b/>
        <vertAlign val="subscript"/>
        <sz val="11"/>
        <rFont val="Arial"/>
        <family val="2"/>
      </rPr>
      <t>nett</t>
    </r>
  </si>
  <si>
    <r>
      <t>Q</t>
    </r>
    <r>
      <rPr>
        <b/>
        <vertAlign val="subscript"/>
        <sz val="11"/>
        <rFont val="Arial"/>
        <family val="2"/>
      </rPr>
      <t>gross</t>
    </r>
  </si>
  <si>
    <r>
      <t>U/P</t>
    </r>
    <r>
      <rPr>
        <b/>
        <vertAlign val="subscript"/>
        <sz val="11"/>
        <rFont val="Arial"/>
        <family val="2"/>
      </rPr>
      <t xml:space="preserve"> (Rp)</t>
    </r>
  </si>
  <si>
    <t>U/W (kG)</t>
  </si>
  <si>
    <t>Cost Center</t>
  </si>
  <si>
    <t>COIL FIN &amp; TUBE ASSY</t>
  </si>
  <si>
    <t>COIL FRAME ASSY</t>
  </si>
  <si>
    <t>- End Plate</t>
  </si>
  <si>
    <t>- EP/MP/HP Bending</t>
  </si>
  <si>
    <t>- EP/MP/HP Punching</t>
  </si>
  <si>
    <t>- EP/MP Emboss</t>
  </si>
  <si>
    <t>- EP/MP AGC</t>
  </si>
  <si>
    <t>EXPANSION DEVICE ASSY</t>
  </si>
  <si>
    <t>- Distribution Inlet 1/4"</t>
  </si>
  <si>
    <t>HEADER ASSY</t>
  </si>
  <si>
    <t xml:space="preserve">- CWC Inlet Header </t>
  </si>
  <si>
    <t>- CWC Inlet Header Cap</t>
  </si>
  <si>
    <t>- CWC Outlet Header</t>
  </si>
  <si>
    <t>- CWC Outlet Header Cap</t>
  </si>
  <si>
    <t>- CWC Connector : 50mm</t>
  </si>
  <si>
    <t xml:space="preserve">- DXC Inlet Header </t>
  </si>
  <si>
    <t>- DXC Inlet Header Cap</t>
  </si>
  <si>
    <t>- DXC Outlet Header</t>
  </si>
  <si>
    <t>- DXC Outlet Header Cap</t>
  </si>
  <si>
    <t>- DXC Connector : 50mm</t>
  </si>
  <si>
    <t xml:space="preserve">- ACC Inlet Header </t>
  </si>
  <si>
    <t>- ACC Inlet Header Cap</t>
  </si>
  <si>
    <t>- ACC Outlet Header</t>
  </si>
  <si>
    <t>- ACC Connector : 50mm</t>
  </si>
  <si>
    <t>- CWC Main Coil</t>
  </si>
  <si>
    <t>Cu-Cu Brazing 2%: U bend to Main Coil</t>
  </si>
  <si>
    <t>Cu-Cu Brazing 2%: Connector IN to Main Coil</t>
  </si>
  <si>
    <t>Cu-Cu Brazing 2%: Connector OUT to Main Coil</t>
  </si>
  <si>
    <t>- CWC Header</t>
  </si>
  <si>
    <t>Cu-Cu Brazing 2% or 35%: Connector IN to Header</t>
  </si>
  <si>
    <t>Cu-Cu Brazing 2% or 35%: Connector OUT to Header</t>
  </si>
  <si>
    <t>Cu-Cu Brazing 2%/Welding: T Inlet to Header</t>
  </si>
  <si>
    <t>Cu-Cu Brazing 2%/Welding: T Outlet to Header</t>
  </si>
  <si>
    <t>Cu-Cu Brazing 2%/Welding: Cap to Header</t>
  </si>
  <si>
    <t>- DXC Main Coil</t>
  </si>
  <si>
    <t>Cu-Cu Brazing 2%: Distributor Pipe 1/4" IN to Main Coil</t>
  </si>
  <si>
    <t>- DXC Header</t>
  </si>
  <si>
    <t>Cu-Cu Brazing 2%: Connector OUT to Suction Header</t>
  </si>
  <si>
    <t>Cu-Cu Brazing 2%: Copper Cap to Suction Header</t>
  </si>
  <si>
    <t>- DXC TXV</t>
  </si>
  <si>
    <t>Cu-Cu Brazing 2%: Copper Cap to Inlet Header</t>
  </si>
  <si>
    <t>Cu-Brass Brazing 35%: Distributor Pipe 1/4" to Distributor</t>
  </si>
  <si>
    <t>Cu-Brass Brazing 35%: Inlet to Distributor</t>
  </si>
  <si>
    <t>Cu-Brass Brazing 35%: TXV to Distributor</t>
  </si>
  <si>
    <t>- ACC Main Coil</t>
  </si>
  <si>
    <t>Cu-Cu Brazing 2%: IN/OUT Connector to Main Coil</t>
  </si>
  <si>
    <t>- ACC Header</t>
  </si>
  <si>
    <t>Cu-Cu Brazing 2%: Connector to Header</t>
  </si>
  <si>
    <t>Cu-Cu Brazing 2%: T Inlet/Outlet to Header</t>
  </si>
  <si>
    <t>Cu-Cu Brazing 2%: Cap to Header</t>
  </si>
  <si>
    <t>- Brazing Gas</t>
  </si>
  <si>
    <t>- Leak Test Main Coil</t>
  </si>
  <si>
    <t>- Leak Test CWC Header</t>
  </si>
  <si>
    <t>- Leak Test DXC Header</t>
  </si>
  <si>
    <t>- Leak Test ACC Header</t>
  </si>
  <si>
    <t>- Anti Corrosion-Heresite</t>
  </si>
  <si>
    <t>- Anti UV-Heresite</t>
  </si>
  <si>
    <t>- Anti Bacterial/Corrosion-Aeris</t>
  </si>
  <si>
    <t>- Anti Bacterial/Corrosion-TiO2</t>
  </si>
  <si>
    <t>Unit Cost (Rp) / Unit Weight (kG)</t>
  </si>
  <si>
    <t>Pre Filter 24x12x2</t>
  </si>
  <si>
    <t>Carbon Filter 24"x12"</t>
  </si>
  <si>
    <t>Carbon Filter 24"x24" (F7)</t>
  </si>
  <si>
    <t>Straight Pin</t>
  </si>
  <si>
    <t>April | S&amp;D</t>
  </si>
  <si>
    <t>SanMu EC Plug Fans</t>
  </si>
  <si>
    <t>Motor KW</t>
  </si>
  <si>
    <t>OSX(H)</t>
  </si>
  <si>
    <t>AHU(M)</t>
  </si>
  <si>
    <t>AHU(H)</t>
  </si>
  <si>
    <t>RTU(M)</t>
  </si>
  <si>
    <t>SBH(M)</t>
  </si>
  <si>
    <t>FOB China U/P</t>
  </si>
  <si>
    <t>ECF(K)6D280-PLHDAL1-RF</t>
  </si>
  <si>
    <t>ECF(K)8D310-PLHDAL1-RF</t>
  </si>
  <si>
    <t>ECF(K)8D310-PLHDAL5-RF</t>
  </si>
  <si>
    <t>ECF(K)8D355-PLHDAL0-RF</t>
  </si>
  <si>
    <t>ECF(K)8D355-PLHDAL11-RF</t>
  </si>
  <si>
    <t>ECF(K)8D355-PLHDAL19A-RF</t>
  </si>
  <si>
    <t>ECF(K)10D450-PLHDAL0-RF</t>
  </si>
  <si>
    <t>ECF(K)8D500-PLHDAL7-RF</t>
  </si>
  <si>
    <t>ECF(K)8D560-PLHDAL10C-RF</t>
  </si>
  <si>
    <t>ECF(K)10D630-PLHDAL1-RF</t>
  </si>
  <si>
    <t>ECF(K)8D630-PLHDAL10Y-RF</t>
  </si>
  <si>
    <t>Pre Filter 24x24x2 G4</t>
  </si>
  <si>
    <t xml:space="preserve">PRICELIST MOTOR </t>
  </si>
  <si>
    <t>HP</t>
  </si>
  <si>
    <t>CLASS</t>
  </si>
  <si>
    <t>CMP</t>
  </si>
  <si>
    <t>2 Pole</t>
  </si>
  <si>
    <t>Disc 50%</t>
  </si>
  <si>
    <t>4 Pole</t>
  </si>
  <si>
    <t>6 Pole</t>
  </si>
  <si>
    <t>IDR</t>
  </si>
  <si>
    <t>8 Pole</t>
  </si>
  <si>
    <t xml:space="preserve">IE1 </t>
  </si>
  <si>
    <t>******</t>
  </si>
  <si>
    <t>*******</t>
  </si>
  <si>
    <t>SELISIH CMP &amp; ATT</t>
  </si>
  <si>
    <t>2POLE</t>
  </si>
  <si>
    <t>(%)</t>
  </si>
  <si>
    <t>4POLE</t>
  </si>
  <si>
    <t>6POLE</t>
  </si>
  <si>
    <t>med Filter 24"x24" (F8)</t>
  </si>
  <si>
    <t xml:space="preserve">- Casing Double Skin 50 mm CB-GI (DS5060 Type) With </t>
  </si>
  <si>
    <t>Header Spec</t>
  </si>
  <si>
    <r>
      <t>L</t>
    </r>
    <r>
      <rPr>
        <vertAlign val="subscript"/>
        <sz val="11"/>
        <rFont val="Arial"/>
        <family val="2"/>
      </rPr>
      <t>new</t>
    </r>
  </si>
  <si>
    <r>
      <t>L</t>
    </r>
    <r>
      <rPr>
        <vertAlign val="subscript"/>
        <sz val="11"/>
        <rFont val="Arial"/>
        <family val="2"/>
      </rPr>
      <t>select</t>
    </r>
  </si>
  <si>
    <t>Distributor Pipe (N / mmL)</t>
  </si>
  <si>
    <t>SELECT: SHIPMENT TERMS</t>
  </si>
  <si>
    <t>Packing (Per m3)</t>
  </si>
  <si>
    <t>Std Packing</t>
  </si>
  <si>
    <t>Delivery</t>
  </si>
  <si>
    <t>By Customer</t>
  </si>
  <si>
    <t>PACKING COST</t>
  </si>
  <si>
    <t>Packing Type</t>
  </si>
  <si>
    <t>Delivery Cost</t>
  </si>
  <si>
    <t>- Fan : Belt Drive Fan</t>
  </si>
  <si>
    <t>Section 1</t>
  </si>
  <si>
    <t>LPS</t>
  </si>
  <si>
    <t>Section 2</t>
  </si>
  <si>
    <t>CMS</t>
  </si>
  <si>
    <t>Btu/h</t>
  </si>
  <si>
    <t>CFM</t>
  </si>
  <si>
    <t>Qs</t>
  </si>
  <si>
    <t>Skid 1</t>
  </si>
  <si>
    <t>Skid 2</t>
  </si>
  <si>
    <t>VD1</t>
  </si>
  <si>
    <t>VD2</t>
  </si>
  <si>
    <t>RA Opening</t>
  </si>
  <si>
    <t>SA Opening</t>
  </si>
  <si>
    <t>Qty/Pc</t>
  </si>
  <si>
    <t>N</t>
  </si>
  <si>
    <t>U/W(kG)</t>
  </si>
  <si>
    <t>Rp/Uom</t>
  </si>
  <si>
    <t>UNP100-304 L/R (D)</t>
  </si>
  <si>
    <t>UNP100-304 F/B (W)</t>
  </si>
  <si>
    <t>C40-180-40-Center Support (W)</t>
  </si>
  <si>
    <t>Pentapost Assy H: DS5056 (PTTBP160-50-5800-LB20)</t>
  </si>
  <si>
    <t>Pentapost Assy W: DS5056 (PTTBP160-50-5800-LB20)</t>
  </si>
  <si>
    <t>Pentapost Assy D: DS5056 (PTTBP160-50-5800-LB20)</t>
  </si>
  <si>
    <t>Interpost Assy H: DS5040 (PTTBP270-50-5800-LB20)</t>
  </si>
  <si>
    <t>Interpost Assy W: DS5040 (PTTBP270-50-5800-LB20)</t>
  </si>
  <si>
    <t>Interpost Assy D: DS5040 (PTTBP270-50-5800-LB20)</t>
  </si>
  <si>
    <t>Panel Clip 15mm - Pentapost H: DS50 (PBP-100000-5800-LB20)</t>
  </si>
  <si>
    <t>Panel Clip 15mm - Pentapost W: DS50 (PBP-100000-5800-LB20)</t>
  </si>
  <si>
    <t>Panel Clip 15mm - Pentapost D: DS50 (PBP-100000-5800-LB20)</t>
  </si>
  <si>
    <t>Panel Clip 15mm - Interpost H: DS50 (PBP-100000-5800-LB20)</t>
  </si>
  <si>
    <t>Panel Clip 15mm - Interpost W: DS50 (PBP-100000-5800-LB20)</t>
  </si>
  <si>
    <t>Panel Clip 15mm - Interpost D: DS50 (PBP-100000-5800-LB20)</t>
  </si>
  <si>
    <t>Gasket - Pentapost (H): 3mmT x 18mmW x 9mL</t>
  </si>
  <si>
    <t>Gasket - Pentapost (W): 3mmT x 18mmW x 9mL</t>
  </si>
  <si>
    <t>Gasket - Pentapost (D): 3mmT x 18mmW x 9mL</t>
  </si>
  <si>
    <t>Gasket - Interpost (H): 3mmT x 18mmW x 9mL</t>
  </si>
  <si>
    <t>Gasket - Interpost (W): 3mmT x 18mmW x 9mL</t>
  </si>
  <si>
    <t>Gasket - Interpost (D): 3mmT x 18mmW x 9mL</t>
  </si>
  <si>
    <t>Front Panel: Inner/Outer Liner (H x W)</t>
  </si>
  <si>
    <t>Front Panel: PU</t>
  </si>
  <si>
    <t>Back Panel: Inner/Outer Liner (H x W)</t>
  </si>
  <si>
    <t>Back Panel: PU</t>
  </si>
  <si>
    <t>Top Panel: Inner/Outer Liner (W x D)</t>
  </si>
  <si>
    <t>Top Panel: PU</t>
  </si>
  <si>
    <t>Bottom Panel: Inner/Outer Liner (W x D)</t>
  </si>
  <si>
    <t>Bottom Panel: PU</t>
  </si>
  <si>
    <t>LH Panel: Inner/Outer Liner (H x D)</t>
  </si>
  <si>
    <t>LH Panel: PU</t>
  </si>
  <si>
    <t>RH Panel: Inner/Outer Liner (H x D)</t>
  </si>
  <si>
    <t>RH Panel: PU</t>
  </si>
  <si>
    <t>Flange</t>
  </si>
  <si>
    <t>Return Flange (W)</t>
  </si>
  <si>
    <t>Return Flange (H)</t>
  </si>
  <si>
    <t>Intake Flange (W)</t>
  </si>
  <si>
    <t>Intake Flange (H)</t>
  </si>
  <si>
    <t>Supply Flange (W)</t>
  </si>
  <si>
    <t>Supply Flange (H)</t>
  </si>
  <si>
    <t>PF Rail 1-4</t>
  </si>
  <si>
    <t>PF Filter Rail Support (H)</t>
  </si>
  <si>
    <t>PF Filter Rail Top/Bottom (W)</t>
  </si>
  <si>
    <t>PF Filter Rail Center (W)</t>
  </si>
  <si>
    <t>MPF Rail 1-4</t>
  </si>
  <si>
    <t>MPF Filter Rail Support (H)</t>
  </si>
  <si>
    <t>MPF Filter Rail Top/Bottom</t>
  </si>
  <si>
    <t>MPF Filter Rail Center</t>
  </si>
  <si>
    <t>PF Rail 2-1</t>
  </si>
  <si>
    <t>MPF Rail 2-1</t>
  </si>
  <si>
    <t>Drain Pan Assy</t>
  </si>
  <si>
    <t>Drain Pan#1 (W)</t>
  </si>
  <si>
    <t>Drain Pan L/R Support (W)</t>
  </si>
  <si>
    <t>Drain Pan L/R Pillar</t>
  </si>
  <si>
    <t>Coil Support</t>
  </si>
  <si>
    <t>Intake Rainhood</t>
  </si>
  <si>
    <t>Top</t>
  </si>
  <si>
    <t>Side</t>
  </si>
  <si>
    <t>Fan Partition Assy 1-3</t>
  </si>
  <si>
    <t>Partition (H x W)</t>
  </si>
  <si>
    <t>Base Channel-UNP125 L/R (W)</t>
  </si>
  <si>
    <t>Blower/Motor Channel-UNP125 F/B</t>
  </si>
  <si>
    <t>Blower Support-UNP125 L/R (D)</t>
  </si>
  <si>
    <t>Motor Support-UNP125 L/R (D)</t>
  </si>
  <si>
    <t>Motor Rail-316L</t>
  </si>
  <si>
    <t>Motor Stopper-316L</t>
  </si>
  <si>
    <t>Treaded Shaft M12-316L</t>
  </si>
  <si>
    <t>Fan Partition Assy 2-1</t>
  </si>
  <si>
    <t>M12-316L x 6m</t>
  </si>
  <si>
    <t>STRUCTUR</t>
  </si>
  <si>
    <t>Unit Price (Rp)</t>
  </si>
  <si>
    <t>Gross Contribution</t>
  </si>
  <si>
    <t>Unit Weight / Unit Cost</t>
  </si>
  <si>
    <t>Snap Ring #5</t>
  </si>
  <si>
    <t>SR05</t>
  </si>
  <si>
    <t>Hex Bolt M8 x 20</t>
  </si>
  <si>
    <t>RB10</t>
  </si>
  <si>
    <t>Bush 3/8"</t>
  </si>
  <si>
    <t>HB0820</t>
  </si>
  <si>
    <t>Hex Bolt M6 x 20</t>
  </si>
  <si>
    <t>HB0620</t>
  </si>
  <si>
    <t>Wing Nut M6</t>
  </si>
  <si>
    <t>WN06</t>
  </si>
  <si>
    <t>Shaft 10mmOD</t>
  </si>
  <si>
    <t>Al6065</t>
  </si>
  <si>
    <t>Turning Arm#3</t>
  </si>
  <si>
    <t>Turning Arm#2</t>
  </si>
  <si>
    <t>Turning Arm#1</t>
  </si>
  <si>
    <t>Stopper Box Adjustment</t>
  </si>
  <si>
    <t>Stopper Blade, Horizontal</t>
  </si>
  <si>
    <t>Damper Blade, Horizontal</t>
  </si>
  <si>
    <t>Damper Frame, Vertical Center</t>
  </si>
  <si>
    <t>Damper Frame, Horizontal T/B</t>
  </si>
  <si>
    <t>Damper Frame, Vertical L/R</t>
  </si>
  <si>
    <t>Total(Rp)</t>
  </si>
  <si>
    <t>UC (Rp)</t>
  </si>
  <si>
    <t>UW</t>
  </si>
  <si>
    <r>
      <t>kG</t>
    </r>
    <r>
      <rPr>
        <b/>
        <vertAlign val="subscript"/>
        <sz val="11"/>
        <rFont val="Arial"/>
        <family val="2"/>
      </rPr>
      <t>UoM</t>
    </r>
  </si>
  <si>
    <r>
      <t>N</t>
    </r>
    <r>
      <rPr>
        <b/>
        <vertAlign val="subscript"/>
        <sz val="11"/>
        <rFont val="Arial"/>
        <family val="2"/>
      </rPr>
      <t>pc</t>
    </r>
  </si>
  <si>
    <r>
      <rPr>
        <b/>
        <sz val="11"/>
        <rFont val="Arial"/>
        <family val="2"/>
      </rPr>
      <t>L</t>
    </r>
    <r>
      <rPr>
        <b/>
        <vertAlign val="subscript"/>
        <sz val="11"/>
        <rFont val="Arial"/>
        <family val="2"/>
      </rPr>
      <t>mm</t>
    </r>
  </si>
  <si>
    <r>
      <t>W</t>
    </r>
    <r>
      <rPr>
        <b/>
        <vertAlign val="subscript"/>
        <sz val="11"/>
        <rFont val="Arial"/>
        <family val="2"/>
      </rPr>
      <t>mm</t>
    </r>
  </si>
  <si>
    <r>
      <t>T</t>
    </r>
    <r>
      <rPr>
        <b/>
        <vertAlign val="subscript"/>
        <sz val="11"/>
        <rFont val="Arial"/>
        <family val="2"/>
      </rPr>
      <t>mm</t>
    </r>
  </si>
  <si>
    <t>Unit Weight</t>
  </si>
  <si>
    <t xml:space="preserve">Usage </t>
  </si>
  <si>
    <t>Dimension</t>
  </si>
  <si>
    <t xml:space="preserve">Item </t>
  </si>
  <si>
    <r>
      <t>P/N</t>
    </r>
    <r>
      <rPr>
        <b/>
        <vertAlign val="subscript"/>
        <sz val="11"/>
        <color theme="1"/>
        <rFont val="Arial"/>
        <family val="2"/>
      </rPr>
      <t>internal</t>
    </r>
  </si>
  <si>
    <t>Rp/S$</t>
  </si>
  <si>
    <t>Rp/Rmb</t>
  </si>
  <si>
    <t>d. Recommended Actuator type : m2 x Nm</t>
  </si>
  <si>
    <t>Rp/RM</t>
  </si>
  <si>
    <t>c. No. of Damper Leaf / Damper Leaf Length</t>
  </si>
  <si>
    <t>Rp/Euro</t>
  </si>
  <si>
    <t>b. No. of Damper Leaf : (Nx100) mmH / No. of Vertical Center Profile</t>
  </si>
  <si>
    <t>2. Mode of Actuation : Manual=0, Motorized=1</t>
  </si>
  <si>
    <t>a. Final Opening Size : mmW x mmH</t>
  </si>
  <si>
    <t>1. Requested Opening Size : mmW x mmH</t>
  </si>
  <si>
    <t>SELECTED ===&gt;</t>
  </si>
  <si>
    <t>&lt;=== ENTER</t>
  </si>
  <si>
    <t>Sheet Metal  VolumeDamper Cost Estimator</t>
  </si>
  <si>
    <t>Arosio Cost</t>
  </si>
  <si>
    <t>UC</t>
  </si>
  <si>
    <t>USD/m2</t>
  </si>
  <si>
    <t>FA(m2)</t>
  </si>
  <si>
    <t>Section</t>
  </si>
  <si>
    <t>Class</t>
  </si>
  <si>
    <t>AC003</t>
  </si>
  <si>
    <t>AC004</t>
  </si>
  <si>
    <t>PMS80</t>
  </si>
  <si>
    <t>GA100</t>
  </si>
  <si>
    <t>SH5040</t>
  </si>
  <si>
    <t>SH5039</t>
  </si>
  <si>
    <t>SH5038</t>
  </si>
  <si>
    <t>SH5037</t>
  </si>
  <si>
    <r>
      <t>L</t>
    </r>
    <r>
      <rPr>
        <b/>
        <vertAlign val="subscript"/>
        <sz val="11"/>
        <rFont val="Arial"/>
        <family val="2"/>
      </rPr>
      <t>mm</t>
    </r>
  </si>
  <si>
    <t>Aluminium Profile VolumeDamper Cost Estimator</t>
  </si>
  <si>
    <t>Actuator 40Nm, 180sec : 8.0m2 FA</t>
  </si>
  <si>
    <t>40Nm</t>
  </si>
  <si>
    <t>Actuator 30Nm, 150sec : 6.0m2 FA</t>
  </si>
  <si>
    <t>30Nm</t>
  </si>
  <si>
    <t>Actuator 20Nm, 120sec : 4.0m2 FA</t>
  </si>
  <si>
    <t>20Nm</t>
  </si>
  <si>
    <t>Actuator 10Nm, 100sec : 2.0m2 FA</t>
  </si>
  <si>
    <t>10Nm</t>
  </si>
  <si>
    <t>Actuator 5Nm, 90sec : 1.0m2 FA</t>
  </si>
  <si>
    <t>5Nm</t>
  </si>
  <si>
    <t>Actuator 2Nm, 70sec : 0.5m2 FA</t>
  </si>
  <si>
    <t>2Nm</t>
  </si>
  <si>
    <t>Ring Bush 10mm</t>
  </si>
  <si>
    <t>Bolt, Hex M08 x 20</t>
  </si>
  <si>
    <t>0701-04-003-4</t>
  </si>
  <si>
    <t>Bolt, Hex M06 x 20</t>
  </si>
  <si>
    <t>0701-03-003-4</t>
  </si>
  <si>
    <t>Nut, Wing M06</t>
  </si>
  <si>
    <t>0712-01-002-4</t>
  </si>
  <si>
    <t>Damper, Actuator Base : 90W x 150L</t>
  </si>
  <si>
    <t>- Handle Lock Nut</t>
  </si>
  <si>
    <t>AC003.4</t>
  </si>
  <si>
    <t>- Handle Turning Plug</t>
  </si>
  <si>
    <t>AC003.3</t>
  </si>
  <si>
    <t>- Handle</t>
  </si>
  <si>
    <t>AC003.2</t>
  </si>
  <si>
    <t>- Handle Base</t>
  </si>
  <si>
    <t>AC003.1</t>
  </si>
  <si>
    <t>Damper, Handle : (铝执手)</t>
  </si>
  <si>
    <t>- Blade/Gear Nylon Plug</t>
  </si>
  <si>
    <t>CPS934</t>
  </si>
  <si>
    <t>- Blade/Gear Nylon Bush</t>
  </si>
  <si>
    <t>CPS933</t>
  </si>
  <si>
    <t>- Gear</t>
  </si>
  <si>
    <t>CPS932</t>
  </si>
  <si>
    <t>- Gear Cover</t>
  </si>
  <si>
    <t>CPS931</t>
  </si>
  <si>
    <t>- Spacer</t>
  </si>
  <si>
    <t>S60</t>
  </si>
  <si>
    <t>Damper, Gear Housing Set : PA (齿轮）</t>
  </si>
  <si>
    <t>Damper, Gasket : 200m/roll (密封胶条）</t>
  </si>
  <si>
    <t>Damper, Leaf : Flat Blade Profile - 15.7T x 108W</t>
  </si>
  <si>
    <t>Damper Frame : Vertical, Center Profile - 34.4T x 125W</t>
  </si>
  <si>
    <t>Damper Frame : Vertical,  L/R Profile - 34.4T x 125W</t>
  </si>
  <si>
    <t>Damper Frame : Horizontal, T/B Profile -34.4T x 125W</t>
  </si>
  <si>
    <t>Aluminium Extrusion 6065-T5, NA</t>
  </si>
  <si>
    <t>0102-00-000-0</t>
  </si>
  <si>
    <t>ET6065</t>
  </si>
  <si>
    <t>S$</t>
  </si>
  <si>
    <t>Aluminium 6065 1.0mm x 4' x 8' x 2720kG/m3</t>
  </si>
  <si>
    <t>0101-07-000-0</t>
  </si>
  <si>
    <t>Stainless Stl (SUS316L) 1.0mm x 4' x 8' x 8000kG/m3</t>
  </si>
  <si>
    <t>0101-06-000-0</t>
  </si>
  <si>
    <t>SUS36L</t>
  </si>
  <si>
    <t>Stainless Stl (SUS304) 1.0mm x 4' x 8' x 7800kG/m3</t>
  </si>
  <si>
    <t>0101-05-000-0</t>
  </si>
  <si>
    <t>SGCC (GI) 1.0mm x 4' x 8' x 8030kG/m3</t>
  </si>
  <si>
    <t>0101-02-000-0</t>
  </si>
  <si>
    <t>SPHC (Hot rolled) 1.0mm x 4' x 8' x7700kG/m3</t>
  </si>
  <si>
    <t>0101-04-000-0</t>
  </si>
  <si>
    <t>UC(Rp)</t>
  </si>
  <si>
    <t>Parts List : Frame</t>
  </si>
  <si>
    <t>Material CostList Volume Damper PS125</t>
  </si>
  <si>
    <t>Rp/USD:</t>
  </si>
  <si>
    <t>Date:</t>
  </si>
  <si>
    <t>Yudi</t>
  </si>
  <si>
    <t>Project:</t>
  </si>
  <si>
    <t>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</si>
  <si>
    <r>
      <t>ThermalTrue</t>
    </r>
    <r>
      <rPr>
        <b/>
        <vertAlign val="superscript"/>
        <sz val="20"/>
        <color rgb="FFFF0000"/>
        <rFont val="Arial Black"/>
        <family val="2"/>
      </rPr>
      <t>®</t>
    </r>
  </si>
  <si>
    <t>Blower Duct / Damper RA</t>
  </si>
  <si>
    <t>Blower Duct / Damper SA</t>
  </si>
  <si>
    <t>3/8''DX 457FH x 733FL x 6R x 12FPI x 9NC</t>
  </si>
  <si>
    <t>Rubber Insert - Pentapost (H): 1 roll = 200M</t>
  </si>
  <si>
    <t>Rubber Insert - Pentapost (W): 1 roll = 200M</t>
  </si>
  <si>
    <t>Rubber Insert - Pentapost (D): 1 roll = 200M</t>
  </si>
  <si>
    <t>Rubber Insert - Interpost (H): 1 roll = 200M</t>
  </si>
  <si>
    <t>Rubber Insert - Interpost (W): 1 roll = 200M</t>
  </si>
  <si>
    <t>Rubber Insert - Interpost (D): 1 roll = 200M</t>
  </si>
  <si>
    <t>3/8''DX 762FH x 1038FL x 6R x 12FPI x 22NC</t>
  </si>
  <si>
    <t>Fresh air Flange (W)</t>
  </si>
  <si>
    <t>TDM50-040x040</t>
  </si>
  <si>
    <t>Fresh Flange (H)</t>
  </si>
  <si>
    <t xml:space="preserve"> </t>
  </si>
  <si>
    <t>CWC</t>
  </si>
  <si>
    <t>Black Steel</t>
  </si>
  <si>
    <t>AHU-IU1</t>
  </si>
  <si>
    <t>- Capacity : 276,912 Btu/h</t>
  </si>
  <si>
    <t>- Airflow : 3,800 LPS</t>
  </si>
  <si>
    <t>- Dimension : 1420 (H) x 1930 (W) x 1625 (D)</t>
  </si>
  <si>
    <t>-  Alumunium Exstrusion</t>
  </si>
  <si>
    <t>- Coil : Al Fin/Copper Tube/Black Steel Header/Exclude Heresite</t>
  </si>
  <si>
    <t xml:space="preserve">- Include Pre Filter G4 </t>
  </si>
  <si>
    <t>AHU-IU2</t>
  </si>
  <si>
    <t>- Capacity : 254,251 Btu/h</t>
  </si>
  <si>
    <t>- Airflow : 3,500 LPS</t>
  </si>
  <si>
    <t>AHU-IU3</t>
  </si>
  <si>
    <t>- Capacity : 180,731 Btu/h</t>
  </si>
  <si>
    <t>- Airflow : 2,500 LPS</t>
  </si>
  <si>
    <t>- ESP : 1 in.wg</t>
  </si>
  <si>
    <t>- Dimension : 1420 (H) x 1625 (W) x 1625 (D)</t>
  </si>
  <si>
    <t>PT Midea</t>
  </si>
  <si>
    <t>AHU CW 3492</t>
  </si>
  <si>
    <t>Rayesh | Estimator</t>
  </si>
  <si>
    <t>Rayesh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</si>
</sst>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7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&quot;$&quot;#,##0.00_);[Red]\(&quot;$&quot;#,##0.0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* #,##0_-;\-* #,##0_-;_-* &quot;-&quot;??_-;_-@_-"/>
    <numFmt numFmtId="171" formatCode="_(&quot;RM&quot;* #,##0.00_);_(&quot;RM&quot;* \(#,##0.00\);_(&quot;RM&quot;* &quot;-&quot;??_);_(@_)"/>
    <numFmt numFmtId="172" formatCode="0.00_)"/>
    <numFmt numFmtId="173" formatCode="_-&quot;£&quot;* #,##0.00_-;\-&quot;£&quot;* #,##0.00_-;_-&quot;£&quot;* &quot;-&quot;??_-;_-@_-"/>
    <numFmt numFmtId="174" formatCode="_(&quot;Rp&quot;* #,##0.00_);_(&quot;Rp&quot;* \(#,##0.00\);_(&quot;Rp&quot;* &quot;-&quot;??_);_(@_)"/>
    <numFmt numFmtId="175" formatCode="_ * #,##0.00_ ;_ * \-#,##0.00_ ;_ * &quot;-&quot;??_ ;_ @_ "/>
    <numFmt numFmtId="176" formatCode="_ * #,##0_ ;_ * \-#,##0_ ;_ * &quot;-&quot;_ ;_ @_ "/>
    <numFmt numFmtId="177" formatCode="#,##0.000"/>
    <numFmt numFmtId="178" formatCode="0.00000"/>
    <numFmt numFmtId="179" formatCode="0.000"/>
    <numFmt numFmtId="180" formatCode="#,##0.0"/>
    <numFmt numFmtId="181" formatCode="0.0"/>
    <numFmt numFmtId="182" formatCode="_-[$Rp-421]* #,##0.00_-;\-[$Rp-421]* #,##0.00_-;_-[$Rp-421]* &quot;-&quot;??_-;_-@_-"/>
    <numFmt numFmtId="183" formatCode="#,##0.00000"/>
    <numFmt numFmtId="184" formatCode="0.0000"/>
    <numFmt numFmtId="185" formatCode="_(* #,##0_);_(* \(#,##0\);_(* &quot;-&quot;??_);_(@_)"/>
    <numFmt numFmtId="186" formatCode="[$-409]d\-mmm\-yyyy;@"/>
    <numFmt numFmtId="187" formatCode="[$-409]d\-mmm\-yy;@"/>
    <numFmt numFmtId="188" formatCode="_([$Rp-421]* #,##0.00_);_([$Rp-421]* \(#,##0.00\);_([$Rp-421]* &quot;-&quot;??_);_(@_)"/>
    <numFmt numFmtId="189" formatCode="_([$Rp-421]* #,##0_);_([$Rp-421]* \(#,##0\);_([$Rp-421]* &quot;-&quot;??_);_(@_)"/>
    <numFmt numFmtId="190" formatCode="_-[$Rp-421]* #,##0_-;\-[$Rp-421]* #,##0_-;_-[$Rp-421]* &quot;-&quot;??_-;_-@_-"/>
    <numFmt numFmtId="191" formatCode="_([$Rp-421]* #,##0_);_([$Rp-421]* \(#,##0\);_([$Rp-421]* &quot;-&quot;_);_(@_)"/>
    <numFmt numFmtId="192" formatCode="_-[$Rp-3809]* #,##0_-;\-[$Rp-3809]* #,##0_-;_-[$Rp-3809]* &quot;-&quot;_-;_-@_-"/>
    <numFmt numFmtId="193" formatCode="_(* #,##0.0_);_(* \(#,##0.0\);_(* &quot;-&quot;?_);_(@_)"/>
    <numFmt numFmtId="194" formatCode="0."/>
    <numFmt numFmtId="195" formatCode="[$$-409]#,##0.00"/>
    <numFmt numFmtId="196" formatCode="_-* #,##0.000_-;\-* #,##0.000_-;_-* &quot;-&quot;??_-;_-@_-"/>
    <numFmt numFmtId="197" formatCode="[$Rp-421]#,##0"/>
    <numFmt numFmtId="198" formatCode="0.000%"/>
    <numFmt numFmtId="199" formatCode="[$$-409]#,##0"/>
    <numFmt numFmtId="200" formatCode="#,##0.0000"/>
    <numFmt numFmtId="201" formatCode="0.000000"/>
    <numFmt numFmtId="202" formatCode="[$$-409]#,##0.00_);\([$$-409]#,##0.00\)"/>
    <numFmt numFmtId="203" formatCode="_([$$-409]* #,##0.00_);_([$$-409]* \(#,##0.00\);_([$$-409]* &quot;-&quot;??_);_(@_)"/>
    <numFmt numFmtId="204" formatCode="[$€-2]\ #,##0.00"/>
    <numFmt numFmtId="205" formatCode="_([$€-2]\ * #,##0.00_);_([$€-2]\ * \(#,##0.00\);_([$€-2]\ * &quot;-&quot;??_);_(@_)"/>
    <numFmt numFmtId="206" formatCode="&quot;$&quot;#,##0.00"/>
    <numFmt numFmtId="207" formatCode="_-[$Rp-421]* #,##0_-;\-[$Rp-421]* #,##0_-;_-[$Rp-421]* &quot;-&quot;_-;_-@_-"/>
    <numFmt numFmtId="208" formatCode="_-[$Rp-3809]* #,##0_-;\-[$Rp-3809]* #,##0_-;_-[$Rp-3809]* &quot;-&quot;??_-;_-@_-"/>
    <numFmt numFmtId="209" formatCode="[$-409]dd\-mmm\-yy;@"/>
    <numFmt numFmtId="210" formatCode="#,##0.000000"/>
    <numFmt numFmtId="211" formatCode="_-[$$-409]* #,##0.00_ ;_-[$$-409]* \-#,##0.00\ ;_-[$$-409]* &quot;-&quot;??_ ;_-@_ "/>
    <numFmt numFmtId="212" formatCode="_-[$$-409]* #,##0.00_ ;_-[$$-409]* \-#,##0.00\ ;_-[$$-409]* &quot;-&quot;????_ ;_-@_ "/>
    <numFmt numFmtId="213" formatCode="#,##0.00_ ;\-#,##0.00\ "/>
    <numFmt numFmtId="214" formatCode="0.0000000"/>
    <numFmt numFmtId="215" formatCode="[$SGD]\ #,##0.00"/>
    <numFmt numFmtId="216" formatCode="[$Rp-3809]#,##0"/>
    <numFmt numFmtId="217" formatCode="_-[$Rp]* #,##0_-;\-[$Rp]* #,##0_-;_-[$Rp]* &quot;-&quot;_-;_-@_-" x16r2:formatCode16="_-[$Rp-jv-Latn-ID]* #,##0_-;\-[$Rp-jv-Latn-ID]* #,##0_-;_-[$Rp-jv-Latn-ID]* &quot;-&quot;_-;_-@_-"/>
  </numFmts>
  <fonts count="8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name val="Arial"/>
      <family val="2"/>
    </font>
    <font>
      <b/>
      <sz val="10"/>
      <name val="Tms Rmn"/>
      <family val="1"/>
    </font>
    <font>
      <sz val="10"/>
      <name val="Times New Roman"/>
      <family val="1"/>
    </font>
    <font>
      <sz val="11"/>
      <color theme="1"/>
      <name val="Calibri"/>
      <family val="2"/>
      <charset val="1"/>
      <scheme val="minor"/>
    </font>
    <font>
      <sz val="10"/>
      <color rgb="FF000000"/>
      <name val="Times New Roman"/>
      <family val="1"/>
    </font>
    <font>
      <sz val="8"/>
      <name val="Arial"/>
      <family val="2"/>
    </font>
    <font>
      <sz val="10"/>
      <name val="MS Sans Serif"/>
      <family val="2"/>
    </font>
    <font>
      <b/>
      <i/>
      <sz val="16"/>
      <name val="Helv"/>
      <family val="2"/>
    </font>
    <font>
      <sz val="10"/>
      <color theme="1"/>
      <name val="Calibri"/>
      <family val="1"/>
      <scheme val="minor"/>
    </font>
    <font>
      <sz val="12"/>
      <name val="Times New Roman"/>
      <family val="1"/>
    </font>
    <font>
      <sz val="12"/>
      <name val="ＭＳ ゴシック"/>
      <family val="3"/>
      <charset val="128"/>
    </font>
    <font>
      <b/>
      <sz val="8"/>
      <name val="Arial"/>
      <family val="2"/>
    </font>
    <font>
      <sz val="9"/>
      <name val="Arial"/>
      <family val="2"/>
    </font>
    <font>
      <b/>
      <i/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宋体"/>
      <charset val="134"/>
    </font>
    <font>
      <b/>
      <sz val="10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Arial"/>
      <family val="2"/>
    </font>
    <font>
      <sz val="9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rgb="FF3000FE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 Narrow"/>
      <family val="2"/>
    </font>
    <font>
      <sz val="8"/>
      <color theme="1"/>
      <name val="Arial"/>
      <family val="2"/>
    </font>
    <font>
      <b/>
      <i/>
      <sz val="9"/>
      <name val="Arial"/>
      <family val="2"/>
    </font>
    <font>
      <i/>
      <sz val="10"/>
      <color rgb="FF00B0F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3"/>
      <charset val="128"/>
      <scheme val="minor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50C31"/>
      <name val="Arial"/>
      <family val="2"/>
    </font>
    <font>
      <sz val="11"/>
      <name val="Calibri"/>
      <family val="2"/>
      <scheme val="minor"/>
    </font>
    <font>
      <b/>
      <sz val="12"/>
      <color rgb="FFFF0000"/>
      <name val="Calibri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sz val="8.5"/>
      <name val="Arial"/>
      <family val="2"/>
    </font>
    <font>
      <sz val="8.5"/>
      <name val="Times New Roman"/>
      <family val="1"/>
    </font>
    <font>
      <sz val="9"/>
      <name val="Times New Roman"/>
      <family val="1"/>
    </font>
    <font>
      <sz val="8.5"/>
      <name val="Calibri"/>
      <family val="2"/>
    </font>
    <font>
      <sz val="9.5"/>
      <color rgb="FF000000"/>
      <name val="Arial"/>
      <family val="2"/>
    </font>
    <font>
      <sz val="9"/>
      <color theme="0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vertAlign val="subscript"/>
      <sz val="11"/>
      <name val="Arial"/>
      <family val="2"/>
    </font>
    <font>
      <b/>
      <sz val="11"/>
      <color rgb="FF0000CC"/>
      <name val="Arial"/>
      <family val="2"/>
    </font>
    <font>
      <sz val="11"/>
      <color rgb="FF0000CC"/>
      <name val="Arial"/>
      <family val="2"/>
    </font>
    <font>
      <vertAlign val="subscript"/>
      <sz val="11"/>
      <name val="Arial"/>
      <family val="2"/>
    </font>
    <font>
      <sz val="8"/>
      <color rgb="FF202124"/>
      <name val="Arial"/>
      <family val="2"/>
    </font>
    <font>
      <sz val="18"/>
      <color theme="0"/>
      <name val="Arial"/>
      <family val="2"/>
    </font>
    <font>
      <b/>
      <i/>
      <sz val="18"/>
      <color rgb="FFFF0000"/>
      <name val="Arial Black"/>
      <family val="2"/>
    </font>
    <font>
      <b/>
      <sz val="18"/>
      <color rgb="FFFF0000"/>
      <name val="Calibri"/>
      <family val="2"/>
    </font>
    <font>
      <sz val="18"/>
      <color theme="1"/>
      <name val="Arial Black"/>
      <family val="2"/>
    </font>
    <font>
      <sz val="11"/>
      <color rgb="FFC00000"/>
      <name val="Arial"/>
      <family val="2"/>
    </font>
    <font>
      <b/>
      <vertAlign val="subscript"/>
      <sz val="11"/>
      <color rgb="FF0000CC"/>
      <name val="Arial"/>
      <family val="2"/>
    </font>
    <font>
      <sz val="11"/>
      <color theme="0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vertAlign val="subscript"/>
      <sz val="11"/>
      <color theme="1"/>
      <name val="Arial"/>
      <family val="2"/>
    </font>
    <font>
      <b/>
      <sz val="14"/>
      <color theme="1"/>
      <name val="Arial"/>
      <family val="2"/>
    </font>
    <font>
      <i/>
      <sz val="20"/>
      <color rgb="FFFF0000"/>
      <name val="Arial Black"/>
      <family val="2"/>
    </font>
    <font>
      <b/>
      <vertAlign val="superscript"/>
      <sz val="20"/>
      <color rgb="FFFF0000"/>
      <name val="Arial Black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F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8080F"/>
      </left>
      <right style="thin">
        <color rgb="FF08080F"/>
      </right>
      <top style="thin">
        <color rgb="FF08080F"/>
      </top>
      <bottom/>
      <diagonal/>
    </border>
    <border>
      <left style="thin">
        <color rgb="FF08080F"/>
      </left>
      <right/>
      <top style="thin">
        <color rgb="FF08080F"/>
      </top>
      <bottom style="thin">
        <color rgb="FF08080F"/>
      </bottom>
      <diagonal/>
    </border>
    <border>
      <left/>
      <right style="thin">
        <color rgb="FF08080F"/>
      </right>
      <top style="thin">
        <color rgb="FF08080F"/>
      </top>
      <bottom style="thin">
        <color rgb="FF08080F"/>
      </bottom>
      <diagonal/>
    </border>
    <border>
      <left style="thin">
        <color rgb="FF08080F"/>
      </left>
      <right style="thin">
        <color rgb="FF08080F"/>
      </right>
      <top/>
      <bottom/>
      <diagonal/>
    </border>
    <border>
      <left style="thin">
        <color rgb="FF08080F"/>
      </left>
      <right style="thin">
        <color rgb="FF08080F"/>
      </right>
      <top style="thin">
        <color rgb="FF08080F"/>
      </top>
      <bottom style="thin">
        <color rgb="FF08080F"/>
      </bottom>
      <diagonal/>
    </border>
    <border>
      <left style="thin">
        <color rgb="FF08080F"/>
      </left>
      <right style="thin">
        <color rgb="FF08080F"/>
      </right>
      <top/>
      <bottom style="thin">
        <color rgb="FF08080F"/>
      </bottom>
      <diagonal/>
    </border>
    <border>
      <left style="thin">
        <color rgb="FF0C0C13"/>
      </left>
      <right style="thin">
        <color rgb="FF0C0C13"/>
      </right>
      <top style="thin">
        <color rgb="FF0C0C13"/>
      </top>
      <bottom style="thin">
        <color rgb="FF0C0C13"/>
      </bottom>
      <diagonal/>
    </border>
    <border>
      <left style="thin">
        <color rgb="FF0C0C13"/>
      </left>
      <right style="thin">
        <color rgb="FF0C0C13"/>
      </right>
      <top style="thin">
        <color rgb="FF0C0C13"/>
      </top>
      <bottom/>
      <diagonal/>
    </border>
    <border>
      <left style="thin">
        <color rgb="FF0C0C13"/>
      </left>
      <right style="thin">
        <color rgb="FF0C0C13"/>
      </right>
      <top style="thin">
        <color rgb="FF0C0C13"/>
      </top>
      <bottom style="thin">
        <color rgb="FF0F0F18"/>
      </bottom>
      <diagonal/>
    </border>
    <border>
      <left style="thin">
        <color rgb="FF0C0C13"/>
      </left>
      <right style="thin">
        <color rgb="FF0C0C13"/>
      </right>
      <top style="thin">
        <color rgb="FF0F0F18"/>
      </top>
      <bottom style="thin">
        <color rgb="FF0C0C13"/>
      </bottom>
      <diagonal/>
    </border>
    <border>
      <left style="thin">
        <color rgb="FF0C0C13"/>
      </left>
      <right style="thin">
        <color rgb="FF0C0C13"/>
      </right>
      <top/>
      <bottom style="thin">
        <color rgb="FF0C0C13"/>
      </bottom>
      <diagonal/>
    </border>
    <border>
      <left style="thin">
        <color rgb="FF0C0C13"/>
      </left>
      <right style="thin">
        <color rgb="FF0C0C13"/>
      </right>
      <top style="thin">
        <color rgb="FF0C0C13"/>
      </top>
      <bottom style="thin">
        <color rgb="FF0F0C1C"/>
      </bottom>
      <diagonal/>
    </border>
    <border>
      <left/>
      <right style="thin">
        <color rgb="FF0C0C13"/>
      </right>
      <top style="thin">
        <color rgb="FF0F0C1C"/>
      </top>
      <bottom style="thin">
        <color rgb="FF0C0C13"/>
      </bottom>
      <diagonal/>
    </border>
    <border>
      <left style="thin">
        <color rgb="FF0C0C13"/>
      </left>
      <right/>
      <top style="thin">
        <color rgb="FF0C0C13"/>
      </top>
      <bottom style="thin">
        <color rgb="FF0F0F18"/>
      </bottom>
      <diagonal/>
    </border>
    <border>
      <left style="thin">
        <color rgb="FF0C0C13"/>
      </left>
      <right/>
      <top style="thin">
        <color rgb="FF0F0F18"/>
      </top>
      <bottom style="thin">
        <color rgb="FF0C0C13"/>
      </bottom>
      <diagonal/>
    </border>
    <border>
      <left/>
      <right style="thin">
        <color rgb="FF0C0C13"/>
      </right>
      <top style="thin">
        <color rgb="FF0C0C13"/>
      </top>
      <bottom style="thin">
        <color rgb="FF0C0C13"/>
      </bottom>
      <diagonal/>
    </border>
    <border>
      <left style="thin">
        <color rgb="FF08080F"/>
      </left>
      <right style="thin">
        <color rgb="FF08080F"/>
      </right>
      <top style="thin">
        <color rgb="FF08080F"/>
      </top>
      <bottom style="thin">
        <color rgb="FF0F0F1C"/>
      </bottom>
      <diagonal/>
    </border>
    <border>
      <left style="thin">
        <color rgb="FF08080F"/>
      </left>
      <right style="thin">
        <color rgb="FF08080F"/>
      </right>
      <top style="thin">
        <color rgb="FF08080F"/>
      </top>
      <bottom style="thin">
        <color rgb="FF0F0C1C"/>
      </bottom>
      <diagonal/>
    </border>
    <border>
      <left style="thin">
        <color rgb="FF08080F"/>
      </left>
      <right style="thin">
        <color rgb="FF08080F"/>
      </right>
      <top style="thin">
        <color rgb="FF0F0F1C"/>
      </top>
      <bottom style="thin">
        <color rgb="FF08080F"/>
      </bottom>
      <diagonal/>
    </border>
    <border>
      <left style="thin">
        <color rgb="FF08080F"/>
      </left>
      <right style="thin">
        <color rgb="FF08080F"/>
      </right>
      <top style="thin">
        <color rgb="FF0F0C1C"/>
      </top>
      <bottom style="thin">
        <color rgb="FF08080F"/>
      </bottom>
      <diagonal/>
    </border>
    <border>
      <left style="thin">
        <color rgb="FF08080F"/>
      </left>
      <right style="thin">
        <color rgb="FF08080F"/>
      </right>
      <top style="thin">
        <color rgb="FF08080F"/>
      </top>
      <bottom style="thin">
        <color rgb="FF0F0F1F"/>
      </bottom>
      <diagonal/>
    </border>
    <border>
      <left style="thin">
        <color rgb="FF08080F"/>
      </left>
      <right style="thin">
        <color rgb="FF08080F"/>
      </right>
      <top style="thin">
        <color rgb="FF0F0F1F"/>
      </top>
      <bottom style="thin">
        <color rgb="FF08080F"/>
      </bottom>
      <diagonal/>
    </border>
    <border>
      <left style="thin">
        <color rgb="FF08080F"/>
      </left>
      <right style="thin">
        <color rgb="FF08080F"/>
      </right>
      <top style="thin">
        <color rgb="FF08080F"/>
      </top>
      <bottom style="thin">
        <color rgb="FF0F0C1F"/>
      </bottom>
      <diagonal/>
    </border>
    <border>
      <left style="thin">
        <color rgb="FF08080F"/>
      </left>
      <right style="thin">
        <color rgb="FF08080F"/>
      </right>
      <top style="thin">
        <color rgb="FF0F0C1F"/>
      </top>
      <bottom style="thin">
        <color rgb="FF08080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/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 style="thin">
        <color rgb="FF0070C0"/>
      </left>
      <right/>
      <top/>
      <bottom style="thin">
        <color rgb="FF0070C0"/>
      </bottom>
      <diagonal/>
    </border>
  </borders>
  <cellStyleXfs count="94">
    <xf numFmtId="0" fontId="0" fillId="0" borderId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" fillId="0" borderId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6" fillId="0" borderId="0"/>
    <xf numFmtId="41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6" fillId="0" borderId="0"/>
    <xf numFmtId="0" fontId="6" fillId="0" borderId="0"/>
    <xf numFmtId="171" fontId="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8" fillId="0" borderId="0" applyFont="0" applyFill="0" applyBorder="0" applyAlignment="0" applyProtection="0"/>
    <xf numFmtId="173" fontId="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4" fontId="1" fillId="0" borderId="0" applyFont="0" applyFill="0" applyBorder="0" applyAlignment="0" applyProtection="0"/>
    <xf numFmtId="38" fontId="10" fillId="3" borderId="0" applyNumberFormat="0" applyBorder="0" applyAlignment="0" applyProtection="0"/>
    <xf numFmtId="10" fontId="10" fillId="4" borderId="1" applyNumberFormat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72" fontId="12" fillId="0" borderId="0"/>
    <xf numFmtId="0" fontId="6" fillId="0" borderId="0"/>
    <xf numFmtId="0" fontId="2" fillId="0" borderId="0"/>
    <xf numFmtId="0" fontId="1" fillId="0" borderId="0"/>
    <xf numFmtId="0" fontId="13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2" fillId="0" borderId="0">
      <protection hidden="1"/>
    </xf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10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15" applyNumberFormat="0" applyBorder="0"/>
    <xf numFmtId="175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0" fontId="15" fillId="0" borderId="0"/>
    <xf numFmtId="168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77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2" fillId="0" borderId="0"/>
    <xf numFmtId="0" fontId="14" fillId="0" borderId="0">
      <alignment vertical="center"/>
    </xf>
    <xf numFmtId="0" fontId="2" fillId="0" borderId="0"/>
    <xf numFmtId="0" fontId="21" fillId="0" borderId="0"/>
    <xf numFmtId="0" fontId="21" fillId="0" borderId="0"/>
    <xf numFmtId="0" fontId="45" fillId="0" borderId="0"/>
    <xf numFmtId="0" fontId="9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286">
    <xf numFmtId="0" fontId="0" fillId="0" borderId="0" xfId="0"/>
    <xf numFmtId="0" fontId="10" fillId="0" borderId="0" xfId="82" applyFont="1"/>
    <xf numFmtId="0" fontId="2" fillId="0" borderId="0" xfId="82"/>
    <xf numFmtId="168" fontId="10" fillId="0" borderId="0" xfId="82" applyNumberFormat="1" applyFont="1"/>
    <xf numFmtId="0" fontId="2" fillId="0" borderId="0" xfId="82" applyAlignment="1">
      <alignment horizontal="right"/>
    </xf>
    <xf numFmtId="169" fontId="10" fillId="0" borderId="0" xfId="16" applyFont="1" applyFill="1"/>
    <xf numFmtId="0" fontId="2" fillId="0" borderId="0" xfId="82" applyAlignment="1">
      <alignment horizontal="left"/>
    </xf>
    <xf numFmtId="43" fontId="2" fillId="0" borderId="0" xfId="1" applyFont="1" applyFill="1"/>
    <xf numFmtId="9" fontId="2" fillId="0" borderId="0" xfId="82" applyNumberFormat="1"/>
    <xf numFmtId="0" fontId="2" fillId="0" borderId="0" xfId="82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2" fontId="17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181" fontId="17" fillId="0" borderId="0" xfId="0" applyNumberFormat="1" applyFont="1" applyAlignment="1">
      <alignment horizontal="center"/>
    </xf>
    <xf numFmtId="40" fontId="17" fillId="0" borderId="0" xfId="0" applyNumberFormat="1" applyFont="1" applyAlignment="1">
      <alignment horizontal="right"/>
    </xf>
    <xf numFmtId="40" fontId="17" fillId="0" borderId="0" xfId="0" applyNumberFormat="1" applyFont="1"/>
    <xf numFmtId="4" fontId="17" fillId="0" borderId="0" xfId="0" applyNumberFormat="1" applyFont="1"/>
    <xf numFmtId="0" fontId="17" fillId="5" borderId="1" xfId="0" applyFont="1" applyFill="1" applyBorder="1" applyAlignment="1">
      <alignment horizontal="center"/>
    </xf>
    <xf numFmtId="40" fontId="17" fillId="5" borderId="14" xfId="0" applyNumberFormat="1" applyFont="1" applyFill="1" applyBorder="1" applyAlignment="1">
      <alignment horizontal="center"/>
    </xf>
    <xf numFmtId="40" fontId="17" fillId="5" borderId="1" xfId="0" applyNumberFormat="1" applyFont="1" applyFill="1" applyBorder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center"/>
    </xf>
    <xf numFmtId="2" fontId="25" fillId="0" borderId="0" xfId="0" applyNumberFormat="1" applyFont="1" applyAlignment="1">
      <alignment horizontal="center"/>
    </xf>
    <xf numFmtId="3" fontId="25" fillId="0" borderId="0" xfId="0" applyNumberFormat="1" applyFont="1" applyAlignment="1">
      <alignment horizontal="center"/>
    </xf>
    <xf numFmtId="184" fontId="16" fillId="0" borderId="0" xfId="16" applyNumberFormat="1" applyFont="1" applyFill="1" applyBorder="1" applyAlignment="1">
      <alignment horizontal="center"/>
    </xf>
    <xf numFmtId="40" fontId="25" fillId="0" borderId="0" xfId="0" applyNumberFormat="1" applyFont="1" applyAlignment="1">
      <alignment horizontal="right"/>
    </xf>
    <xf numFmtId="40" fontId="25" fillId="0" borderId="0" xfId="0" applyNumberFormat="1" applyFont="1"/>
    <xf numFmtId="4" fontId="25" fillId="0" borderId="0" xfId="0" applyNumberFormat="1" applyFont="1"/>
    <xf numFmtId="0" fontId="17" fillId="2" borderId="0" xfId="0" applyFont="1" applyFill="1"/>
    <xf numFmtId="0" fontId="17" fillId="2" borderId="0" xfId="0" applyFont="1" applyFill="1" applyAlignment="1">
      <alignment horizontal="left"/>
    </xf>
    <xf numFmtId="2" fontId="17" fillId="2" borderId="0" xfId="0" applyNumberFormat="1" applyFont="1" applyFill="1" applyAlignment="1">
      <alignment horizontal="center"/>
    </xf>
    <xf numFmtId="3" fontId="17" fillId="2" borderId="0" xfId="0" applyNumberFormat="1" applyFont="1" applyFill="1" applyAlignment="1">
      <alignment horizontal="center"/>
    </xf>
    <xf numFmtId="40" fontId="17" fillId="7" borderId="0" xfId="0" applyNumberFormat="1" applyFont="1" applyFill="1" applyAlignment="1">
      <alignment horizontal="right"/>
    </xf>
    <xf numFmtId="3" fontId="17" fillId="7" borderId="0" xfId="0" applyNumberFormat="1" applyFont="1" applyFill="1"/>
    <xf numFmtId="185" fontId="1" fillId="0" borderId="0" xfId="16" applyNumberFormat="1" applyFont="1"/>
    <xf numFmtId="169" fontId="1" fillId="0" borderId="0" xfId="16" applyFont="1"/>
    <xf numFmtId="9" fontId="17" fillId="0" borderId="0" xfId="81" applyFont="1" applyAlignment="1">
      <alignment horizontal="center"/>
    </xf>
    <xf numFmtId="4" fontId="17" fillId="0" borderId="0" xfId="0" applyNumberFormat="1" applyFont="1" applyAlignment="1">
      <alignment horizontal="left" vertical="center"/>
    </xf>
    <xf numFmtId="9" fontId="17" fillId="0" borderId="0" xfId="81" applyFont="1" applyAlignment="1">
      <alignment horizontal="center" vertical="center"/>
    </xf>
    <xf numFmtId="40" fontId="25" fillId="11" borderId="16" xfId="0" applyNumberFormat="1" applyFont="1" applyFill="1" applyBorder="1" applyAlignment="1">
      <alignment horizontal="center" vertical="center"/>
    </xf>
    <xf numFmtId="4" fontId="17" fillId="0" borderId="16" xfId="0" applyNumberFormat="1" applyFont="1" applyBorder="1"/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0" fillId="0" borderId="22" xfId="0" applyBorder="1"/>
    <xf numFmtId="0" fontId="4" fillId="0" borderId="1" xfId="0" applyFont="1" applyBorder="1"/>
    <xf numFmtId="0" fontId="0" fillId="0" borderId="18" xfId="0" applyBorder="1"/>
    <xf numFmtId="0" fontId="0" fillId="0" borderId="14" xfId="0" applyBorder="1"/>
    <xf numFmtId="0" fontId="4" fillId="0" borderId="0" xfId="0" applyFont="1" applyAlignment="1">
      <alignment vertical="center"/>
    </xf>
    <xf numFmtId="0" fontId="4" fillId="0" borderId="5" xfId="0" applyFont="1" applyBorder="1"/>
    <xf numFmtId="0" fontId="0" fillId="0" borderId="3" xfId="0" applyBorder="1"/>
    <xf numFmtId="0" fontId="0" fillId="0" borderId="4" xfId="0" applyBorder="1"/>
    <xf numFmtId="0" fontId="4" fillId="0" borderId="8" xfId="0" applyFont="1" applyBorder="1"/>
    <xf numFmtId="0" fontId="0" fillId="0" borderId="7" xfId="0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/>
    <xf numFmtId="0" fontId="4" fillId="0" borderId="9" xfId="0" applyFont="1" applyBorder="1"/>
    <xf numFmtId="0" fontId="0" fillId="0" borderId="11" xfId="0" applyBorder="1"/>
    <xf numFmtId="0" fontId="0" fillId="0" borderId="12" xfId="0" applyBorder="1"/>
    <xf numFmtId="0" fontId="4" fillId="0" borderId="11" xfId="0" applyFont="1" applyBorder="1"/>
    <xf numFmtId="0" fontId="4" fillId="0" borderId="12" xfId="0" applyFont="1" applyBorder="1"/>
    <xf numFmtId="186" fontId="4" fillId="0" borderId="1" xfId="0" applyNumberFormat="1" applyFont="1" applyBorder="1" applyAlignment="1">
      <alignment horizontal="center" vertical="center"/>
    </xf>
    <xf numFmtId="186" fontId="4" fillId="0" borderId="0" xfId="0" applyNumberFormat="1" applyFont="1"/>
    <xf numFmtId="0" fontId="4" fillId="0" borderId="13" xfId="0" applyFont="1" applyBorder="1"/>
    <xf numFmtId="0" fontId="4" fillId="0" borderId="0" xfId="0" applyFont="1"/>
    <xf numFmtId="0" fontId="0" fillId="0" borderId="13" xfId="0" applyBorder="1"/>
    <xf numFmtId="0" fontId="22" fillId="0" borderId="1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42" fontId="4" fillId="0" borderId="5" xfId="0" applyNumberFormat="1" applyFont="1" applyBorder="1" applyAlignment="1">
      <alignment horizontal="center" vertical="center"/>
    </xf>
    <xf numFmtId="42" fontId="4" fillId="0" borderId="8" xfId="0" applyNumberFormat="1" applyFont="1" applyBorder="1"/>
    <xf numFmtId="0" fontId="32" fillId="0" borderId="0" xfId="0" applyFont="1"/>
    <xf numFmtId="42" fontId="4" fillId="0" borderId="10" xfId="0" applyNumberFormat="1" applyFont="1" applyBorder="1" applyAlignment="1">
      <alignment horizontal="center" vertical="center"/>
    </xf>
    <xf numFmtId="42" fontId="4" fillId="0" borderId="10" xfId="0" applyNumberFormat="1" applyFont="1" applyBorder="1"/>
    <xf numFmtId="0" fontId="4" fillId="0" borderId="3" xfId="0" applyFont="1" applyBorder="1"/>
    <xf numFmtId="0" fontId="32" fillId="0" borderId="1" xfId="0" applyFont="1" applyBorder="1" applyAlignment="1">
      <alignment horizontal="center"/>
    </xf>
    <xf numFmtId="42" fontId="32" fillId="0" borderId="1" xfId="0" applyNumberFormat="1" applyFont="1" applyBorder="1" applyAlignment="1">
      <alignment horizontal="right"/>
    </xf>
    <xf numFmtId="0" fontId="18" fillId="0" borderId="17" xfId="0" applyFont="1" applyBorder="1" applyAlignment="1">
      <alignment horizontal="right"/>
    </xf>
    <xf numFmtId="9" fontId="32" fillId="0" borderId="17" xfId="0" applyNumberFormat="1" applyFont="1" applyBorder="1" applyAlignment="1">
      <alignment horizontal="center" vertical="center"/>
    </xf>
    <xf numFmtId="42" fontId="32" fillId="0" borderId="17" xfId="0" applyNumberFormat="1" applyFont="1" applyBorder="1" applyAlignment="1">
      <alignment horizontal="right"/>
    </xf>
    <xf numFmtId="0" fontId="18" fillId="0" borderId="0" xfId="0" applyFont="1" applyAlignment="1">
      <alignment horizontal="right"/>
    </xf>
    <xf numFmtId="42" fontId="32" fillId="0" borderId="0" xfId="0" applyNumberFormat="1" applyFont="1" applyAlignment="1">
      <alignment horizontal="right"/>
    </xf>
    <xf numFmtId="9" fontId="32" fillId="0" borderId="0" xfId="0" applyNumberFormat="1" applyFont="1" applyAlignment="1">
      <alignment horizontal="center" vertical="center"/>
    </xf>
    <xf numFmtId="0" fontId="18" fillId="0" borderId="0" xfId="0" applyFont="1"/>
    <xf numFmtId="0" fontId="4" fillId="0" borderId="0" xfId="0" applyFont="1" applyAlignment="1">
      <alignment horizontal="right"/>
    </xf>
    <xf numFmtId="169" fontId="2" fillId="0" borderId="0" xfId="16" applyFont="1" applyFill="1" applyAlignment="1">
      <alignment horizontal="center" vertical="center"/>
    </xf>
    <xf numFmtId="9" fontId="2" fillId="0" borderId="0" xfId="82" applyNumberFormat="1" applyAlignment="1">
      <alignment horizontal="center" vertical="center"/>
    </xf>
    <xf numFmtId="0" fontId="19" fillId="0" borderId="0" xfId="0" applyFont="1" applyAlignment="1">
      <alignment horizontal="center" vertical="center"/>
    </xf>
    <xf numFmtId="42" fontId="2" fillId="0" borderId="0" xfId="82" applyNumberFormat="1" applyAlignment="1">
      <alignment horizontal="center" vertical="center"/>
    </xf>
    <xf numFmtId="42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5" fillId="0" borderId="0" xfId="0" applyFont="1"/>
    <xf numFmtId="0" fontId="23" fillId="0" borderId="0" xfId="0" applyFont="1"/>
    <xf numFmtId="0" fontId="36" fillId="0" borderId="0" xfId="0" applyFont="1"/>
    <xf numFmtId="0" fontId="37" fillId="0" borderId="0" xfId="0" applyFont="1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187" fontId="20" fillId="0" borderId="0" xfId="0" applyNumberFormat="1" applyFont="1"/>
    <xf numFmtId="187" fontId="20" fillId="0" borderId="0" xfId="0" applyNumberFormat="1" applyFont="1" applyAlignment="1">
      <alignment horizontal="left"/>
    </xf>
    <xf numFmtId="187" fontId="38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38" fillId="0" borderId="0" xfId="0" applyFont="1"/>
    <xf numFmtId="0" fontId="38" fillId="0" borderId="11" xfId="0" applyFont="1" applyBorder="1"/>
    <xf numFmtId="0" fontId="20" fillId="0" borderId="1" xfId="0" applyFont="1" applyBorder="1" applyAlignment="1">
      <alignment horizontal="center"/>
    </xf>
    <xf numFmtId="9" fontId="20" fillId="0" borderId="1" xfId="81" applyFont="1" applyBorder="1" applyAlignment="1">
      <alignment horizontal="center" vertical="center"/>
    </xf>
    <xf numFmtId="0" fontId="24" fillId="0" borderId="5" xfId="0" applyFont="1" applyBorder="1" applyAlignment="1">
      <alignment horizontal="center"/>
    </xf>
    <xf numFmtId="0" fontId="24" fillId="0" borderId="2" xfId="0" applyFont="1" applyBorder="1"/>
    <xf numFmtId="0" fontId="0" fillId="0" borderId="5" xfId="0" applyBorder="1"/>
    <xf numFmtId="185" fontId="20" fillId="0" borderId="5" xfId="0" applyNumberFormat="1" applyFont="1" applyBorder="1" applyAlignment="1">
      <alignment horizontal="center"/>
    </xf>
    <xf numFmtId="188" fontId="20" fillId="0" borderId="7" xfId="0" applyNumberFormat="1" applyFont="1" applyBorder="1" applyAlignment="1">
      <alignment horizontal="center"/>
    </xf>
    <xf numFmtId="188" fontId="20" fillId="0" borderId="8" xfId="0" applyNumberFormat="1" applyFont="1" applyBorder="1" applyAlignment="1">
      <alignment horizontal="center"/>
    </xf>
    <xf numFmtId="169" fontId="20" fillId="0" borderId="8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/>
    <xf numFmtId="0" fontId="0" fillId="0" borderId="8" xfId="0" applyBorder="1"/>
    <xf numFmtId="185" fontId="20" fillId="0" borderId="8" xfId="0" applyNumberFormat="1" applyFont="1" applyBorder="1" applyAlignment="1">
      <alignment horizontal="center"/>
    </xf>
    <xf numFmtId="185" fontId="20" fillId="0" borderId="7" xfId="16" applyNumberFormat="1" applyFont="1" applyBorder="1" applyAlignment="1">
      <alignment horizontal="center"/>
    </xf>
    <xf numFmtId="185" fontId="20" fillId="0" borderId="8" xfId="16" applyNumberFormat="1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5" fillId="0" borderId="6" xfId="59" applyFont="1" applyBorder="1" applyAlignment="1" applyProtection="1">
      <alignment horizontal="left"/>
    </xf>
    <xf numFmtId="0" fontId="39" fillId="0" borderId="8" xfId="0" applyFont="1" applyBorder="1" applyAlignment="1">
      <alignment horizontal="center"/>
    </xf>
    <xf numFmtId="185" fontId="20" fillId="0" borderId="8" xfId="16" applyNumberFormat="1" applyFont="1" applyBorder="1"/>
    <xf numFmtId="185" fontId="10" fillId="0" borderId="8" xfId="16" applyNumberFormat="1" applyFont="1" applyFill="1" applyBorder="1" applyAlignment="1"/>
    <xf numFmtId="185" fontId="20" fillId="0" borderId="7" xfId="16" applyNumberFormat="1" applyFont="1" applyFill="1" applyBorder="1" applyAlignment="1">
      <alignment horizontal="center"/>
    </xf>
    <xf numFmtId="0" fontId="2" fillId="0" borderId="6" xfId="59" applyBorder="1" applyAlignment="1" applyProtection="1">
      <alignment horizontal="left"/>
    </xf>
    <xf numFmtId="0" fontId="24" fillId="0" borderId="6" xfId="0" applyFont="1" applyBorder="1" applyAlignment="1">
      <alignment horizontal="center"/>
    </xf>
    <xf numFmtId="185" fontId="20" fillId="0" borderId="7" xfId="16" applyNumberFormat="1" applyFont="1" applyBorder="1"/>
    <xf numFmtId="0" fontId="20" fillId="0" borderId="8" xfId="0" applyFont="1" applyBorder="1" applyAlignment="1">
      <alignment horizontal="center" vertical="center"/>
    </xf>
    <xf numFmtId="185" fontId="10" fillId="0" borderId="8" xfId="16" applyNumberFormat="1" applyFont="1" applyBorder="1" applyAlignment="1"/>
    <xf numFmtId="185" fontId="20" fillId="0" borderId="0" xfId="16" applyNumberFormat="1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185" fontId="20" fillId="0" borderId="0" xfId="0" applyNumberFormat="1" applyFont="1" applyAlignment="1">
      <alignment horizontal="center"/>
    </xf>
    <xf numFmtId="169" fontId="38" fillId="0" borderId="8" xfId="0" applyNumberFormat="1" applyFont="1" applyBorder="1" applyAlignment="1">
      <alignment horizontal="center"/>
    </xf>
    <xf numFmtId="9" fontId="0" fillId="0" borderId="8" xfId="81" applyFont="1" applyBorder="1" applyAlignment="1">
      <alignment horizontal="center"/>
    </xf>
    <xf numFmtId="9" fontId="20" fillId="0" borderId="0" xfId="81" applyFont="1" applyBorder="1" applyAlignment="1">
      <alignment horizontal="center"/>
    </xf>
    <xf numFmtId="0" fontId="5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185" fontId="20" fillId="0" borderId="8" xfId="16" applyNumberFormat="1" applyFont="1" applyFill="1" applyBorder="1" applyAlignment="1">
      <alignment horizontal="center"/>
    </xf>
    <xf numFmtId="0" fontId="38" fillId="0" borderId="8" xfId="0" applyFont="1" applyBorder="1" applyAlignment="1">
      <alignment horizontal="center" vertical="center"/>
    </xf>
    <xf numFmtId="0" fontId="38" fillId="0" borderId="8" xfId="0" applyFont="1" applyBorder="1" applyAlignment="1">
      <alignment horizontal="left"/>
    </xf>
    <xf numFmtId="169" fontId="20" fillId="0" borderId="7" xfId="0" applyNumberFormat="1" applyFont="1" applyBorder="1" applyAlignment="1">
      <alignment horizontal="center"/>
    </xf>
    <xf numFmtId="188" fontId="20" fillId="0" borderId="8" xfId="0" applyNumberFormat="1" applyFont="1" applyBorder="1"/>
    <xf numFmtId="169" fontId="0" fillId="0" borderId="0" xfId="0" applyNumberFormat="1"/>
    <xf numFmtId="0" fontId="20" fillId="0" borderId="8" xfId="0" applyFont="1" applyBorder="1" applyAlignment="1">
      <alignment horizontal="center"/>
    </xf>
    <xf numFmtId="0" fontId="5" fillId="0" borderId="8" xfId="0" applyFont="1" applyBorder="1"/>
    <xf numFmtId="185" fontId="0" fillId="0" borderId="8" xfId="16" applyNumberFormat="1" applyFont="1" applyBorder="1" applyAlignment="1">
      <alignment horizontal="center"/>
    </xf>
    <xf numFmtId="185" fontId="40" fillId="0" borderId="8" xfId="16" applyNumberFormat="1" applyFont="1" applyFill="1" applyBorder="1" applyAlignment="1">
      <alignment horizontal="center"/>
    </xf>
    <xf numFmtId="185" fontId="38" fillId="0" borderId="23" xfId="16" applyNumberFormat="1" applyFont="1" applyFill="1" applyBorder="1" applyAlignment="1">
      <alignment horizontal="center"/>
    </xf>
    <xf numFmtId="9" fontId="20" fillId="0" borderId="7" xfId="81" applyFont="1" applyFill="1" applyBorder="1" applyAlignment="1">
      <alignment horizontal="center"/>
    </xf>
    <xf numFmtId="188" fontId="20" fillId="0" borderId="6" xfId="0" applyNumberFormat="1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5" fillId="0" borderId="0" xfId="0" applyFont="1"/>
    <xf numFmtId="188" fontId="20" fillId="0" borderId="8" xfId="2" applyNumberFormat="1" applyFont="1" applyFill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20" fillId="0" borderId="8" xfId="0" applyFont="1" applyBorder="1"/>
    <xf numFmtId="9" fontId="0" fillId="0" borderId="7" xfId="16" applyNumberFormat="1" applyFont="1" applyBorder="1" applyAlignment="1">
      <alignment horizontal="center"/>
    </xf>
    <xf numFmtId="189" fontId="20" fillId="0" borderId="0" xfId="16" applyNumberFormat="1" applyFont="1" applyBorder="1" applyAlignment="1">
      <alignment horizontal="center"/>
    </xf>
    <xf numFmtId="185" fontId="0" fillId="0" borderId="7" xfId="16" applyNumberFormat="1" applyFont="1" applyBorder="1" applyAlignment="1">
      <alignment horizontal="center"/>
    </xf>
    <xf numFmtId="188" fontId="20" fillId="0" borderId="0" xfId="16" applyNumberFormat="1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38" fillId="0" borderId="8" xfId="0" applyFont="1" applyBorder="1"/>
    <xf numFmtId="0" fontId="38" fillId="0" borderId="7" xfId="0" applyFont="1" applyBorder="1"/>
    <xf numFmtId="9" fontId="20" fillId="0" borderId="7" xfId="0" applyNumberFormat="1" applyFont="1" applyBorder="1" applyAlignment="1">
      <alignment horizontal="center"/>
    </xf>
    <xf numFmtId="1" fontId="20" fillId="0" borderId="6" xfId="16" applyNumberFormat="1" applyFont="1" applyFill="1" applyBorder="1" applyAlignment="1">
      <alignment horizontal="center"/>
    </xf>
    <xf numFmtId="9" fontId="20" fillId="0" borderId="7" xfId="81" applyFont="1" applyBorder="1" applyAlignment="1">
      <alignment horizontal="center" vertical="center"/>
    </xf>
    <xf numFmtId="37" fontId="0" fillId="0" borderId="6" xfId="0" applyNumberFormat="1" applyBorder="1" applyAlignment="1">
      <alignment horizontal="center"/>
    </xf>
    <xf numFmtId="185" fontId="20" fillId="0" borderId="7" xfId="0" applyNumberFormat="1" applyFont="1" applyBorder="1" applyAlignment="1">
      <alignment horizontal="center" vertical="center"/>
    </xf>
    <xf numFmtId="169" fontId="20" fillId="0" borderId="7" xfId="81" applyNumberFormat="1" applyFont="1" applyFill="1" applyBorder="1" applyAlignment="1">
      <alignment horizontal="center"/>
    </xf>
    <xf numFmtId="9" fontId="20" fillId="0" borderId="7" xfId="81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169" fontId="20" fillId="0" borderId="9" xfId="0" applyNumberFormat="1" applyFont="1" applyBorder="1" applyAlignment="1">
      <alignment horizontal="center"/>
    </xf>
    <xf numFmtId="188" fontId="38" fillId="0" borderId="10" xfId="2" applyNumberFormat="1" applyFont="1" applyBorder="1" applyAlignment="1">
      <alignment horizontal="center" vertical="center"/>
    </xf>
    <xf numFmtId="9" fontId="20" fillId="0" borderId="10" xfId="81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2" xfId="0" applyFont="1" applyBorder="1"/>
    <xf numFmtId="0" fontId="20" fillId="0" borderId="3" xfId="0" applyFont="1" applyBorder="1"/>
    <xf numFmtId="0" fontId="20" fillId="0" borderId="4" xfId="0" applyFont="1" applyBorder="1"/>
    <xf numFmtId="0" fontId="20" fillId="0" borderId="6" xfId="0" applyFont="1" applyBorder="1"/>
    <xf numFmtId="0" fontId="20" fillId="0" borderId="0" xfId="0" applyFont="1"/>
    <xf numFmtId="0" fontId="20" fillId="0" borderId="7" xfId="0" applyFont="1" applyBorder="1"/>
    <xf numFmtId="0" fontId="20" fillId="0" borderId="10" xfId="0" applyFont="1" applyBorder="1" applyAlignment="1">
      <alignment horizontal="center"/>
    </xf>
    <xf numFmtId="0" fontId="20" fillId="0" borderId="9" xfId="0" applyFont="1" applyBorder="1"/>
    <xf numFmtId="0" fontId="20" fillId="0" borderId="11" xfId="0" applyFont="1" applyBorder="1"/>
    <xf numFmtId="0" fontId="20" fillId="0" borderId="12" xfId="0" applyFont="1" applyBorder="1"/>
    <xf numFmtId="190" fontId="20" fillId="0" borderId="8" xfId="16" applyNumberFormat="1" applyFont="1" applyBorder="1"/>
    <xf numFmtId="190" fontId="20" fillId="0" borderId="7" xfId="16" applyNumberFormat="1" applyFont="1" applyFill="1" applyBorder="1" applyAlignment="1">
      <alignment horizontal="center"/>
    </xf>
    <xf numFmtId="190" fontId="20" fillId="0" borderId="7" xfId="16" applyNumberFormat="1" applyFont="1" applyBorder="1"/>
    <xf numFmtId="190" fontId="38" fillId="0" borderId="23" xfId="16" applyNumberFormat="1" applyFont="1" applyFill="1" applyBorder="1" applyAlignment="1">
      <alignment horizontal="center"/>
    </xf>
    <xf numFmtId="190" fontId="38" fillId="0" borderId="23" xfId="16" applyNumberFormat="1" applyFont="1" applyBorder="1" applyAlignment="1">
      <alignment horizontal="center" vertical="center"/>
    </xf>
    <xf numFmtId="190" fontId="5" fillId="0" borderId="7" xfId="16" applyNumberFormat="1" applyFont="1" applyFill="1" applyBorder="1" applyAlignment="1">
      <alignment horizontal="center"/>
    </xf>
    <xf numFmtId="190" fontId="5" fillId="0" borderId="4" xfId="16" applyNumberFormat="1" applyFont="1" applyFill="1" applyBorder="1" applyAlignment="1">
      <alignment horizontal="center"/>
    </xf>
    <xf numFmtId="190" fontId="5" fillId="0" borderId="23" xfId="16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3" fillId="0" borderId="0" xfId="0" applyFont="1"/>
    <xf numFmtId="0" fontId="34" fillId="0" borderId="0" xfId="0" applyFont="1"/>
    <xf numFmtId="190" fontId="20" fillId="0" borderId="0" xfId="16" applyNumberFormat="1" applyFont="1" applyBorder="1"/>
    <xf numFmtId="9" fontId="10" fillId="0" borderId="0" xfId="81" applyFont="1" applyFill="1"/>
    <xf numFmtId="0" fontId="24" fillId="0" borderId="0" xfId="0" applyFont="1"/>
    <xf numFmtId="182" fontId="10" fillId="0" borderId="0" xfId="82" applyNumberFormat="1" applyFont="1"/>
    <xf numFmtId="9" fontId="2" fillId="0" borderId="0" xfId="81" applyFont="1" applyFill="1"/>
    <xf numFmtId="0" fontId="26" fillId="0" borderId="0" xfId="82" applyFont="1"/>
    <xf numFmtId="0" fontId="25" fillId="0" borderId="0" xfId="82" applyFont="1"/>
    <xf numFmtId="0" fontId="17" fillId="0" borderId="0" xfId="82" applyFont="1"/>
    <xf numFmtId="0" fontId="17" fillId="0" borderId="0" xfId="82" applyFont="1" applyAlignment="1">
      <alignment horizontal="right"/>
    </xf>
    <xf numFmtId="178" fontId="17" fillId="0" borderId="1" xfId="62" applyNumberFormat="1" applyFont="1" applyBorder="1" applyAlignment="1">
      <alignment horizontal="center" vertical="center"/>
    </xf>
    <xf numFmtId="3" fontId="25" fillId="0" borderId="5" xfId="62" applyNumberFormat="1" applyFont="1" applyBorder="1" applyAlignment="1">
      <alignment horizontal="center" vertical="center"/>
    </xf>
    <xf numFmtId="0" fontId="17" fillId="0" borderId="1" xfId="82" applyFont="1" applyBorder="1" applyAlignment="1">
      <alignment horizontal="center"/>
    </xf>
    <xf numFmtId="0" fontId="17" fillId="0" borderId="1" xfId="82" applyFont="1" applyBorder="1"/>
    <xf numFmtId="0" fontId="17" fillId="0" borderId="1" xfId="3" applyFont="1" applyBorder="1" applyAlignment="1">
      <alignment horizontal="center"/>
    </xf>
    <xf numFmtId="178" fontId="17" fillId="0" borderId="1" xfId="62" applyNumberFormat="1" applyFont="1" applyBorder="1" applyAlignment="1">
      <alignment horizontal="center"/>
    </xf>
    <xf numFmtId="177" fontId="17" fillId="0" borderId="1" xfId="62" applyNumberFormat="1" applyFont="1" applyBorder="1" applyAlignment="1">
      <alignment horizontal="center"/>
    </xf>
    <xf numFmtId="2" fontId="17" fillId="0" borderId="1" xfId="62" applyNumberFormat="1" applyFont="1" applyBorder="1" applyAlignment="1">
      <alignment horizontal="center"/>
    </xf>
    <xf numFmtId="4" fontId="17" fillId="0" borderId="1" xfId="62" applyNumberFormat="1" applyFont="1" applyBorder="1" applyAlignment="1">
      <alignment horizontal="right"/>
    </xf>
    <xf numFmtId="168" fontId="17" fillId="0" borderId="1" xfId="41" applyNumberFormat="1" applyFont="1" applyFill="1" applyBorder="1" applyAlignment="1">
      <alignment horizontal="right"/>
    </xf>
    <xf numFmtId="167" fontId="17" fillId="0" borderId="1" xfId="2" applyNumberFormat="1" applyFont="1" applyFill="1" applyBorder="1"/>
    <xf numFmtId="0" fontId="17" fillId="0" borderId="1" xfId="62" applyFont="1" applyBorder="1" applyAlignment="1">
      <alignment horizontal="center"/>
    </xf>
    <xf numFmtId="169" fontId="17" fillId="0" borderId="1" xfId="83" applyNumberFormat="1" applyFont="1" applyFill="1" applyBorder="1" applyAlignment="1">
      <alignment horizontal="center"/>
    </xf>
    <xf numFmtId="168" fontId="17" fillId="0" borderId="5" xfId="41" applyNumberFormat="1" applyFont="1" applyFill="1" applyBorder="1" applyAlignment="1">
      <alignment horizontal="right"/>
    </xf>
    <xf numFmtId="168" fontId="17" fillId="0" borderId="0" xfId="82" applyNumberFormat="1" applyFont="1"/>
    <xf numFmtId="191" fontId="17" fillId="0" borderId="0" xfId="82" applyNumberFormat="1" applyFont="1"/>
    <xf numFmtId="9" fontId="17" fillId="5" borderId="1" xfId="82" applyNumberFormat="1" applyFont="1" applyFill="1" applyBorder="1" applyAlignment="1">
      <alignment horizontal="center" vertical="center"/>
    </xf>
    <xf numFmtId="192" fontId="17" fillId="0" borderId="0" xfId="82" applyNumberFormat="1" applyFont="1"/>
    <xf numFmtId="0" fontId="17" fillId="0" borderId="0" xfId="82" applyFont="1" applyAlignment="1">
      <alignment horizontal="left"/>
    </xf>
    <xf numFmtId="180" fontId="26" fillId="0" borderId="1" xfId="3" applyNumberFormat="1" applyFont="1" applyBorder="1" applyAlignment="1">
      <alignment horizontal="center"/>
    </xf>
    <xf numFmtId="180" fontId="26" fillId="0" borderId="1" xfId="62" applyNumberFormat="1" applyFont="1" applyBorder="1" applyAlignment="1">
      <alignment horizontal="center"/>
    </xf>
    <xf numFmtId="181" fontId="26" fillId="0" borderId="1" xfId="82" applyNumberFormat="1" applyFont="1" applyBorder="1" applyAlignment="1">
      <alignment horizontal="center"/>
    </xf>
    <xf numFmtId="167" fontId="17" fillId="12" borderId="1" xfId="82" applyNumberFormat="1" applyFont="1" applyFill="1" applyBorder="1"/>
    <xf numFmtId="167" fontId="17" fillId="12" borderId="1" xfId="84" applyNumberFormat="1" applyFont="1" applyFill="1" applyBorder="1" applyAlignment="1">
      <alignment horizontal="right"/>
    </xf>
    <xf numFmtId="167" fontId="17" fillId="12" borderId="1" xfId="82" applyNumberFormat="1" applyFont="1" applyFill="1" applyBorder="1" applyAlignment="1">
      <alignment horizontal="left" indent="1"/>
    </xf>
    <xf numFmtId="167" fontId="17" fillId="12" borderId="1" xfId="82" applyNumberFormat="1" applyFont="1" applyFill="1" applyBorder="1" applyAlignment="1">
      <alignment horizontal="center"/>
    </xf>
    <xf numFmtId="9" fontId="26" fillId="0" borderId="1" xfId="82" applyNumberFormat="1" applyFont="1" applyBorder="1" applyAlignment="1">
      <alignment horizontal="center"/>
    </xf>
    <xf numFmtId="0" fontId="42" fillId="0" borderId="0" xfId="0" applyFont="1"/>
    <xf numFmtId="0" fontId="43" fillId="0" borderId="0" xfId="0" quotePrefix="1" applyFont="1" applyAlignment="1">
      <alignment horizontal="left" indent="1"/>
    </xf>
    <xf numFmtId="43" fontId="10" fillId="0" borderId="0" xfId="1" applyFont="1" applyFill="1"/>
    <xf numFmtId="169" fontId="2" fillId="0" borderId="0" xfId="82" applyNumberFormat="1"/>
    <xf numFmtId="167" fontId="17" fillId="0" borderId="0" xfId="82" applyNumberFormat="1" applyFont="1"/>
    <xf numFmtId="170" fontId="17" fillId="0" borderId="0" xfId="1" applyNumberFormat="1" applyFont="1" applyFill="1"/>
    <xf numFmtId="0" fontId="0" fillId="0" borderId="0" xfId="0" applyAlignment="1">
      <alignment vertical="center"/>
    </xf>
    <xf numFmtId="193" fontId="2" fillId="0" borderId="0" xfId="82" applyNumberFormat="1"/>
    <xf numFmtId="1" fontId="0" fillId="0" borderId="0" xfId="0" applyNumberFormat="1"/>
    <xf numFmtId="167" fontId="10" fillId="0" borderId="0" xfId="82" applyNumberFormat="1" applyFont="1"/>
    <xf numFmtId="169" fontId="10" fillId="0" borderId="0" xfId="82" applyNumberFormat="1" applyFont="1"/>
    <xf numFmtId="0" fontId="10" fillId="0" borderId="0" xfId="81" applyNumberFormat="1" applyFont="1" applyFill="1"/>
    <xf numFmtId="1" fontId="10" fillId="0" borderId="0" xfId="82" applyNumberFormat="1" applyFont="1"/>
    <xf numFmtId="3" fontId="46" fillId="0" borderId="1" xfId="0" applyNumberFormat="1" applyFont="1" applyBorder="1" applyAlignment="1">
      <alignment horizontal="right" vertical="center"/>
    </xf>
    <xf numFmtId="0" fontId="17" fillId="0" borderId="1" xfId="3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48" fillId="0" borderId="0" xfId="91" applyFont="1" applyAlignment="1">
      <alignment horizontal="left" vertical="top"/>
    </xf>
    <xf numFmtId="0" fontId="2" fillId="0" borderId="28" xfId="91" applyFont="1" applyBorder="1" applyAlignment="1">
      <alignment horizontal="left" vertical="top" wrapText="1" indent="3"/>
    </xf>
    <xf numFmtId="0" fontId="2" fillId="0" borderId="28" xfId="91" applyFont="1" applyBorder="1" applyAlignment="1">
      <alignment horizontal="left" vertical="top" wrapText="1" indent="4"/>
    </xf>
    <xf numFmtId="1" fontId="48" fillId="0" borderId="28" xfId="91" applyNumberFormat="1" applyFont="1" applyBorder="1" applyAlignment="1">
      <alignment horizontal="right" vertical="top" indent="4" shrinkToFit="1"/>
    </xf>
    <xf numFmtId="3" fontId="48" fillId="0" borderId="28" xfId="91" applyNumberFormat="1" applyFont="1" applyBorder="1" applyAlignment="1">
      <alignment horizontal="right" vertical="top" indent="1" shrinkToFit="1"/>
    </xf>
    <xf numFmtId="1" fontId="17" fillId="0" borderId="1" xfId="0" applyNumberFormat="1" applyFont="1" applyBorder="1" applyAlignment="1">
      <alignment horizontal="center" vertical="top" shrinkToFit="1"/>
    </xf>
    <xf numFmtId="185" fontId="17" fillId="0" borderId="1" xfId="1" applyNumberFormat="1" applyFont="1" applyFill="1" applyBorder="1" applyAlignment="1">
      <alignment horizontal="center" vertical="top" shrinkToFit="1"/>
    </xf>
    <xf numFmtId="185" fontId="17" fillId="0" borderId="1" xfId="1" applyNumberFormat="1" applyFont="1" applyFill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center" wrapText="1"/>
    </xf>
    <xf numFmtId="185" fontId="17" fillId="0" borderId="1" xfId="1" applyNumberFormat="1" applyFont="1" applyFill="1" applyBorder="1" applyAlignment="1">
      <alignment horizontal="center" vertical="center" shrinkToFit="1"/>
    </xf>
    <xf numFmtId="194" fontId="17" fillId="0" borderId="1" xfId="0" applyNumberFormat="1" applyFont="1" applyBorder="1" applyAlignment="1">
      <alignment horizontal="center" vertical="top" shrinkToFit="1"/>
    </xf>
    <xf numFmtId="185" fontId="17" fillId="0" borderId="1" xfId="1" applyNumberFormat="1" applyFont="1" applyFill="1" applyBorder="1" applyAlignment="1">
      <alignment vertical="top" shrinkToFit="1"/>
    </xf>
    <xf numFmtId="185" fontId="17" fillId="0" borderId="1" xfId="1" applyNumberFormat="1" applyFont="1" applyFill="1" applyBorder="1" applyAlignment="1">
      <alignment vertical="top" wrapText="1"/>
    </xf>
    <xf numFmtId="185" fontId="17" fillId="0" borderId="1" xfId="1" applyNumberFormat="1" applyFont="1" applyFill="1" applyBorder="1" applyAlignment="1">
      <alignment wrapText="1"/>
    </xf>
    <xf numFmtId="185" fontId="17" fillId="0" borderId="30" xfId="1" applyNumberFormat="1" applyFont="1" applyFill="1" applyBorder="1" applyAlignment="1">
      <alignment vertical="top" shrinkToFit="1"/>
    </xf>
    <xf numFmtId="185" fontId="17" fillId="0" borderId="30" xfId="1" applyNumberFormat="1" applyFont="1" applyFill="1" applyBorder="1" applyAlignment="1">
      <alignment vertical="top" wrapText="1"/>
    </xf>
    <xf numFmtId="185" fontId="17" fillId="0" borderId="31" xfId="1" applyNumberFormat="1" applyFont="1" applyFill="1" applyBorder="1" applyAlignment="1">
      <alignment vertical="top" shrinkToFit="1"/>
    </xf>
    <xf numFmtId="185" fontId="17" fillId="0" borderId="34" xfId="1" applyNumberFormat="1" applyFont="1" applyFill="1" applyBorder="1" applyAlignment="1">
      <alignment vertical="top" shrinkToFit="1"/>
    </xf>
    <xf numFmtId="185" fontId="17" fillId="0" borderId="35" xfId="1" applyNumberFormat="1" applyFont="1" applyFill="1" applyBorder="1" applyAlignment="1">
      <alignment vertical="top" shrinkToFit="1"/>
    </xf>
    <xf numFmtId="185" fontId="17" fillId="0" borderId="36" xfId="1" applyNumberFormat="1" applyFont="1" applyFill="1" applyBorder="1" applyAlignment="1">
      <alignment vertical="top" shrinkToFit="1"/>
    </xf>
    <xf numFmtId="185" fontId="17" fillId="0" borderId="30" xfId="1" applyNumberFormat="1" applyFont="1" applyFill="1" applyBorder="1" applyAlignment="1">
      <alignment wrapText="1"/>
    </xf>
    <xf numFmtId="185" fontId="17" fillId="0" borderId="39" xfId="1" applyNumberFormat="1" applyFont="1" applyFill="1" applyBorder="1" applyAlignment="1">
      <alignment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85" fontId="17" fillId="0" borderId="1" xfId="1" applyNumberFormat="1" applyFont="1" applyFill="1" applyBorder="1" applyAlignment="1">
      <alignment horizontal="center" vertical="center" wrapText="1"/>
    </xf>
    <xf numFmtId="185" fontId="17" fillId="0" borderId="1" xfId="1" applyNumberFormat="1" applyFont="1" applyFill="1" applyBorder="1" applyAlignment="1">
      <alignment vertical="center" shrinkToFit="1"/>
    </xf>
    <xf numFmtId="185" fontId="17" fillId="0" borderId="1" xfId="1" applyNumberFormat="1" applyFont="1" applyFill="1" applyBorder="1" applyAlignment="1">
      <alignment vertical="center"/>
    </xf>
    <xf numFmtId="185" fontId="17" fillId="0" borderId="1" xfId="1" applyNumberFormat="1" applyFont="1" applyFill="1" applyBorder="1" applyAlignment="1">
      <alignment vertical="center" wrapText="1"/>
    </xf>
    <xf numFmtId="1" fontId="49" fillId="0" borderId="40" xfId="0" applyNumberFormat="1" applyFont="1" applyBorder="1" applyAlignment="1">
      <alignment horizontal="center" vertical="center" shrinkToFit="1"/>
    </xf>
    <xf numFmtId="185" fontId="17" fillId="0" borderId="41" xfId="1" applyNumberFormat="1" applyFont="1" applyFill="1" applyBorder="1" applyAlignment="1">
      <alignment horizontal="center" vertical="center" wrapText="1"/>
    </xf>
    <xf numFmtId="1" fontId="49" fillId="0" borderId="42" xfId="0" applyNumberFormat="1" applyFont="1" applyBorder="1" applyAlignment="1">
      <alignment horizontal="center" vertical="center" shrinkToFit="1"/>
    </xf>
    <xf numFmtId="185" fontId="49" fillId="0" borderId="43" xfId="1" applyNumberFormat="1" applyFont="1" applyFill="1" applyBorder="1" applyAlignment="1">
      <alignment horizontal="center" vertical="center" shrinkToFit="1"/>
    </xf>
    <xf numFmtId="1" fontId="49" fillId="0" borderId="28" xfId="0" applyNumberFormat="1" applyFont="1" applyBorder="1" applyAlignment="1">
      <alignment horizontal="center" vertical="center" shrinkToFit="1"/>
    </xf>
    <xf numFmtId="185" fontId="49" fillId="0" borderId="28" xfId="1" applyNumberFormat="1" applyFont="1" applyFill="1" applyBorder="1" applyAlignment="1">
      <alignment horizontal="center" vertical="center" shrinkToFit="1"/>
    </xf>
    <xf numFmtId="185" fontId="17" fillId="0" borderId="28" xfId="1" applyNumberFormat="1" applyFont="1" applyFill="1" applyBorder="1" applyAlignment="1">
      <alignment horizontal="center" vertical="center" wrapText="1"/>
    </xf>
    <xf numFmtId="0" fontId="51" fillId="0" borderId="28" xfId="0" applyFont="1" applyBorder="1" applyAlignment="1">
      <alignment horizontal="center" vertical="center" wrapText="1"/>
    </xf>
    <xf numFmtId="1" fontId="52" fillId="0" borderId="28" xfId="0" applyNumberFormat="1" applyFont="1" applyBorder="1" applyAlignment="1">
      <alignment horizontal="center" vertical="center" shrinkToFit="1"/>
    </xf>
    <xf numFmtId="0" fontId="17" fillId="0" borderId="28" xfId="0" applyFont="1" applyBorder="1" applyAlignment="1">
      <alignment horizontal="center" vertical="center" wrapText="1"/>
    </xf>
    <xf numFmtId="185" fontId="49" fillId="0" borderId="44" xfId="1" applyNumberFormat="1" applyFont="1" applyFill="1" applyBorder="1" applyAlignment="1">
      <alignment horizontal="center" vertical="center" shrinkToFit="1"/>
    </xf>
    <xf numFmtId="185" fontId="49" fillId="0" borderId="45" xfId="1" applyNumberFormat="1" applyFont="1" applyFill="1" applyBorder="1" applyAlignment="1">
      <alignment horizontal="center" vertical="center" shrinkToFit="1"/>
    </xf>
    <xf numFmtId="185" fontId="49" fillId="0" borderId="28" xfId="1" applyNumberFormat="1" applyFont="1" applyFill="1" applyBorder="1" applyAlignment="1">
      <alignment horizontal="left" vertical="center" wrapText="1"/>
    </xf>
    <xf numFmtId="185" fontId="49" fillId="0" borderId="46" xfId="1" applyNumberFormat="1" applyFont="1" applyFill="1" applyBorder="1" applyAlignment="1">
      <alignment horizontal="center" vertical="center" shrinkToFit="1"/>
    </xf>
    <xf numFmtId="185" fontId="49" fillId="0" borderId="47" xfId="1" applyNumberFormat="1" applyFont="1" applyFill="1" applyBorder="1" applyAlignment="1">
      <alignment horizontal="center" vertical="center" shrinkToFit="1"/>
    </xf>
    <xf numFmtId="185" fontId="49" fillId="0" borderId="24" xfId="1" applyNumberFormat="1" applyFont="1" applyFill="1" applyBorder="1" applyAlignment="1">
      <alignment horizontal="center" vertical="center" shrinkToFit="1"/>
    </xf>
    <xf numFmtId="1" fontId="49" fillId="0" borderId="25" xfId="0" applyNumberFormat="1" applyFont="1" applyBorder="1" applyAlignment="1">
      <alignment horizontal="center" vertical="center" shrinkToFit="1"/>
    </xf>
    <xf numFmtId="185" fontId="49" fillId="0" borderId="1" xfId="1" applyNumberFormat="1" applyFont="1" applyFill="1" applyBorder="1" applyAlignment="1">
      <alignment horizontal="center" vertical="center" shrinkToFit="1"/>
    </xf>
    <xf numFmtId="0" fontId="17" fillId="0" borderId="25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wrapText="1"/>
    </xf>
    <xf numFmtId="1" fontId="17" fillId="0" borderId="30" xfId="0" applyNumberFormat="1" applyFont="1" applyBorder="1" applyAlignment="1">
      <alignment horizontal="center" vertical="top" shrinkToFit="1"/>
    </xf>
    <xf numFmtId="1" fontId="17" fillId="0" borderId="32" xfId="0" applyNumberFormat="1" applyFont="1" applyBorder="1" applyAlignment="1">
      <alignment horizontal="center" vertical="top" shrinkToFit="1"/>
    </xf>
    <xf numFmtId="1" fontId="17" fillId="0" borderId="33" xfId="0" applyNumberFormat="1" applyFont="1" applyBorder="1" applyAlignment="1">
      <alignment horizontal="center" vertical="top" shrinkToFit="1"/>
    </xf>
    <xf numFmtId="1" fontId="17" fillId="0" borderId="37" xfId="0" applyNumberFormat="1" applyFont="1" applyBorder="1" applyAlignment="1">
      <alignment horizontal="center" vertical="top" shrinkToFit="1"/>
    </xf>
    <xf numFmtId="1" fontId="17" fillId="0" borderId="38" xfId="0" applyNumberFormat="1" applyFont="1" applyBorder="1" applyAlignment="1">
      <alignment horizontal="center" vertical="top" shrinkToFit="1"/>
    </xf>
    <xf numFmtId="1" fontId="17" fillId="0" borderId="31" xfId="0" applyNumberFormat="1" applyFont="1" applyBorder="1" applyAlignment="1">
      <alignment horizontal="center" vertical="top" shrinkToFit="1"/>
    </xf>
    <xf numFmtId="3" fontId="48" fillId="0" borderId="0" xfId="91" applyNumberFormat="1" applyFont="1" applyAlignment="1">
      <alignment horizontal="right" vertical="top" indent="1" shrinkToFit="1"/>
    </xf>
    <xf numFmtId="0" fontId="0" fillId="0" borderId="1" xfId="0" applyBorder="1" applyAlignment="1">
      <alignment horizontal="center"/>
    </xf>
    <xf numFmtId="168" fontId="53" fillId="13" borderId="5" xfId="43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48" xfId="0" applyBorder="1" applyAlignment="1">
      <alignment horizontal="center"/>
    </xf>
    <xf numFmtId="168" fontId="53" fillId="8" borderId="1" xfId="43" applyNumberFormat="1" applyFont="1" applyFill="1" applyBorder="1" applyAlignment="1">
      <alignment horizontal="center" vertical="center"/>
    </xf>
    <xf numFmtId="168" fontId="53" fillId="14" borderId="10" xfId="0" applyNumberFormat="1" applyFont="1" applyFill="1" applyBorder="1" applyAlignment="1">
      <alignment horizontal="center" vertical="center"/>
    </xf>
    <xf numFmtId="180" fontId="17" fillId="12" borderId="1" xfId="3" applyNumberFormat="1" applyFont="1" applyFill="1" applyBorder="1" applyAlignment="1">
      <alignment horizontal="center"/>
    </xf>
    <xf numFmtId="180" fontId="17" fillId="12" borderId="1" xfId="62" applyNumberFormat="1" applyFont="1" applyFill="1" applyBorder="1" applyAlignment="1">
      <alignment horizontal="center"/>
    </xf>
    <xf numFmtId="0" fontId="26" fillId="0" borderId="1" xfId="82" applyFont="1" applyBorder="1"/>
    <xf numFmtId="0" fontId="26" fillId="0" borderId="1" xfId="82" applyFont="1" applyBorder="1" applyAlignment="1">
      <alignment horizontal="left"/>
    </xf>
    <xf numFmtId="0" fontId="55" fillId="15" borderId="1" xfId="0" applyFont="1" applyFill="1" applyBorder="1" applyAlignment="1">
      <alignment horizontal="center"/>
    </xf>
    <xf numFmtId="3" fontId="54" fillId="15" borderId="1" xfId="0" applyNumberFormat="1" applyFont="1" applyFill="1" applyBorder="1" applyAlignment="1">
      <alignment horizontal="center" vertical="center"/>
    </xf>
    <xf numFmtId="0" fontId="56" fillId="15" borderId="1" xfId="0" applyFont="1" applyFill="1" applyBorder="1" applyAlignment="1">
      <alignment horizontal="center" vertical="center"/>
    </xf>
    <xf numFmtId="181" fontId="26" fillId="0" borderId="0" xfId="82" applyNumberFormat="1" applyFont="1" applyAlignment="1">
      <alignment horizontal="center"/>
    </xf>
    <xf numFmtId="0" fontId="38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170" fontId="43" fillId="11" borderId="1" xfId="1" applyNumberFormat="1" applyFont="1" applyFill="1" applyBorder="1" applyAlignment="1">
      <alignment horizontal="center"/>
    </xf>
    <xf numFmtId="170" fontId="1" fillId="12" borderId="0" xfId="1" applyNumberFormat="1" applyFont="1" applyFill="1" applyAlignment="1">
      <alignment horizontal="right"/>
    </xf>
    <xf numFmtId="170" fontId="53" fillId="12" borderId="1" xfId="1" applyNumberFormat="1" applyFont="1" applyFill="1" applyBorder="1" applyAlignment="1">
      <alignment horizontal="right"/>
    </xf>
    <xf numFmtId="167" fontId="53" fillId="12" borderId="1" xfId="11" applyFont="1" applyFill="1" applyBorder="1" applyAlignment="1">
      <alignment horizontal="right"/>
    </xf>
    <xf numFmtId="170" fontId="1" fillId="12" borderId="1" xfId="1" applyNumberFormat="1" applyFont="1" applyFill="1" applyBorder="1" applyAlignment="1">
      <alignment horizontal="right"/>
    </xf>
    <xf numFmtId="181" fontId="47" fillId="0" borderId="1" xfId="0" applyNumberFormat="1" applyFont="1" applyBorder="1" applyAlignment="1">
      <alignment horizontal="center"/>
    </xf>
    <xf numFmtId="43" fontId="1" fillId="12" borderId="1" xfId="1" applyFont="1" applyFill="1" applyBorder="1" applyAlignment="1">
      <alignment horizontal="center"/>
    </xf>
    <xf numFmtId="0" fontId="43" fillId="11" borderId="1" xfId="0" applyFont="1" applyFill="1" applyBorder="1" applyAlignment="1">
      <alignment horizontal="center"/>
    </xf>
    <xf numFmtId="168" fontId="17" fillId="11" borderId="1" xfId="2" applyFont="1" applyFill="1" applyBorder="1"/>
    <xf numFmtId="0" fontId="17" fillId="11" borderId="1" xfId="82" applyFont="1" applyFill="1" applyBorder="1"/>
    <xf numFmtId="0" fontId="10" fillId="11" borderId="1" xfId="82" applyFont="1" applyFill="1" applyBorder="1"/>
    <xf numFmtId="181" fontId="17" fillId="11" borderId="1" xfId="82" applyNumberFormat="1" applyFont="1" applyFill="1" applyBorder="1" applyAlignment="1">
      <alignment horizontal="center"/>
    </xf>
    <xf numFmtId="168" fontId="17" fillId="5" borderId="1" xfId="2" applyFont="1" applyFill="1" applyBorder="1"/>
    <xf numFmtId="0" fontId="17" fillId="5" borderId="1" xfId="82" applyFont="1" applyFill="1" applyBorder="1"/>
    <xf numFmtId="0" fontId="10" fillId="5" borderId="1" xfId="82" applyFont="1" applyFill="1" applyBorder="1"/>
    <xf numFmtId="0" fontId="43" fillId="5" borderId="1" xfId="0" applyFont="1" applyFill="1" applyBorder="1" applyAlignment="1">
      <alignment horizontal="center"/>
    </xf>
    <xf numFmtId="181" fontId="17" fillId="5" borderId="1" xfId="82" applyNumberFormat="1" applyFont="1" applyFill="1" applyBorder="1" applyAlignment="1">
      <alignment horizontal="center"/>
    </xf>
    <xf numFmtId="0" fontId="0" fillId="0" borderId="49" xfId="0" applyBorder="1" applyAlignment="1">
      <alignment horizontal="left" vertical="top" wrapText="1"/>
    </xf>
    <xf numFmtId="0" fontId="61" fillId="0" borderId="49" xfId="0" applyFont="1" applyBorder="1" applyAlignment="1">
      <alignment horizontal="left" vertical="top" wrapText="1"/>
    </xf>
    <xf numFmtId="0" fontId="30" fillId="0" borderId="49" xfId="0" applyFont="1" applyBorder="1" applyAlignment="1">
      <alignment horizontal="left" vertical="top" wrapText="1"/>
    </xf>
    <xf numFmtId="0" fontId="2" fillId="0" borderId="49" xfId="0" applyFont="1" applyBorder="1" applyAlignment="1">
      <alignment horizontal="left" vertical="top" wrapText="1"/>
    </xf>
    <xf numFmtId="0" fontId="63" fillId="0" borderId="0" xfId="82" applyFont="1" applyAlignment="1">
      <alignment horizontal="center"/>
    </xf>
    <xf numFmtId="0" fontId="63" fillId="0" borderId="0" xfId="82" applyFont="1" applyAlignment="1">
      <alignment horizontal="right"/>
    </xf>
    <xf numFmtId="0" fontId="63" fillId="0" borderId="0" xfId="82" applyFont="1"/>
    <xf numFmtId="169" fontId="63" fillId="0" borderId="0" xfId="82" applyNumberFormat="1" applyFont="1"/>
    <xf numFmtId="0" fontId="25" fillId="0" borderId="1" xfId="82" applyFont="1" applyBorder="1" applyAlignment="1">
      <alignment horizontal="center"/>
    </xf>
    <xf numFmtId="0" fontId="25" fillId="0" borderId="1" xfId="83" applyNumberFormat="1" applyFont="1" applyFill="1" applyBorder="1" applyAlignment="1">
      <alignment horizontal="center"/>
    </xf>
    <xf numFmtId="0" fontId="10" fillId="0" borderId="0" xfId="82" applyFont="1" applyAlignment="1">
      <alignment horizontal="center"/>
    </xf>
    <xf numFmtId="0" fontId="65" fillId="0" borderId="1" xfId="91" applyFont="1" applyBorder="1" applyAlignment="1">
      <alignment horizontal="center" vertical="top"/>
    </xf>
    <xf numFmtId="0" fontId="64" fillId="0" borderId="1" xfId="0" applyFont="1" applyBorder="1"/>
    <xf numFmtId="195" fontId="64" fillId="0" borderId="1" xfId="0" applyNumberFormat="1" applyFont="1" applyBorder="1"/>
    <xf numFmtId="0" fontId="48" fillId="0" borderId="1" xfId="91" applyFont="1" applyBorder="1" applyAlignment="1">
      <alignment horizontal="left" vertical="top"/>
    </xf>
    <xf numFmtId="168" fontId="48" fillId="0" borderId="1" xfId="91" applyNumberFormat="1" applyFont="1" applyBorder="1" applyAlignment="1">
      <alignment horizontal="left" vertical="top"/>
    </xf>
    <xf numFmtId="0" fontId="2" fillId="0" borderId="51" xfId="0" applyFont="1" applyBorder="1" applyAlignment="1">
      <alignment horizontal="left" vertical="top" wrapText="1"/>
    </xf>
    <xf numFmtId="180" fontId="10" fillId="0" borderId="0" xfId="82" applyNumberFormat="1" applyFont="1"/>
    <xf numFmtId="193" fontId="10" fillId="0" borderId="0" xfId="82" applyNumberFormat="1" applyFont="1"/>
    <xf numFmtId="170" fontId="1" fillId="0" borderId="0" xfId="1" applyNumberFormat="1" applyFont="1" applyFill="1" applyAlignment="1"/>
    <xf numFmtId="196" fontId="1" fillId="0" borderId="0" xfId="1" applyNumberFormat="1" applyFont="1" applyFill="1" applyAlignment="1"/>
    <xf numFmtId="0" fontId="48" fillId="0" borderId="0" xfId="91" applyFont="1" applyAlignment="1">
      <alignment horizontal="center" vertical="top"/>
    </xf>
    <xf numFmtId="167" fontId="17" fillId="0" borderId="1" xfId="82" applyNumberFormat="1" applyFont="1" applyBorder="1"/>
    <xf numFmtId="2" fontId="48" fillId="0" borderId="0" xfId="91" applyNumberFormat="1" applyFont="1" applyAlignment="1">
      <alignment horizontal="left" vertical="top"/>
    </xf>
    <xf numFmtId="0" fontId="67" fillId="0" borderId="1" xfId="0" applyFont="1" applyBorder="1"/>
    <xf numFmtId="191" fontId="2" fillId="0" borderId="0" xfId="82" applyNumberFormat="1"/>
    <xf numFmtId="3" fontId="46" fillId="5" borderId="1" xfId="0" applyNumberFormat="1" applyFont="1" applyFill="1" applyBorder="1" applyAlignment="1">
      <alignment horizontal="center" vertical="center"/>
    </xf>
    <xf numFmtId="170" fontId="46" fillId="11" borderId="1" xfId="1" applyNumberFormat="1" applyFont="1" applyFill="1" applyBorder="1" applyAlignment="1">
      <alignment horizontal="center"/>
    </xf>
    <xf numFmtId="3" fontId="46" fillId="11" borderId="1" xfId="0" applyNumberFormat="1" applyFont="1" applyFill="1" applyBorder="1" applyAlignment="1">
      <alignment horizontal="center" vertical="center"/>
    </xf>
    <xf numFmtId="185" fontId="48" fillId="0" borderId="0" xfId="91" applyNumberFormat="1" applyFont="1" applyAlignment="1">
      <alignment horizontal="left" vertical="top"/>
    </xf>
    <xf numFmtId="185" fontId="49" fillId="5" borderId="28" xfId="1" applyNumberFormat="1" applyFont="1" applyFill="1" applyBorder="1" applyAlignment="1">
      <alignment horizontal="center" vertical="center" shrinkToFit="1"/>
    </xf>
    <xf numFmtId="0" fontId="43" fillId="0" borderId="0" xfId="0" applyFont="1"/>
    <xf numFmtId="0" fontId="64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64" fillId="0" borderId="8" xfId="0" applyFont="1" applyBorder="1" applyAlignment="1">
      <alignment horizontal="left" vertical="center"/>
    </xf>
    <xf numFmtId="2" fontId="64" fillId="0" borderId="6" xfId="0" applyNumberFormat="1" applyFont="1" applyBorder="1" applyAlignment="1">
      <alignment horizontal="right" vertical="center"/>
    </xf>
    <xf numFmtId="181" fontId="64" fillId="0" borderId="6" xfId="0" applyNumberFormat="1" applyFont="1" applyBorder="1" applyAlignment="1">
      <alignment horizontal="center" vertical="center"/>
    </xf>
    <xf numFmtId="181" fontId="64" fillId="0" borderId="0" xfId="0" applyNumberFormat="1" applyFont="1" applyAlignment="1">
      <alignment horizontal="center" vertical="center"/>
    </xf>
    <xf numFmtId="3" fontId="64" fillId="0" borderId="0" xfId="0" applyNumberFormat="1" applyFont="1" applyAlignment="1">
      <alignment horizontal="center" vertical="center"/>
    </xf>
    <xf numFmtId="178" fontId="64" fillId="0" borderId="0" xfId="0" applyNumberFormat="1" applyFont="1" applyAlignment="1">
      <alignment horizontal="right" vertical="center"/>
    </xf>
    <xf numFmtId="2" fontId="64" fillId="0" borderId="0" xfId="0" applyNumberFormat="1" applyFont="1" applyAlignment="1">
      <alignment horizontal="center" vertical="center"/>
    </xf>
    <xf numFmtId="1" fontId="46" fillId="0" borderId="8" xfId="0" applyNumberFormat="1" applyFont="1" applyBorder="1" applyAlignment="1">
      <alignment horizontal="center" vertical="center"/>
    </xf>
    <xf numFmtId="0" fontId="64" fillId="0" borderId="6" xfId="0" applyFont="1" applyBorder="1" applyAlignment="1">
      <alignment horizontal="center" vertical="center"/>
    </xf>
    <xf numFmtId="0" fontId="64" fillId="0" borderId="6" xfId="0" applyFont="1" applyBorder="1" applyAlignment="1">
      <alignment horizontal="right" vertical="center"/>
    </xf>
    <xf numFmtId="0" fontId="64" fillId="0" borderId="9" xfId="0" applyFont="1" applyBorder="1" applyAlignment="1">
      <alignment horizontal="right" vertical="center"/>
    </xf>
    <xf numFmtId="0" fontId="64" fillId="0" borderId="12" xfId="0" applyFont="1" applyBorder="1" applyAlignment="1">
      <alignment horizontal="left" vertical="center"/>
    </xf>
    <xf numFmtId="1" fontId="46" fillId="0" borderId="10" xfId="0" applyNumberFormat="1" applyFont="1" applyBorder="1" applyAlignment="1">
      <alignment horizontal="center" vertical="center"/>
    </xf>
    <xf numFmtId="179" fontId="64" fillId="0" borderId="6" xfId="0" applyNumberFormat="1" applyFont="1" applyBorder="1" applyAlignment="1">
      <alignment horizontal="right" vertical="center"/>
    </xf>
    <xf numFmtId="0" fontId="64" fillId="0" borderId="7" xfId="0" applyFont="1" applyBorder="1" applyAlignment="1">
      <alignment horizontal="center" vertical="center"/>
    </xf>
    <xf numFmtId="3" fontId="64" fillId="0" borderId="0" xfId="0" applyNumberFormat="1" applyFont="1" applyAlignment="1">
      <alignment horizontal="right" vertical="center"/>
    </xf>
    <xf numFmtId="3" fontId="64" fillId="0" borderId="7" xfId="0" applyNumberFormat="1" applyFont="1" applyBorder="1" applyAlignment="1">
      <alignment horizontal="right" vertical="center"/>
    </xf>
    <xf numFmtId="2" fontId="31" fillId="0" borderId="0" xfId="0" applyNumberFormat="1" applyFont="1" applyAlignment="1">
      <alignment horizontal="center" vertical="center"/>
    </xf>
    <xf numFmtId="1" fontId="69" fillId="0" borderId="8" xfId="0" applyNumberFormat="1" applyFont="1" applyBorder="1" applyAlignment="1">
      <alignment horizontal="center" vertical="center"/>
    </xf>
    <xf numFmtId="2" fontId="64" fillId="0" borderId="0" xfId="0" applyNumberFormat="1" applyFont="1" applyAlignment="1">
      <alignment horizontal="left" vertical="center"/>
    </xf>
    <xf numFmtId="1" fontId="64" fillId="0" borderId="0" xfId="0" applyNumberFormat="1" applyFont="1" applyAlignment="1">
      <alignment horizontal="center" vertical="center"/>
    </xf>
    <xf numFmtId="181" fontId="31" fillId="0" borderId="0" xfId="0" applyNumberFormat="1" applyFont="1" applyAlignment="1">
      <alignment horizontal="right" vertical="center"/>
    </xf>
    <xf numFmtId="181" fontId="64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2" fontId="64" fillId="0" borderId="9" xfId="0" applyNumberFormat="1" applyFont="1" applyBorder="1" applyAlignment="1">
      <alignment horizontal="right" vertical="center"/>
    </xf>
    <xf numFmtId="180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64" fillId="0" borderId="11" xfId="0" applyFont="1" applyBorder="1" applyAlignment="1">
      <alignment horizontal="left" vertical="center"/>
    </xf>
    <xf numFmtId="2" fontId="64" fillId="0" borderId="0" xfId="0" applyNumberFormat="1" applyFont="1" applyAlignment="1">
      <alignment horizontal="right" vertical="center"/>
    </xf>
    <xf numFmtId="2" fontId="64" fillId="0" borderId="0" xfId="0" applyNumberFormat="1" applyFont="1" applyAlignment="1">
      <alignment vertical="center"/>
    </xf>
    <xf numFmtId="3" fontId="64" fillId="0" borderId="12" xfId="0" applyNumberFormat="1" applyFont="1" applyBorder="1" applyAlignment="1">
      <alignment horizontal="right" vertical="center"/>
    </xf>
    <xf numFmtId="0" fontId="64" fillId="0" borderId="0" xfId="0" applyFont="1" applyAlignment="1">
      <alignment horizontal="right" vertical="center"/>
    </xf>
    <xf numFmtId="0" fontId="64" fillId="0" borderId="11" xfId="0" applyFont="1" applyBorder="1" applyAlignment="1">
      <alignment horizontal="right" vertical="center"/>
    </xf>
    <xf numFmtId="4" fontId="64" fillId="0" borderId="3" xfId="0" applyNumberFormat="1" applyFont="1" applyBorder="1" applyAlignment="1">
      <alignment horizontal="right" vertical="center"/>
    </xf>
    <xf numFmtId="4" fontId="64" fillId="0" borderId="0" xfId="0" applyNumberFormat="1" applyFont="1" applyAlignment="1">
      <alignment horizontal="right" vertical="center"/>
    </xf>
    <xf numFmtId="179" fontId="64" fillId="0" borderId="8" xfId="0" applyNumberFormat="1" applyFont="1" applyBorder="1" applyAlignment="1">
      <alignment horizontal="center" vertical="center"/>
    </xf>
    <xf numFmtId="179" fontId="64" fillId="0" borderId="10" xfId="0" applyNumberFormat="1" applyFont="1" applyBorder="1" applyAlignment="1">
      <alignment horizontal="center" vertical="center"/>
    </xf>
    <xf numFmtId="4" fontId="64" fillId="0" borderId="11" xfId="0" applyNumberFormat="1" applyFont="1" applyBorder="1" applyAlignment="1">
      <alignment horizontal="right" vertical="center"/>
    </xf>
    <xf numFmtId="4" fontId="64" fillId="0" borderId="7" xfId="0" applyNumberFormat="1" applyFont="1" applyBorder="1" applyAlignment="1">
      <alignment horizontal="right" vertical="center"/>
    </xf>
    <xf numFmtId="4" fontId="64" fillId="0" borderId="12" xfId="0" applyNumberFormat="1" applyFont="1" applyBorder="1" applyAlignment="1">
      <alignment horizontal="right" vertical="center"/>
    </xf>
    <xf numFmtId="179" fontId="64" fillId="0" borderId="0" xfId="0" applyNumberFormat="1" applyFont="1" applyAlignment="1">
      <alignment horizontal="right" vertical="center"/>
    </xf>
    <xf numFmtId="3" fontId="64" fillId="0" borderId="0" xfId="0" applyNumberFormat="1" applyFont="1" applyAlignment="1">
      <alignment vertical="center"/>
    </xf>
    <xf numFmtId="4" fontId="46" fillId="0" borderId="0" xfId="0" applyNumberFormat="1" applyFont="1" applyAlignment="1">
      <alignment horizontal="center" vertical="center"/>
    </xf>
    <xf numFmtId="0" fontId="64" fillId="0" borderId="6" xfId="0" applyFont="1" applyBorder="1" applyAlignment="1">
      <alignment horizontal="left" vertical="center"/>
    </xf>
    <xf numFmtId="0" fontId="64" fillId="0" borderId="8" xfId="0" applyFont="1" applyBorder="1" applyAlignment="1">
      <alignment horizontal="center" vertical="center"/>
    </xf>
    <xf numFmtId="0" fontId="64" fillId="0" borderId="7" xfId="0" applyFont="1" applyBorder="1" applyAlignment="1">
      <alignment vertical="center"/>
    </xf>
    <xf numFmtId="0" fontId="46" fillId="0" borderId="0" xfId="0" applyFont="1" applyAlignment="1">
      <alignment vertical="center"/>
    </xf>
    <xf numFmtId="181" fontId="46" fillId="0" borderId="8" xfId="0" applyNumberFormat="1" applyFont="1" applyBorder="1" applyAlignment="1">
      <alignment horizontal="center" vertical="center"/>
    </xf>
    <xf numFmtId="2" fontId="46" fillId="0" borderId="0" xfId="0" applyNumberFormat="1" applyFont="1" applyAlignment="1">
      <alignment horizontal="center" vertical="center"/>
    </xf>
    <xf numFmtId="0" fontId="64" fillId="0" borderId="6" xfId="0" applyFont="1" applyBorder="1" applyAlignment="1">
      <alignment vertical="center"/>
    </xf>
    <xf numFmtId="0" fontId="64" fillId="0" borderId="9" xfId="0" applyFont="1" applyBorder="1" applyAlignment="1">
      <alignment horizontal="left" vertical="center"/>
    </xf>
    <xf numFmtId="0" fontId="46" fillId="0" borderId="8" xfId="0" applyFont="1" applyBorder="1" applyAlignment="1">
      <alignment vertical="center"/>
    </xf>
    <xf numFmtId="0" fontId="46" fillId="0" borderId="6" xfId="0" applyFont="1" applyBorder="1" applyAlignment="1">
      <alignment horizontal="left" vertical="center"/>
    </xf>
    <xf numFmtId="3" fontId="46" fillId="0" borderId="0" xfId="0" applyNumberFormat="1" applyFont="1" applyAlignment="1">
      <alignment vertical="center"/>
    </xf>
    <xf numFmtId="0" fontId="46" fillId="0" borderId="0" xfId="0" applyFont="1" applyAlignment="1">
      <alignment horizontal="right" vertical="center"/>
    </xf>
    <xf numFmtId="3" fontId="46" fillId="0" borderId="0" xfId="0" applyNumberFormat="1" applyFont="1" applyAlignment="1">
      <alignment horizontal="right" vertical="center"/>
    </xf>
    <xf numFmtId="4" fontId="46" fillId="0" borderId="0" xfId="0" applyNumberFormat="1" applyFont="1" applyAlignment="1">
      <alignment horizontal="right" vertical="center"/>
    </xf>
    <xf numFmtId="4" fontId="46" fillId="0" borderId="11" xfId="0" applyNumberFormat="1" applyFont="1" applyBorder="1" applyAlignment="1">
      <alignment horizontal="center" vertical="center"/>
    </xf>
    <xf numFmtId="3" fontId="46" fillId="0" borderId="11" xfId="0" applyNumberFormat="1" applyFont="1" applyBorder="1" applyAlignment="1">
      <alignment horizontal="right" vertical="center"/>
    </xf>
    <xf numFmtId="0" fontId="31" fillId="0" borderId="8" xfId="0" applyFont="1" applyBorder="1" applyAlignment="1">
      <alignment horizontal="center" vertical="center"/>
    </xf>
    <xf numFmtId="4" fontId="31" fillId="0" borderId="0" xfId="0" applyNumberFormat="1" applyFont="1" applyAlignment="1">
      <alignment horizontal="right" vertical="center"/>
    </xf>
    <xf numFmtId="4" fontId="46" fillId="0" borderId="3" xfId="0" applyNumberFormat="1" applyFont="1" applyBorder="1" applyAlignment="1">
      <alignment horizontal="center" vertical="center"/>
    </xf>
    <xf numFmtId="1" fontId="64" fillId="0" borderId="0" xfId="0" applyNumberFormat="1" applyFont="1" applyAlignment="1">
      <alignment vertical="center"/>
    </xf>
    <xf numFmtId="181" fontId="31" fillId="6" borderId="4" xfId="0" applyNumberFormat="1" applyFont="1" applyFill="1" applyBorder="1" applyAlignment="1">
      <alignment horizontal="center" vertical="center"/>
    </xf>
    <xf numFmtId="1" fontId="69" fillId="6" borderId="5" xfId="0" applyNumberFormat="1" applyFont="1" applyFill="1" applyBorder="1" applyAlignment="1">
      <alignment horizontal="center" vertical="center"/>
    </xf>
    <xf numFmtId="0" fontId="31" fillId="5" borderId="5" xfId="0" applyFont="1" applyFill="1" applyBorder="1" applyAlignment="1">
      <alignment horizontal="center" vertical="center"/>
    </xf>
    <xf numFmtId="1" fontId="64" fillId="0" borderId="0" xfId="0" applyNumberFormat="1" applyFont="1" applyAlignment="1">
      <alignment horizontal="right" vertical="center"/>
    </xf>
    <xf numFmtId="1" fontId="64" fillId="0" borderId="7" xfId="0" applyNumberFormat="1" applyFont="1" applyBorder="1" applyAlignment="1">
      <alignment horizontal="right" vertical="center"/>
    </xf>
    <xf numFmtId="181" fontId="64" fillId="0" borderId="6" xfId="0" applyNumberFormat="1" applyFont="1" applyBorder="1" applyAlignment="1">
      <alignment vertical="center"/>
    </xf>
    <xf numFmtId="184" fontId="64" fillId="0" borderId="0" xfId="0" applyNumberFormat="1" applyFont="1" applyAlignment="1">
      <alignment horizontal="right" vertical="center"/>
    </xf>
    <xf numFmtId="0" fontId="46" fillId="0" borderId="0" xfId="0" applyFont="1"/>
    <xf numFmtId="0" fontId="46" fillId="0" borderId="8" xfId="0" applyFont="1" applyBorder="1" applyAlignment="1">
      <alignment horizontal="left" vertical="center"/>
    </xf>
    <xf numFmtId="0" fontId="46" fillId="0" borderId="8" xfId="0" applyFont="1" applyBorder="1" applyAlignment="1">
      <alignment horizontal="center" vertical="center"/>
    </xf>
    <xf numFmtId="0" fontId="46" fillId="0" borderId="8" xfId="0" quotePrefix="1" applyFont="1" applyBorder="1" applyAlignment="1">
      <alignment vertical="center"/>
    </xf>
    <xf numFmtId="2" fontId="46" fillId="0" borderId="0" xfId="0" applyNumberFormat="1" applyFont="1" applyAlignment="1">
      <alignment horizontal="right" vertical="center"/>
    </xf>
    <xf numFmtId="1" fontId="46" fillId="0" borderId="0" xfId="0" applyNumberFormat="1" applyFont="1" applyAlignment="1">
      <alignment horizontal="right" vertical="center"/>
    </xf>
    <xf numFmtId="1" fontId="46" fillId="0" borderId="7" xfId="0" applyNumberFormat="1" applyFont="1" applyBorder="1" applyAlignment="1">
      <alignment horizontal="right" vertical="center"/>
    </xf>
    <xf numFmtId="181" fontId="46" fillId="0" borderId="6" xfId="0" applyNumberFormat="1" applyFont="1" applyBorder="1" applyAlignment="1">
      <alignment vertical="center"/>
    </xf>
    <xf numFmtId="184" fontId="46" fillId="0" borderId="0" xfId="0" applyNumberFormat="1" applyFont="1" applyAlignment="1">
      <alignment horizontal="right" vertical="center"/>
    </xf>
    <xf numFmtId="1" fontId="46" fillId="0" borderId="0" xfId="0" applyNumberFormat="1" applyFont="1" applyAlignment="1">
      <alignment horizontal="center" vertical="center"/>
    </xf>
    <xf numFmtId="4" fontId="46" fillId="0" borderId="7" xfId="0" applyNumberFormat="1" applyFont="1" applyBorder="1" applyAlignment="1">
      <alignment horizontal="right" vertical="center"/>
    </xf>
    <xf numFmtId="2" fontId="46" fillId="0" borderId="0" xfId="0" applyNumberFormat="1" applyFont="1"/>
    <xf numFmtId="179" fontId="31" fillId="9" borderId="2" xfId="0" applyNumberFormat="1" applyFont="1" applyFill="1" applyBorder="1" applyAlignment="1">
      <alignment horizontal="center" vertical="center"/>
    </xf>
    <xf numFmtId="1" fontId="69" fillId="16" borderId="5" xfId="0" applyNumberFormat="1" applyFont="1" applyFill="1" applyBorder="1" applyAlignment="1">
      <alignment horizontal="center" vertical="center"/>
    </xf>
    <xf numFmtId="1" fontId="46" fillId="16" borderId="8" xfId="0" applyNumberFormat="1" applyFont="1" applyFill="1" applyBorder="1" applyAlignment="1">
      <alignment horizontal="center" vertical="center"/>
    </xf>
    <xf numFmtId="0" fontId="72" fillId="0" borderId="8" xfId="0" applyFont="1" applyBorder="1" applyAlignment="1">
      <alignment horizontal="center" vertical="center"/>
    </xf>
    <xf numFmtId="181" fontId="46" fillId="0" borderId="6" xfId="0" applyNumberFormat="1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3" fontId="64" fillId="0" borderId="0" xfId="0" quotePrefix="1" applyNumberFormat="1" applyFont="1" applyAlignment="1">
      <alignment horizontal="right" vertical="center"/>
    </xf>
    <xf numFmtId="0" fontId="46" fillId="0" borderId="10" xfId="0" applyFont="1" applyBorder="1" applyAlignment="1">
      <alignment horizontal="left" vertical="center"/>
    </xf>
    <xf numFmtId="0" fontId="46" fillId="0" borderId="10" xfId="0" applyFont="1" applyBorder="1" applyAlignment="1">
      <alignment horizontal="center" vertical="center"/>
    </xf>
    <xf numFmtId="0" fontId="46" fillId="0" borderId="10" xfId="0" quotePrefix="1" applyFont="1" applyBorder="1" applyAlignment="1">
      <alignment vertical="center"/>
    </xf>
    <xf numFmtId="2" fontId="46" fillId="0" borderId="11" xfId="0" applyNumberFormat="1" applyFont="1" applyBorder="1" applyAlignment="1">
      <alignment horizontal="right" vertical="center"/>
    </xf>
    <xf numFmtId="1" fontId="46" fillId="0" borderId="11" xfId="0" applyNumberFormat="1" applyFont="1" applyBorder="1" applyAlignment="1">
      <alignment horizontal="right" vertical="center"/>
    </xf>
    <xf numFmtId="1" fontId="46" fillId="0" borderId="12" xfId="0" applyNumberFormat="1" applyFont="1" applyBorder="1" applyAlignment="1">
      <alignment horizontal="right" vertical="center"/>
    </xf>
    <xf numFmtId="181" fontId="46" fillId="0" borderId="9" xfId="0" applyNumberFormat="1" applyFont="1" applyBorder="1" applyAlignment="1">
      <alignment vertical="center"/>
    </xf>
    <xf numFmtId="184" fontId="46" fillId="0" borderId="11" xfId="0" applyNumberFormat="1" applyFont="1" applyBorder="1" applyAlignment="1">
      <alignment horizontal="right" vertical="center"/>
    </xf>
    <xf numFmtId="1" fontId="46" fillId="0" borderId="11" xfId="0" applyNumberFormat="1" applyFont="1" applyBorder="1" applyAlignment="1">
      <alignment horizontal="center" vertical="center"/>
    </xf>
    <xf numFmtId="4" fontId="46" fillId="0" borderId="12" xfId="0" applyNumberFormat="1" applyFont="1" applyBorder="1" applyAlignment="1">
      <alignment horizontal="right" vertical="center"/>
    </xf>
    <xf numFmtId="181" fontId="46" fillId="0" borderId="9" xfId="0" applyNumberFormat="1" applyFont="1" applyBorder="1" applyAlignment="1">
      <alignment horizontal="center" vertical="center"/>
    </xf>
    <xf numFmtId="0" fontId="46" fillId="0" borderId="11" xfId="0" applyFont="1" applyBorder="1" applyAlignment="1">
      <alignment horizontal="right" vertical="center"/>
    </xf>
    <xf numFmtId="1" fontId="46" fillId="16" borderId="10" xfId="0" applyNumberFormat="1" applyFont="1" applyFill="1" applyBorder="1" applyAlignment="1">
      <alignment horizontal="center" vertical="center"/>
    </xf>
    <xf numFmtId="0" fontId="64" fillId="0" borderId="5" xfId="0" applyFont="1" applyBorder="1" applyAlignment="1">
      <alignment horizontal="center" vertical="center"/>
    </xf>
    <xf numFmtId="179" fontId="64" fillId="9" borderId="6" xfId="0" applyNumberFormat="1" applyFont="1" applyFill="1" applyBorder="1" applyAlignment="1">
      <alignment horizontal="right" vertical="center"/>
    </xf>
    <xf numFmtId="0" fontId="64" fillId="0" borderId="0" xfId="0" applyFont="1"/>
    <xf numFmtId="179" fontId="46" fillId="9" borderId="6" xfId="0" applyNumberFormat="1" applyFont="1" applyFill="1" applyBorder="1" applyAlignment="1">
      <alignment horizontal="right" vertical="center"/>
    </xf>
    <xf numFmtId="179" fontId="46" fillId="9" borderId="9" xfId="0" applyNumberFormat="1" applyFont="1" applyFill="1" applyBorder="1" applyAlignment="1">
      <alignment horizontal="right" vertical="center"/>
    </xf>
    <xf numFmtId="0" fontId="69" fillId="0" borderId="0" xfId="0" applyFont="1" applyAlignment="1">
      <alignment vertical="center"/>
    </xf>
    <xf numFmtId="1" fontId="69" fillId="16" borderId="8" xfId="0" applyNumberFormat="1" applyFont="1" applyFill="1" applyBorder="1" applyAlignment="1">
      <alignment horizontal="center" vertical="center"/>
    </xf>
    <xf numFmtId="2" fontId="64" fillId="5" borderId="0" xfId="0" applyNumberFormat="1" applyFont="1" applyFill="1" applyAlignment="1">
      <alignment horizontal="right" vertical="center"/>
    </xf>
    <xf numFmtId="180" fontId="46" fillId="0" borderId="0" xfId="0" applyNumberFormat="1" applyFont="1" applyAlignment="1">
      <alignment horizontal="center" vertical="center"/>
    </xf>
    <xf numFmtId="2" fontId="46" fillId="0" borderId="0" xfId="0" applyNumberFormat="1" applyFont="1" applyAlignment="1">
      <alignment vertical="center"/>
    </xf>
    <xf numFmtId="180" fontId="64" fillId="0" borderId="0" xfId="0" applyNumberFormat="1" applyFont="1" applyAlignment="1">
      <alignment horizontal="right" vertical="center"/>
    </xf>
    <xf numFmtId="0" fontId="46" fillId="0" borderId="12" xfId="0" applyFont="1" applyBorder="1" applyAlignment="1">
      <alignment horizontal="center" vertical="center"/>
    </xf>
    <xf numFmtId="180" fontId="46" fillId="0" borderId="11" xfId="0" applyNumberFormat="1" applyFont="1" applyBorder="1" applyAlignment="1">
      <alignment horizontal="center" vertical="center"/>
    </xf>
    <xf numFmtId="180" fontId="46" fillId="0" borderId="6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180" fontId="46" fillId="0" borderId="9" xfId="0" applyNumberFormat="1" applyFont="1" applyBorder="1" applyAlignment="1">
      <alignment horizontal="center" vertical="center"/>
    </xf>
    <xf numFmtId="0" fontId="64" fillId="0" borderId="10" xfId="0" applyFont="1" applyBorder="1" applyAlignment="1">
      <alignment horizontal="center" vertical="center"/>
    </xf>
    <xf numFmtId="2" fontId="64" fillId="0" borderId="11" xfId="0" applyNumberFormat="1" applyFont="1" applyBorder="1" applyAlignment="1">
      <alignment horizontal="right" vertical="center"/>
    </xf>
    <xf numFmtId="184" fontId="64" fillId="0" borderId="11" xfId="0" applyNumberFormat="1" applyFont="1" applyBorder="1" applyAlignment="1">
      <alignment horizontal="right" vertical="center"/>
    </xf>
    <xf numFmtId="179" fontId="64" fillId="9" borderId="9" xfId="0" applyNumberFormat="1" applyFont="1" applyFill="1" applyBorder="1" applyAlignment="1">
      <alignment horizontal="right" vertical="center"/>
    </xf>
    <xf numFmtId="2" fontId="64" fillId="9" borderId="0" xfId="0" applyNumberFormat="1" applyFont="1" applyFill="1" applyAlignment="1">
      <alignment horizontal="right" vertical="center"/>
    </xf>
    <xf numFmtId="3" fontId="46" fillId="16" borderId="8" xfId="0" applyNumberFormat="1" applyFont="1" applyFill="1" applyBorder="1" applyAlignment="1">
      <alignment horizontal="center" vertical="center"/>
    </xf>
    <xf numFmtId="2" fontId="64" fillId="9" borderId="11" xfId="0" applyNumberFormat="1" applyFont="1" applyFill="1" applyBorder="1" applyAlignment="1">
      <alignment horizontal="right" vertical="center"/>
    </xf>
    <xf numFmtId="40" fontId="64" fillId="0" borderId="0" xfId="0" applyNumberFormat="1" applyFont="1" applyAlignment="1">
      <alignment horizontal="right" vertical="center"/>
    </xf>
    <xf numFmtId="2" fontId="64" fillId="0" borderId="3" xfId="0" applyNumberFormat="1" applyFont="1" applyBorder="1" applyAlignment="1">
      <alignment horizontal="right" vertical="center"/>
    </xf>
    <xf numFmtId="1" fontId="46" fillId="16" borderId="5" xfId="0" applyNumberFormat="1" applyFont="1" applyFill="1" applyBorder="1" applyAlignment="1">
      <alignment horizontal="center" vertical="center"/>
    </xf>
    <xf numFmtId="2" fontId="64" fillId="0" borderId="7" xfId="0" applyNumberFormat="1" applyFont="1" applyBorder="1" applyAlignment="1">
      <alignment horizontal="right" vertical="center"/>
    </xf>
    <xf numFmtId="2" fontId="64" fillId="0" borderId="12" xfId="0" applyNumberFormat="1" applyFont="1" applyBorder="1" applyAlignment="1">
      <alignment horizontal="right" vertical="center"/>
    </xf>
    <xf numFmtId="2" fontId="31" fillId="0" borderId="0" xfId="0" applyNumberFormat="1" applyFont="1" applyAlignment="1">
      <alignment horizontal="right" vertical="center"/>
    </xf>
    <xf numFmtId="4" fontId="31" fillId="0" borderId="0" xfId="0" applyNumberFormat="1" applyFont="1" applyAlignment="1">
      <alignment vertical="center"/>
    </xf>
    <xf numFmtId="0" fontId="46" fillId="0" borderId="6" xfId="0" applyFont="1" applyBorder="1" applyAlignment="1">
      <alignment vertical="center"/>
    </xf>
    <xf numFmtId="181" fontId="72" fillId="0" borderId="6" xfId="0" applyNumberFormat="1" applyFont="1" applyBorder="1" applyAlignment="1">
      <alignment horizontal="center" vertical="center"/>
    </xf>
    <xf numFmtId="0" fontId="64" fillId="0" borderId="11" xfId="0" applyFont="1" applyBorder="1" applyAlignment="1">
      <alignment vertical="center"/>
    </xf>
    <xf numFmtId="2" fontId="64" fillId="9" borderId="12" xfId="0" applyNumberFormat="1" applyFont="1" applyFill="1" applyBorder="1" applyAlignment="1">
      <alignment horizontal="right" vertical="center"/>
    </xf>
    <xf numFmtId="2" fontId="64" fillId="9" borderId="7" xfId="0" applyNumberFormat="1" applyFont="1" applyFill="1" applyBorder="1" applyAlignment="1">
      <alignment horizontal="right" vertical="center"/>
    </xf>
    <xf numFmtId="0" fontId="46" fillId="17" borderId="0" xfId="0" applyFont="1" applyFill="1" applyAlignment="1">
      <alignment horizontal="center"/>
    </xf>
    <xf numFmtId="0" fontId="64" fillId="0" borderId="0" xfId="0" applyFont="1" applyAlignment="1">
      <alignment horizontal="center"/>
    </xf>
    <xf numFmtId="0" fontId="64" fillId="10" borderId="0" xfId="0" applyFont="1" applyFill="1" applyAlignment="1">
      <alignment horizontal="center" vertical="center"/>
    </xf>
    <xf numFmtId="0" fontId="64" fillId="10" borderId="0" xfId="0" applyFont="1" applyFill="1" applyAlignment="1">
      <alignment horizontal="center"/>
    </xf>
    <xf numFmtId="0" fontId="31" fillId="5" borderId="2" xfId="0" applyFont="1" applyFill="1" applyBorder="1" applyAlignment="1">
      <alignment vertical="center"/>
    </xf>
    <xf numFmtId="1" fontId="31" fillId="5" borderId="5" xfId="0" applyNumberFormat="1" applyFont="1" applyFill="1" applyBorder="1" applyAlignment="1">
      <alignment horizontal="right" vertical="center"/>
    </xf>
    <xf numFmtId="0" fontId="31" fillId="5" borderId="3" xfId="0" applyFont="1" applyFill="1" applyBorder="1" applyAlignment="1">
      <alignment horizontal="center" vertical="center"/>
    </xf>
    <xf numFmtId="181" fontId="31" fillId="5" borderId="18" xfId="0" applyNumberFormat="1" applyFont="1" applyFill="1" applyBorder="1" applyAlignment="1">
      <alignment horizontal="center" vertical="center"/>
    </xf>
    <xf numFmtId="181" fontId="31" fillId="5" borderId="18" xfId="0" applyNumberFormat="1" applyFont="1" applyFill="1" applyBorder="1" applyAlignment="1">
      <alignment horizontal="right" vertical="center"/>
    </xf>
    <xf numFmtId="1" fontId="31" fillId="5" borderId="18" xfId="0" applyNumberFormat="1" applyFont="1" applyFill="1" applyBorder="1" applyAlignment="1">
      <alignment horizontal="center" vertical="center"/>
    </xf>
    <xf numFmtId="199" fontId="31" fillId="5" borderId="18" xfId="0" applyNumberFormat="1" applyFont="1" applyFill="1" applyBorder="1" applyAlignment="1">
      <alignment horizontal="center" vertical="center"/>
    </xf>
    <xf numFmtId="1" fontId="69" fillId="5" borderId="5" xfId="0" applyNumberFormat="1" applyFont="1" applyFill="1" applyBorder="1" applyAlignment="1">
      <alignment horizontal="center" vertical="center"/>
    </xf>
    <xf numFmtId="0" fontId="31" fillId="10" borderId="0" xfId="0" applyFont="1" applyFill="1" applyAlignment="1">
      <alignment vertical="center"/>
    </xf>
    <xf numFmtId="2" fontId="69" fillId="0" borderId="0" xfId="0" applyNumberFormat="1" applyFont="1" applyAlignment="1">
      <alignment vertical="center"/>
    </xf>
    <xf numFmtId="2" fontId="31" fillId="0" borderId="0" xfId="0" applyNumberFormat="1" applyFont="1" applyAlignment="1">
      <alignment vertical="center"/>
    </xf>
    <xf numFmtId="0" fontId="64" fillId="10" borderId="0" xfId="0" applyFont="1" applyFill="1" applyAlignment="1">
      <alignment vertical="center"/>
    </xf>
    <xf numFmtId="0" fontId="31" fillId="16" borderId="2" xfId="0" applyFont="1" applyFill="1" applyBorder="1" applyAlignment="1">
      <alignment vertical="center"/>
    </xf>
    <xf numFmtId="1" fontId="31" fillId="16" borderId="5" xfId="0" applyNumberFormat="1" applyFont="1" applyFill="1" applyBorder="1" applyAlignment="1">
      <alignment horizontal="right" vertical="center"/>
    </xf>
    <xf numFmtId="0" fontId="31" fillId="16" borderId="2" xfId="0" applyFont="1" applyFill="1" applyBorder="1" applyAlignment="1">
      <alignment horizontal="center" vertical="center"/>
    </xf>
    <xf numFmtId="181" fontId="31" fillId="16" borderId="3" xfId="0" applyNumberFormat="1" applyFont="1" applyFill="1" applyBorder="1" applyAlignment="1">
      <alignment horizontal="center" vertical="center"/>
    </xf>
    <xf numFmtId="4" fontId="31" fillId="16" borderId="3" xfId="0" applyNumberFormat="1" applyFont="1" applyFill="1" applyBorder="1" applyAlignment="1">
      <alignment horizontal="center" vertical="center"/>
    </xf>
    <xf numFmtId="4" fontId="31" fillId="16" borderId="4" xfId="0" applyNumberFormat="1" applyFont="1" applyFill="1" applyBorder="1" applyAlignment="1">
      <alignment horizontal="center" vertical="center"/>
    </xf>
    <xf numFmtId="4" fontId="31" fillId="16" borderId="2" xfId="0" applyNumberFormat="1" applyFont="1" applyFill="1" applyBorder="1" applyAlignment="1">
      <alignment horizontal="center" vertical="center"/>
    </xf>
    <xf numFmtId="1" fontId="31" fillId="16" borderId="4" xfId="0" applyNumberFormat="1" applyFont="1" applyFill="1" applyBorder="1" applyAlignment="1">
      <alignment horizontal="center" vertical="center"/>
    </xf>
    <xf numFmtId="0" fontId="31" fillId="16" borderId="5" xfId="0" applyFont="1" applyFill="1" applyBorder="1" applyAlignment="1">
      <alignment horizontal="center" vertical="center"/>
    </xf>
    <xf numFmtId="0" fontId="69" fillId="16" borderId="6" xfId="0" applyFont="1" applyFill="1" applyBorder="1" applyAlignment="1">
      <alignment vertical="center"/>
    </xf>
    <xf numFmtId="1" fontId="69" fillId="16" borderId="8" xfId="0" applyNumberFormat="1" applyFont="1" applyFill="1" applyBorder="1" applyAlignment="1">
      <alignment horizontal="right" vertical="center"/>
    </xf>
    <xf numFmtId="181" fontId="69" fillId="16" borderId="9" xfId="0" applyNumberFormat="1" applyFont="1" applyFill="1" applyBorder="1" applyAlignment="1">
      <alignment horizontal="center" vertical="center"/>
    </xf>
    <xf numFmtId="181" fontId="69" fillId="16" borderId="11" xfId="0" applyNumberFormat="1" applyFont="1" applyFill="1" applyBorder="1" applyAlignment="1">
      <alignment horizontal="center" vertical="center"/>
    </xf>
    <xf numFmtId="0" fontId="69" fillId="16" borderId="11" xfId="0" quotePrefix="1" applyFont="1" applyFill="1" applyBorder="1" applyAlignment="1">
      <alignment horizontal="center" vertical="center"/>
    </xf>
    <xf numFmtId="1" fontId="69" fillId="16" borderId="9" xfId="0" applyNumberFormat="1" applyFont="1" applyFill="1" applyBorder="1" applyAlignment="1">
      <alignment horizontal="center" vertical="center"/>
    </xf>
    <xf numFmtId="0" fontId="69" fillId="16" borderId="11" xfId="0" applyFont="1" applyFill="1" applyBorder="1" applyAlignment="1">
      <alignment horizontal="center" vertical="center"/>
    </xf>
    <xf numFmtId="1" fontId="69" fillId="16" borderId="11" xfId="0" applyNumberFormat="1" applyFont="1" applyFill="1" applyBorder="1" applyAlignment="1">
      <alignment horizontal="center" vertical="center"/>
    </xf>
    <xf numFmtId="1" fontId="69" fillId="16" borderId="12" xfId="0" applyNumberFormat="1" applyFont="1" applyFill="1" applyBorder="1" applyAlignment="1">
      <alignment horizontal="center" vertical="center"/>
    </xf>
    <xf numFmtId="0" fontId="69" fillId="16" borderId="9" xfId="0" applyFont="1" applyFill="1" applyBorder="1" applyAlignment="1">
      <alignment horizontal="center" vertical="center"/>
    </xf>
    <xf numFmtId="0" fontId="69" fillId="16" borderId="12" xfId="0" quotePrefix="1" applyFont="1" applyFill="1" applyBorder="1" applyAlignment="1">
      <alignment horizontal="center" vertical="center"/>
    </xf>
    <xf numFmtId="4" fontId="69" fillId="16" borderId="11" xfId="0" applyNumberFormat="1" applyFont="1" applyFill="1" applyBorder="1" applyAlignment="1">
      <alignment horizontal="center" vertical="center"/>
    </xf>
    <xf numFmtId="4" fontId="69" fillId="16" borderId="12" xfId="0" applyNumberFormat="1" applyFont="1" applyFill="1" applyBorder="1" applyAlignment="1">
      <alignment horizontal="center" vertical="center"/>
    </xf>
    <xf numFmtId="0" fontId="69" fillId="16" borderId="8" xfId="0" applyFont="1" applyFill="1" applyBorder="1" applyAlignment="1">
      <alignment horizontal="center" vertical="center"/>
    </xf>
    <xf numFmtId="184" fontId="31" fillId="16" borderId="4" xfId="0" applyNumberFormat="1" applyFont="1" applyFill="1" applyBorder="1" applyAlignment="1">
      <alignment horizontal="center" vertical="center"/>
    </xf>
    <xf numFmtId="1" fontId="31" fillId="16" borderId="3" xfId="0" applyNumberFormat="1" applyFont="1" applyFill="1" applyBorder="1" applyAlignment="1">
      <alignment horizontal="center" vertical="center"/>
    </xf>
    <xf numFmtId="1" fontId="71" fillId="16" borderId="2" xfId="0" applyNumberFormat="1" applyFont="1" applyFill="1" applyBorder="1" applyAlignment="1">
      <alignment horizontal="center" vertical="center"/>
    </xf>
    <xf numFmtId="1" fontId="71" fillId="16" borderId="3" xfId="0" applyNumberFormat="1" applyFont="1" applyFill="1" applyBorder="1" applyAlignment="1">
      <alignment horizontal="center" vertical="center"/>
    </xf>
    <xf numFmtId="0" fontId="71" fillId="16" borderId="3" xfId="0" applyFont="1" applyFill="1" applyBorder="1" applyAlignment="1">
      <alignment horizontal="center" vertical="center"/>
    </xf>
    <xf numFmtId="184" fontId="71" fillId="16" borderId="4" xfId="0" applyNumberFormat="1" applyFont="1" applyFill="1" applyBorder="1" applyAlignment="1">
      <alignment horizontal="center" vertical="center"/>
    </xf>
    <xf numFmtId="184" fontId="71" fillId="16" borderId="3" xfId="0" applyNumberFormat="1" applyFont="1" applyFill="1" applyBorder="1" applyAlignment="1">
      <alignment horizontal="center" vertical="center"/>
    </xf>
    <xf numFmtId="4" fontId="71" fillId="16" borderId="4" xfId="0" applyNumberFormat="1" applyFont="1" applyFill="1" applyBorder="1" applyAlignment="1">
      <alignment horizontal="center" vertical="center"/>
    </xf>
    <xf numFmtId="179" fontId="69" fillId="16" borderId="11" xfId="0" applyNumberFormat="1" applyFont="1" applyFill="1" applyBorder="1" applyAlignment="1">
      <alignment horizontal="center" vertical="center"/>
    </xf>
    <xf numFmtId="179" fontId="69" fillId="16" borderId="12" xfId="0" applyNumberFormat="1" applyFont="1" applyFill="1" applyBorder="1" applyAlignment="1">
      <alignment horizontal="center" vertical="center"/>
    </xf>
    <xf numFmtId="2" fontId="69" fillId="16" borderId="11" xfId="0" applyNumberFormat="1" applyFont="1" applyFill="1" applyBorder="1" applyAlignment="1">
      <alignment horizontal="center" vertical="center"/>
    </xf>
    <xf numFmtId="3" fontId="69" fillId="16" borderId="12" xfId="0" applyNumberFormat="1" applyFont="1" applyFill="1" applyBorder="1" applyAlignment="1">
      <alignment horizontal="center" vertical="center"/>
    </xf>
    <xf numFmtId="0" fontId="69" fillId="16" borderId="9" xfId="0" quotePrefix="1" applyFont="1" applyFill="1" applyBorder="1" applyAlignment="1">
      <alignment horizontal="center" vertical="center"/>
    </xf>
    <xf numFmtId="3" fontId="69" fillId="16" borderId="0" xfId="0" applyNumberFormat="1" applyFont="1" applyFill="1" applyAlignment="1">
      <alignment horizontal="center" vertical="center"/>
    </xf>
    <xf numFmtId="4" fontId="69" fillId="16" borderId="7" xfId="0" applyNumberFormat="1" applyFont="1" applyFill="1" applyBorder="1" applyAlignment="1">
      <alignment horizontal="center" vertical="center"/>
    </xf>
    <xf numFmtId="1" fontId="31" fillId="16" borderId="2" xfId="0" applyNumberFormat="1" applyFont="1" applyFill="1" applyBorder="1" applyAlignment="1">
      <alignment horizontal="center" vertical="center"/>
    </xf>
    <xf numFmtId="0" fontId="31" fillId="16" borderId="3" xfId="0" applyFont="1" applyFill="1" applyBorder="1" applyAlignment="1">
      <alignment horizontal="center" vertical="center"/>
    </xf>
    <xf numFmtId="0" fontId="31" fillId="16" borderId="4" xfId="0" applyFont="1" applyFill="1" applyBorder="1" applyAlignment="1">
      <alignment horizontal="center" vertical="center"/>
    </xf>
    <xf numFmtId="4" fontId="69" fillId="16" borderId="9" xfId="0" applyNumberFormat="1" applyFont="1" applyFill="1" applyBorder="1" applyAlignment="1">
      <alignment horizontal="center" vertical="center"/>
    </xf>
    <xf numFmtId="0" fontId="69" fillId="16" borderId="12" xfId="0" applyFont="1" applyFill="1" applyBorder="1" applyAlignment="1">
      <alignment horizontal="center" vertical="center"/>
    </xf>
    <xf numFmtId="0" fontId="31" fillId="18" borderId="5" xfId="0" applyFont="1" applyFill="1" applyBorder="1" applyAlignment="1">
      <alignment horizontal="left" vertical="center"/>
    </xf>
    <xf numFmtId="1" fontId="31" fillId="18" borderId="5" xfId="0" applyNumberFormat="1" applyFont="1" applyFill="1" applyBorder="1" applyAlignment="1">
      <alignment horizontal="center" vertical="center"/>
    </xf>
    <xf numFmtId="0" fontId="31" fillId="18" borderId="3" xfId="0" applyFont="1" applyFill="1" applyBorder="1" applyAlignment="1">
      <alignment horizontal="center" vertical="center"/>
    </xf>
    <xf numFmtId="0" fontId="31" fillId="18" borderId="3" xfId="0" applyFont="1" applyFill="1" applyBorder="1" applyAlignment="1">
      <alignment horizontal="right" vertical="center"/>
    </xf>
    <xf numFmtId="3" fontId="31" fillId="18" borderId="4" xfId="0" applyNumberFormat="1" applyFont="1" applyFill="1" applyBorder="1" applyAlignment="1">
      <alignment vertical="center"/>
    </xf>
    <xf numFmtId="0" fontId="69" fillId="18" borderId="4" xfId="0" applyFont="1" applyFill="1" applyBorder="1" applyAlignment="1">
      <alignment vertical="center"/>
    </xf>
    <xf numFmtId="0" fontId="31" fillId="18" borderId="5" xfId="0" applyFont="1" applyFill="1" applyBorder="1" applyAlignment="1">
      <alignment horizontal="center" vertical="center"/>
    </xf>
    <xf numFmtId="0" fontId="31" fillId="18" borderId="8" xfId="0" applyFont="1" applyFill="1" applyBorder="1" applyAlignment="1">
      <alignment horizontal="left" vertical="center"/>
    </xf>
    <xf numFmtId="1" fontId="31" fillId="18" borderId="8" xfId="0" applyNumberFormat="1" applyFont="1" applyFill="1" applyBorder="1" applyAlignment="1">
      <alignment horizontal="center" vertical="center"/>
    </xf>
    <xf numFmtId="1" fontId="31" fillId="18" borderId="6" xfId="0" applyNumberFormat="1" applyFont="1" applyFill="1" applyBorder="1" applyAlignment="1">
      <alignment horizontal="center" vertical="center"/>
    </xf>
    <xf numFmtId="0" fontId="31" fillId="18" borderId="0" xfId="0" applyFont="1" applyFill="1" applyAlignment="1">
      <alignment horizontal="center" vertical="center"/>
    </xf>
    <xf numFmtId="1" fontId="31" fillId="18" borderId="0" xfId="0" applyNumberFormat="1" applyFont="1" applyFill="1" applyAlignment="1">
      <alignment horizontal="center" vertical="center"/>
    </xf>
    <xf numFmtId="1" fontId="31" fillId="18" borderId="7" xfId="0" applyNumberFormat="1" applyFont="1" applyFill="1" applyBorder="1" applyAlignment="1">
      <alignment horizontal="center" vertical="center"/>
    </xf>
    <xf numFmtId="0" fontId="31" fillId="18" borderId="6" xfId="0" applyFont="1" applyFill="1" applyBorder="1" applyAlignment="1">
      <alignment horizontal="center" vertical="center"/>
    </xf>
    <xf numFmtId="1" fontId="31" fillId="18" borderId="64" xfId="0" applyNumberFormat="1" applyFont="1" applyFill="1" applyBorder="1" applyAlignment="1">
      <alignment horizontal="center" vertical="center"/>
    </xf>
    <xf numFmtId="0" fontId="31" fillId="18" borderId="65" xfId="0" applyFont="1" applyFill="1" applyBorder="1" applyAlignment="1">
      <alignment horizontal="center" vertical="center"/>
    </xf>
    <xf numFmtId="184" fontId="31" fillId="18" borderId="0" xfId="0" applyNumberFormat="1" applyFont="1" applyFill="1" applyAlignment="1">
      <alignment horizontal="center" vertical="center"/>
    </xf>
    <xf numFmtId="0" fontId="31" fillId="18" borderId="0" xfId="0" applyFont="1" applyFill="1" applyAlignment="1">
      <alignment vertical="center"/>
    </xf>
    <xf numFmtId="0" fontId="31" fillId="18" borderId="7" xfId="0" applyFont="1" applyFill="1" applyBorder="1" applyAlignment="1">
      <alignment vertical="center"/>
    </xf>
    <xf numFmtId="0" fontId="69" fillId="18" borderId="7" xfId="0" applyFont="1" applyFill="1" applyBorder="1" applyAlignment="1">
      <alignment vertical="center"/>
    </xf>
    <xf numFmtId="0" fontId="31" fillId="18" borderId="8" xfId="0" applyFont="1" applyFill="1" applyBorder="1" applyAlignment="1">
      <alignment horizontal="center" vertical="center"/>
    </xf>
    <xf numFmtId="0" fontId="31" fillId="18" borderId="10" xfId="0" applyFont="1" applyFill="1" applyBorder="1" applyAlignment="1">
      <alignment horizontal="left" vertical="center"/>
    </xf>
    <xf numFmtId="1" fontId="31" fillId="18" borderId="10" xfId="0" applyNumberFormat="1" applyFont="1" applyFill="1" applyBorder="1" applyAlignment="1">
      <alignment horizontal="center" vertical="center"/>
    </xf>
    <xf numFmtId="179" fontId="69" fillId="18" borderId="9" xfId="0" applyNumberFormat="1" applyFont="1" applyFill="1" applyBorder="1" applyAlignment="1">
      <alignment horizontal="right" vertical="center"/>
    </xf>
    <xf numFmtId="3" fontId="69" fillId="18" borderId="11" xfId="0" applyNumberFormat="1" applyFont="1" applyFill="1" applyBorder="1" applyAlignment="1">
      <alignment horizontal="right" vertical="center"/>
    </xf>
    <xf numFmtId="3" fontId="69" fillId="18" borderId="12" xfId="0" applyNumberFormat="1" applyFont="1" applyFill="1" applyBorder="1" applyAlignment="1">
      <alignment horizontal="right" vertical="center"/>
    </xf>
    <xf numFmtId="177" fontId="69" fillId="18" borderId="11" xfId="0" applyNumberFormat="1" applyFont="1" applyFill="1" applyBorder="1" applyAlignment="1">
      <alignment horizontal="right" vertical="center"/>
    </xf>
    <xf numFmtId="177" fontId="69" fillId="18" borderId="9" xfId="0" applyNumberFormat="1" applyFont="1" applyFill="1" applyBorder="1" applyAlignment="1">
      <alignment horizontal="right" vertical="center"/>
    </xf>
    <xf numFmtId="3" fontId="69" fillId="18" borderId="66" xfId="0" applyNumberFormat="1" applyFont="1" applyFill="1" applyBorder="1" applyAlignment="1">
      <alignment horizontal="right" vertical="center"/>
    </xf>
    <xf numFmtId="177" fontId="69" fillId="18" borderId="67" xfId="0" applyNumberFormat="1" applyFont="1" applyFill="1" applyBorder="1" applyAlignment="1">
      <alignment horizontal="right" vertical="center"/>
    </xf>
    <xf numFmtId="1" fontId="69" fillId="18" borderId="11" xfId="0" applyNumberFormat="1" applyFont="1" applyFill="1" applyBorder="1" applyAlignment="1">
      <alignment horizontal="right" vertical="center"/>
    </xf>
    <xf numFmtId="0" fontId="69" fillId="18" borderId="11" xfId="0" applyFont="1" applyFill="1" applyBorder="1" applyAlignment="1">
      <alignment horizontal="right" vertical="center"/>
    </xf>
    <xf numFmtId="0" fontId="69" fillId="18" borderId="12" xfId="0" applyFont="1" applyFill="1" applyBorder="1" applyAlignment="1">
      <alignment horizontal="right" vertical="center"/>
    </xf>
    <xf numFmtId="0" fontId="31" fillId="18" borderId="10" xfId="0" applyFont="1" applyFill="1" applyBorder="1" applyAlignment="1">
      <alignment horizontal="center" vertical="center"/>
    </xf>
    <xf numFmtId="0" fontId="31" fillId="9" borderId="6" xfId="0" applyFont="1" applyFill="1" applyBorder="1" applyAlignment="1">
      <alignment vertical="center"/>
    </xf>
    <xf numFmtId="1" fontId="31" fillId="9" borderId="8" xfId="0" applyNumberFormat="1" applyFont="1" applyFill="1" applyBorder="1" applyAlignment="1">
      <alignment horizontal="right" vertical="center"/>
    </xf>
    <xf numFmtId="179" fontId="64" fillId="9" borderId="0" xfId="0" applyNumberFormat="1" applyFont="1" applyFill="1" applyAlignment="1">
      <alignment horizontal="right" vertical="center"/>
    </xf>
    <xf numFmtId="3" fontId="64" fillId="9" borderId="0" xfId="0" applyNumberFormat="1" applyFont="1" applyFill="1" applyAlignment="1">
      <alignment horizontal="right" vertical="center"/>
    </xf>
    <xf numFmtId="3" fontId="64" fillId="5" borderId="0" xfId="0" applyNumberFormat="1" applyFont="1" applyFill="1" applyAlignment="1">
      <alignment horizontal="center" vertical="center"/>
    </xf>
    <xf numFmtId="179" fontId="64" fillId="9" borderId="0" xfId="0" applyNumberFormat="1" applyFont="1" applyFill="1" applyAlignment="1">
      <alignment horizontal="center" vertical="center"/>
    </xf>
    <xf numFmtId="3" fontId="64" fillId="9" borderId="0" xfId="0" applyNumberFormat="1" applyFont="1" applyFill="1" applyAlignment="1">
      <alignment horizontal="center" vertical="center"/>
    </xf>
    <xf numFmtId="179" fontId="64" fillId="9" borderId="6" xfId="0" applyNumberFormat="1" applyFont="1" applyFill="1" applyBorder="1" applyAlignment="1">
      <alignment horizontal="center" vertical="center"/>
    </xf>
    <xf numFmtId="3" fontId="64" fillId="9" borderId="7" xfId="0" applyNumberFormat="1" applyFont="1" applyFill="1" applyBorder="1" applyAlignment="1">
      <alignment horizontal="center" vertical="center"/>
    </xf>
    <xf numFmtId="177" fontId="64" fillId="9" borderId="6" xfId="0" applyNumberFormat="1" applyFont="1" applyFill="1" applyBorder="1" applyAlignment="1">
      <alignment horizontal="center" vertical="center"/>
    </xf>
    <xf numFmtId="3" fontId="64" fillId="9" borderId="64" xfId="0" applyNumberFormat="1" applyFont="1" applyFill="1" applyBorder="1" applyAlignment="1">
      <alignment horizontal="center" vertical="center"/>
    </xf>
    <xf numFmtId="0" fontId="64" fillId="9" borderId="0" xfId="0" applyFont="1" applyFill="1" applyAlignment="1">
      <alignment horizontal="right" vertical="center"/>
    </xf>
    <xf numFmtId="177" fontId="64" fillId="9" borderId="0" xfId="0" applyNumberFormat="1" applyFont="1" applyFill="1" applyAlignment="1">
      <alignment horizontal="left" vertical="center"/>
    </xf>
    <xf numFmtId="177" fontId="46" fillId="16" borderId="8" xfId="0" applyNumberFormat="1" applyFont="1" applyFill="1" applyBorder="1" applyAlignment="1">
      <alignment horizontal="left" vertical="center"/>
    </xf>
    <xf numFmtId="3" fontId="64" fillId="9" borderId="7" xfId="0" applyNumberFormat="1" applyFont="1" applyFill="1" applyBorder="1" applyAlignment="1">
      <alignment horizontal="right" vertical="center"/>
    </xf>
    <xf numFmtId="3" fontId="64" fillId="9" borderId="64" xfId="0" applyNumberFormat="1" applyFont="1" applyFill="1" applyBorder="1" applyAlignment="1">
      <alignment horizontal="right" vertical="center"/>
    </xf>
    <xf numFmtId="179" fontId="64" fillId="9" borderId="65" xfId="0" applyNumberFormat="1" applyFont="1" applyFill="1" applyBorder="1" applyAlignment="1">
      <alignment horizontal="right" vertical="center"/>
    </xf>
    <xf numFmtId="177" fontId="46" fillId="16" borderId="8" xfId="0" applyNumberFormat="1" applyFont="1" applyFill="1" applyBorder="1" applyAlignment="1">
      <alignment horizontal="center" vertical="center"/>
    </xf>
    <xf numFmtId="0" fontId="64" fillId="9" borderId="8" xfId="0" applyFont="1" applyFill="1" applyBorder="1" applyAlignment="1">
      <alignment horizontal="right" vertical="center"/>
    </xf>
    <xf numFmtId="3" fontId="64" fillId="9" borderId="0" xfId="0" applyNumberFormat="1" applyFont="1" applyFill="1" applyAlignment="1">
      <alignment horizontal="left" vertical="center"/>
    </xf>
    <xf numFmtId="3" fontId="64" fillId="9" borderId="11" xfId="0" applyNumberFormat="1" applyFont="1" applyFill="1" applyBorder="1" applyAlignment="1">
      <alignment horizontal="right" vertical="center"/>
    </xf>
    <xf numFmtId="3" fontId="64" fillId="9" borderId="12" xfId="0" applyNumberFormat="1" applyFont="1" applyFill="1" applyBorder="1" applyAlignment="1">
      <alignment horizontal="right" vertical="center"/>
    </xf>
    <xf numFmtId="179" fontId="64" fillId="9" borderId="67" xfId="0" applyNumberFormat="1" applyFont="1" applyFill="1" applyBorder="1" applyAlignment="1">
      <alignment horizontal="right" vertical="center"/>
    </xf>
    <xf numFmtId="1" fontId="31" fillId="18" borderId="5" xfId="0" applyNumberFormat="1" applyFont="1" applyFill="1" applyBorder="1" applyAlignment="1">
      <alignment horizontal="right" vertical="center"/>
    </xf>
    <xf numFmtId="1" fontId="69" fillId="18" borderId="5" xfId="0" applyNumberFormat="1" applyFont="1" applyFill="1" applyBorder="1" applyAlignment="1">
      <alignment horizontal="center" vertical="center"/>
    </xf>
    <xf numFmtId="1" fontId="31" fillId="18" borderId="8" xfId="0" applyNumberFormat="1" applyFont="1" applyFill="1" applyBorder="1" applyAlignment="1">
      <alignment horizontal="right" vertical="center"/>
    </xf>
    <xf numFmtId="0" fontId="31" fillId="18" borderId="7" xfId="0" applyFont="1" applyFill="1" applyBorder="1" applyAlignment="1">
      <alignment horizontal="center" vertical="center"/>
    </xf>
    <xf numFmtId="4" fontId="31" fillId="18" borderId="0" xfId="0" applyNumberFormat="1" applyFont="1" applyFill="1" applyAlignment="1">
      <alignment horizontal="center" vertical="center"/>
    </xf>
    <xf numFmtId="1" fontId="69" fillId="18" borderId="8" xfId="0" applyNumberFormat="1" applyFont="1" applyFill="1" applyBorder="1" applyAlignment="1">
      <alignment horizontal="center" vertical="center"/>
    </xf>
    <xf numFmtId="181" fontId="69" fillId="18" borderId="10" xfId="0" applyNumberFormat="1" applyFont="1" applyFill="1" applyBorder="1" applyAlignment="1">
      <alignment horizontal="right" vertical="center"/>
    </xf>
    <xf numFmtId="1" fontId="69" fillId="18" borderId="9" xfId="0" applyNumberFormat="1" applyFont="1" applyFill="1" applyBorder="1" applyAlignment="1">
      <alignment horizontal="right" vertical="center"/>
    </xf>
    <xf numFmtId="3" fontId="46" fillId="18" borderId="10" xfId="0" applyNumberFormat="1" applyFont="1" applyFill="1" applyBorder="1" applyAlignment="1">
      <alignment horizontal="center" vertical="center"/>
    </xf>
    <xf numFmtId="1" fontId="64" fillId="9" borderId="6" xfId="0" applyNumberFormat="1" applyFont="1" applyFill="1" applyBorder="1" applyAlignment="1">
      <alignment horizontal="right" vertical="center"/>
    </xf>
    <xf numFmtId="1" fontId="64" fillId="9" borderId="0" xfId="0" applyNumberFormat="1" applyFont="1" applyFill="1" applyAlignment="1">
      <alignment horizontal="right" vertical="center"/>
    </xf>
    <xf numFmtId="0" fontId="64" fillId="9" borderId="7" xfId="0" applyFont="1" applyFill="1" applyBorder="1" applyAlignment="1">
      <alignment horizontal="right" vertical="center"/>
    </xf>
    <xf numFmtId="0" fontId="31" fillId="9" borderId="0" xfId="0" applyFont="1" applyFill="1" applyAlignment="1">
      <alignment horizontal="right" vertical="center"/>
    </xf>
    <xf numFmtId="3" fontId="64" fillId="5" borderId="7" xfId="0" applyNumberFormat="1" applyFont="1" applyFill="1" applyBorder="1" applyAlignment="1">
      <alignment horizontal="center" vertical="center"/>
    </xf>
    <xf numFmtId="1" fontId="64" fillId="9" borderId="9" xfId="0" applyNumberFormat="1" applyFont="1" applyFill="1" applyBorder="1" applyAlignment="1">
      <alignment horizontal="right" vertical="center"/>
    </xf>
    <xf numFmtId="1" fontId="64" fillId="9" borderId="11" xfId="0" applyNumberFormat="1" applyFont="1" applyFill="1" applyBorder="1" applyAlignment="1">
      <alignment horizontal="right" vertical="center"/>
    </xf>
    <xf numFmtId="0" fontId="64" fillId="9" borderId="11" xfId="0" applyFont="1" applyFill="1" applyBorder="1" applyAlignment="1">
      <alignment horizontal="right" vertical="center"/>
    </xf>
    <xf numFmtId="0" fontId="64" fillId="9" borderId="12" xfId="0" applyFont="1" applyFill="1" applyBorder="1" applyAlignment="1">
      <alignment horizontal="right" vertical="center"/>
    </xf>
    <xf numFmtId="3" fontId="31" fillId="18" borderId="0" xfId="0" applyNumberFormat="1" applyFont="1" applyFill="1" applyAlignment="1">
      <alignment horizontal="center" vertical="center"/>
    </xf>
    <xf numFmtId="0" fontId="31" fillId="18" borderId="64" xfId="0" applyFont="1" applyFill="1" applyBorder="1" applyAlignment="1">
      <alignment horizontal="center" vertical="center"/>
    </xf>
    <xf numFmtId="181" fontId="31" fillId="18" borderId="7" xfId="0" applyNumberFormat="1" applyFont="1" applyFill="1" applyBorder="1" applyAlignment="1">
      <alignment horizontal="center" vertical="center"/>
    </xf>
    <xf numFmtId="181" fontId="31" fillId="18" borderId="0" xfId="0" applyNumberFormat="1" applyFont="1" applyFill="1" applyAlignment="1">
      <alignment horizontal="center" vertical="center"/>
    </xf>
    <xf numFmtId="181" fontId="69" fillId="18" borderId="11" xfId="0" applyNumberFormat="1" applyFont="1" applyFill="1" applyBorder="1" applyAlignment="1">
      <alignment horizontal="right" vertical="center"/>
    </xf>
    <xf numFmtId="0" fontId="69" fillId="18" borderId="9" xfId="0" applyFont="1" applyFill="1" applyBorder="1" applyAlignment="1">
      <alignment horizontal="right" vertical="center"/>
    </xf>
    <xf numFmtId="180" fontId="69" fillId="18" borderId="11" xfId="0" applyNumberFormat="1" applyFont="1" applyFill="1" applyBorder="1" applyAlignment="1">
      <alignment horizontal="right" vertical="center"/>
    </xf>
    <xf numFmtId="179" fontId="69" fillId="18" borderId="11" xfId="0" applyNumberFormat="1" applyFont="1" applyFill="1" applyBorder="1" applyAlignment="1">
      <alignment horizontal="right" vertical="center"/>
    </xf>
    <xf numFmtId="179" fontId="69" fillId="18" borderId="67" xfId="0" applyNumberFormat="1" applyFont="1" applyFill="1" applyBorder="1" applyAlignment="1">
      <alignment horizontal="right" vertical="center"/>
    </xf>
    <xf numFmtId="3" fontId="69" fillId="18" borderId="9" xfId="0" applyNumberFormat="1" applyFont="1" applyFill="1" applyBorder="1" applyAlignment="1">
      <alignment horizontal="right" vertical="center"/>
    </xf>
    <xf numFmtId="4" fontId="69" fillId="18" borderId="12" xfId="0" applyNumberFormat="1" applyFont="1" applyFill="1" applyBorder="1" applyAlignment="1">
      <alignment horizontal="right" vertical="center"/>
    </xf>
    <xf numFmtId="4" fontId="69" fillId="18" borderId="11" xfId="0" applyNumberFormat="1" applyFont="1" applyFill="1" applyBorder="1" applyAlignment="1">
      <alignment horizontal="right" vertical="center"/>
    </xf>
    <xf numFmtId="0" fontId="31" fillId="18" borderId="11" xfId="0" applyFont="1" applyFill="1" applyBorder="1" applyAlignment="1">
      <alignment horizontal="right" vertical="center"/>
    </xf>
    <xf numFmtId="180" fontId="64" fillId="9" borderId="0" xfId="0" applyNumberFormat="1" applyFont="1" applyFill="1" applyAlignment="1">
      <alignment horizontal="right" vertical="center"/>
    </xf>
    <xf numFmtId="3" fontId="64" fillId="9" borderId="6" xfId="0" applyNumberFormat="1" applyFont="1" applyFill="1" applyBorder="1" applyAlignment="1">
      <alignment horizontal="right" vertical="center"/>
    </xf>
    <xf numFmtId="1" fontId="64" fillId="9" borderId="6" xfId="0" quotePrefix="1" applyNumberFormat="1" applyFont="1" applyFill="1" applyBorder="1" applyAlignment="1">
      <alignment horizontal="right" vertical="center"/>
    </xf>
    <xf numFmtId="1" fontId="64" fillId="9" borderId="0" xfId="0" quotePrefix="1" applyNumberFormat="1" applyFont="1" applyFill="1" applyAlignment="1">
      <alignment horizontal="right" vertical="center"/>
    </xf>
    <xf numFmtId="0" fontId="64" fillId="9" borderId="6" xfId="0" applyFont="1" applyFill="1" applyBorder="1" applyAlignment="1">
      <alignment horizontal="right" vertical="center"/>
    </xf>
    <xf numFmtId="0" fontId="64" fillId="9" borderId="9" xfId="0" applyFont="1" applyFill="1" applyBorder="1" applyAlignment="1">
      <alignment horizontal="right" vertical="center"/>
    </xf>
    <xf numFmtId="180" fontId="64" fillId="9" borderId="11" xfId="0" applyNumberFormat="1" applyFont="1" applyFill="1" applyBorder="1" applyAlignment="1">
      <alignment horizontal="right" vertical="center"/>
    </xf>
    <xf numFmtId="1" fontId="31" fillId="18" borderId="3" xfId="0" applyNumberFormat="1" applyFont="1" applyFill="1" applyBorder="1" applyAlignment="1">
      <alignment horizontal="center" vertical="center"/>
    </xf>
    <xf numFmtId="3" fontId="31" fillId="18" borderId="7" xfId="0" applyNumberFormat="1" applyFont="1" applyFill="1" applyBorder="1" applyAlignment="1">
      <alignment horizontal="center" vertical="center"/>
    </xf>
    <xf numFmtId="179" fontId="69" fillId="18" borderId="10" xfId="0" applyNumberFormat="1" applyFont="1" applyFill="1" applyBorder="1" applyAlignment="1">
      <alignment horizontal="right" vertical="center"/>
    </xf>
    <xf numFmtId="12" fontId="69" fillId="18" borderId="9" xfId="0" applyNumberFormat="1" applyFont="1" applyFill="1" applyBorder="1" applyAlignment="1">
      <alignment horizontal="right" vertical="center"/>
    </xf>
    <xf numFmtId="2" fontId="69" fillId="18" borderId="11" xfId="0" applyNumberFormat="1" applyFont="1" applyFill="1" applyBorder="1" applyAlignment="1">
      <alignment horizontal="right" vertical="center"/>
    </xf>
    <xf numFmtId="200" fontId="69" fillId="18" borderId="9" xfId="0" applyNumberFormat="1" applyFont="1" applyFill="1" applyBorder="1" applyAlignment="1">
      <alignment horizontal="right" vertical="center"/>
    </xf>
    <xf numFmtId="200" fontId="69" fillId="18" borderId="11" xfId="0" applyNumberFormat="1" applyFont="1" applyFill="1" applyBorder="1" applyAlignment="1">
      <alignment horizontal="right" vertical="center"/>
    </xf>
    <xf numFmtId="179" fontId="64" fillId="9" borderId="8" xfId="0" quotePrefix="1" applyNumberFormat="1" applyFont="1" applyFill="1" applyBorder="1" applyAlignment="1">
      <alignment horizontal="right" vertical="center"/>
    </xf>
    <xf numFmtId="12" fontId="64" fillId="9" borderId="6" xfId="0" applyNumberFormat="1" applyFont="1" applyFill="1" applyBorder="1" applyAlignment="1">
      <alignment horizontal="right" vertical="center"/>
    </xf>
    <xf numFmtId="200" fontId="64" fillId="9" borderId="6" xfId="0" applyNumberFormat="1" applyFont="1" applyFill="1" applyBorder="1" applyAlignment="1">
      <alignment horizontal="right" vertical="center"/>
    </xf>
    <xf numFmtId="200" fontId="64" fillId="9" borderId="0" xfId="0" applyNumberFormat="1" applyFont="1" applyFill="1" applyAlignment="1">
      <alignment horizontal="right" vertical="center"/>
    </xf>
    <xf numFmtId="2" fontId="64" fillId="9" borderId="6" xfId="0" applyNumberFormat="1" applyFont="1" applyFill="1" applyBorder="1" applyAlignment="1">
      <alignment horizontal="right" vertical="center"/>
    </xf>
    <xf numFmtId="3" fontId="64" fillId="5" borderId="0" xfId="0" applyNumberFormat="1" applyFont="1" applyFill="1" applyAlignment="1">
      <alignment horizontal="right" vertical="center"/>
    </xf>
    <xf numFmtId="3" fontId="64" fillId="5" borderId="64" xfId="0" applyNumberFormat="1" applyFont="1" applyFill="1" applyBorder="1" applyAlignment="1">
      <alignment vertical="center"/>
    </xf>
    <xf numFmtId="3" fontId="64" fillId="5" borderId="7" xfId="0" applyNumberFormat="1" applyFont="1" applyFill="1" applyBorder="1" applyAlignment="1">
      <alignment horizontal="right" vertical="center"/>
    </xf>
    <xf numFmtId="3" fontId="64" fillId="5" borderId="64" xfId="0" applyNumberFormat="1" applyFont="1" applyFill="1" applyBorder="1" applyAlignment="1">
      <alignment horizontal="right" vertical="center"/>
    </xf>
    <xf numFmtId="179" fontId="64" fillId="9" borderId="8" xfId="0" applyNumberFormat="1" applyFont="1" applyFill="1" applyBorder="1" applyAlignment="1">
      <alignment horizontal="right" vertical="center"/>
    </xf>
    <xf numFmtId="200" fontId="64" fillId="9" borderId="9" xfId="0" applyNumberFormat="1" applyFont="1" applyFill="1" applyBorder="1" applyAlignment="1">
      <alignment horizontal="right" vertical="center"/>
    </xf>
    <xf numFmtId="2" fontId="64" fillId="9" borderId="9" xfId="0" applyNumberFormat="1" applyFont="1" applyFill="1" applyBorder="1" applyAlignment="1">
      <alignment horizontal="right" vertical="center"/>
    </xf>
    <xf numFmtId="0" fontId="31" fillId="9" borderId="11" xfId="0" applyFont="1" applyFill="1" applyBorder="1" applyAlignment="1">
      <alignment horizontal="right" vertical="center"/>
    </xf>
    <xf numFmtId="0" fontId="31" fillId="5" borderId="5" xfId="0" applyFont="1" applyFill="1" applyBorder="1" applyAlignment="1">
      <alignment vertical="center"/>
    </xf>
    <xf numFmtId="0" fontId="31" fillId="5" borderId="3" xfId="0" applyFont="1" applyFill="1" applyBorder="1" applyAlignment="1">
      <alignment horizontal="right" vertical="center"/>
    </xf>
    <xf numFmtId="0" fontId="31" fillId="5" borderId="2" xfId="0" applyFont="1" applyFill="1" applyBorder="1" applyAlignment="1">
      <alignment horizontal="center" vertical="center"/>
    </xf>
    <xf numFmtId="0" fontId="31" fillId="5" borderId="4" xfId="0" applyFont="1" applyFill="1" applyBorder="1" applyAlignment="1">
      <alignment horizontal="center" vertical="center"/>
    </xf>
    <xf numFmtId="4" fontId="31" fillId="5" borderId="2" xfId="0" applyNumberFormat="1" applyFont="1" applyFill="1" applyBorder="1" applyAlignment="1">
      <alignment horizontal="center" vertical="center"/>
    </xf>
    <xf numFmtId="2" fontId="31" fillId="5" borderId="3" xfId="0" applyNumberFormat="1" applyFont="1" applyFill="1" applyBorder="1" applyAlignment="1">
      <alignment horizontal="center" vertical="center"/>
    </xf>
    <xf numFmtId="2" fontId="31" fillId="5" borderId="4" xfId="0" applyNumberFormat="1" applyFont="1" applyFill="1" applyBorder="1" applyAlignment="1">
      <alignment horizontal="center" vertical="center"/>
    </xf>
    <xf numFmtId="180" fontId="31" fillId="5" borderId="2" xfId="0" applyNumberFormat="1" applyFont="1" applyFill="1" applyBorder="1" applyAlignment="1">
      <alignment horizontal="center" vertical="center"/>
    </xf>
    <xf numFmtId="4" fontId="31" fillId="5" borderId="3" xfId="0" applyNumberFormat="1" applyFont="1" applyFill="1" applyBorder="1" applyAlignment="1">
      <alignment horizontal="center" vertical="center"/>
    </xf>
    <xf numFmtId="1" fontId="31" fillId="5" borderId="4" xfId="0" applyNumberFormat="1" applyFont="1" applyFill="1" applyBorder="1" applyAlignment="1">
      <alignment horizontal="center" vertical="center"/>
    </xf>
    <xf numFmtId="1" fontId="31" fillId="5" borderId="3" xfId="0" applyNumberFormat="1" applyFont="1" applyFill="1" applyBorder="1" applyAlignment="1">
      <alignment horizontal="center" vertical="center"/>
    </xf>
    <xf numFmtId="195" fontId="31" fillId="5" borderId="4" xfId="0" applyNumberFormat="1" applyFont="1" applyFill="1" applyBorder="1" applyAlignment="1">
      <alignment horizontal="center" vertical="center"/>
    </xf>
    <xf numFmtId="0" fontId="31" fillId="5" borderId="10" xfId="0" applyFont="1" applyFill="1" applyBorder="1" applyAlignment="1">
      <alignment vertical="center"/>
    </xf>
    <xf numFmtId="0" fontId="31" fillId="5" borderId="11" xfId="0" applyFont="1" applyFill="1" applyBorder="1" applyAlignment="1">
      <alignment horizontal="right" vertical="center"/>
    </xf>
    <xf numFmtId="1" fontId="31" fillId="5" borderId="9" xfId="0" applyNumberFormat="1" applyFont="1" applyFill="1" applyBorder="1" applyAlignment="1">
      <alignment horizontal="center" vertical="center"/>
    </xf>
    <xf numFmtId="1" fontId="31" fillId="5" borderId="11" xfId="0" applyNumberFormat="1" applyFont="1" applyFill="1" applyBorder="1" applyAlignment="1">
      <alignment horizontal="center" vertical="center"/>
    </xf>
    <xf numFmtId="0" fontId="31" fillId="5" borderId="11" xfId="0" applyFont="1" applyFill="1" applyBorder="1" applyAlignment="1">
      <alignment horizontal="center" vertical="center"/>
    </xf>
    <xf numFmtId="1" fontId="31" fillId="5" borderId="12" xfId="0" applyNumberFormat="1" applyFont="1" applyFill="1" applyBorder="1" applyAlignment="1">
      <alignment horizontal="center" vertical="center"/>
    </xf>
    <xf numFmtId="0" fontId="31" fillId="5" borderId="9" xfId="0" applyFont="1" applyFill="1" applyBorder="1" applyAlignment="1">
      <alignment horizontal="center" vertical="center"/>
    </xf>
    <xf numFmtId="0" fontId="31" fillId="5" borderId="12" xfId="0" applyFont="1" applyFill="1" applyBorder="1" applyAlignment="1">
      <alignment horizontal="center" vertical="center"/>
    </xf>
    <xf numFmtId="181" fontId="31" fillId="5" borderId="9" xfId="0" applyNumberFormat="1" applyFont="1" applyFill="1" applyBorder="1" applyAlignment="1">
      <alignment horizontal="center" vertical="center"/>
    </xf>
    <xf numFmtId="3" fontId="31" fillId="5" borderId="12" xfId="0" applyNumberFormat="1" applyFont="1" applyFill="1" applyBorder="1" applyAlignment="1">
      <alignment horizontal="center" vertical="center"/>
    </xf>
    <xf numFmtId="3" fontId="31" fillId="5" borderId="11" xfId="0" applyNumberFormat="1" applyFont="1" applyFill="1" applyBorder="1" applyAlignment="1">
      <alignment horizontal="center" vertical="center"/>
    </xf>
    <xf numFmtId="199" fontId="31" fillId="5" borderId="12" xfId="0" applyNumberFormat="1" applyFont="1" applyFill="1" applyBorder="1" applyAlignment="1">
      <alignment horizontal="center" vertical="center"/>
    </xf>
    <xf numFmtId="1" fontId="69" fillId="5" borderId="10" xfId="0" applyNumberFormat="1" applyFont="1" applyFill="1" applyBorder="1" applyAlignment="1">
      <alignment horizontal="center" vertical="center"/>
    </xf>
    <xf numFmtId="1" fontId="31" fillId="5" borderId="10" xfId="0" quotePrefix="1" applyNumberFormat="1" applyFont="1" applyFill="1" applyBorder="1" applyAlignment="1">
      <alignment horizontal="center" vertical="center"/>
    </xf>
    <xf numFmtId="0" fontId="46" fillId="9" borderId="5" xfId="0" applyFont="1" applyFill="1" applyBorder="1" applyAlignment="1">
      <alignment vertical="center"/>
    </xf>
    <xf numFmtId="1" fontId="46" fillId="9" borderId="3" xfId="0" applyNumberFormat="1" applyFont="1" applyFill="1" applyBorder="1" applyAlignment="1">
      <alignment vertical="center"/>
    </xf>
    <xf numFmtId="1" fontId="46" fillId="9" borderId="2" xfId="0" applyNumberFormat="1" applyFont="1" applyFill="1" applyBorder="1" applyAlignment="1">
      <alignment horizontal="center" vertical="center"/>
    </xf>
    <xf numFmtId="1" fontId="46" fillId="9" borderId="3" xfId="0" applyNumberFormat="1" applyFont="1" applyFill="1" applyBorder="1" applyAlignment="1">
      <alignment horizontal="center" vertical="center"/>
    </xf>
    <xf numFmtId="1" fontId="46" fillId="9" borderId="4" xfId="0" applyNumberFormat="1" applyFont="1" applyFill="1" applyBorder="1" applyAlignment="1">
      <alignment horizontal="center" vertical="center"/>
    </xf>
    <xf numFmtId="0" fontId="46" fillId="9" borderId="2" xfId="0" applyFont="1" applyFill="1" applyBorder="1" applyAlignment="1">
      <alignment horizontal="center" vertical="center"/>
    </xf>
    <xf numFmtId="181" fontId="46" fillId="9" borderId="2" xfId="0" applyNumberFormat="1" applyFont="1" applyFill="1" applyBorder="1" applyAlignment="1">
      <alignment horizontal="center" vertical="center"/>
    </xf>
    <xf numFmtId="0" fontId="46" fillId="9" borderId="3" xfId="0" applyFont="1" applyFill="1" applyBorder="1" applyAlignment="1">
      <alignment horizontal="center" vertical="center"/>
    </xf>
    <xf numFmtId="3" fontId="46" fillId="9" borderId="4" xfId="0" applyNumberFormat="1" applyFont="1" applyFill="1" applyBorder="1" applyAlignment="1">
      <alignment horizontal="center" vertical="center"/>
    </xf>
    <xf numFmtId="3" fontId="46" fillId="9" borderId="3" xfId="0" applyNumberFormat="1" applyFont="1" applyFill="1" applyBorder="1" applyAlignment="1">
      <alignment horizontal="right" vertical="center"/>
    </xf>
    <xf numFmtId="177" fontId="46" fillId="9" borderId="4" xfId="0" applyNumberFormat="1" applyFont="1" applyFill="1" applyBorder="1" applyAlignment="1">
      <alignment horizontal="left" vertical="center"/>
    </xf>
    <xf numFmtId="0" fontId="46" fillId="0" borderId="5" xfId="0" applyFont="1" applyBorder="1" applyAlignment="1">
      <alignment horizontal="center" vertical="center"/>
    </xf>
    <xf numFmtId="0" fontId="69" fillId="10" borderId="0" xfId="0" applyFont="1" applyFill="1" applyAlignment="1">
      <alignment vertical="center"/>
    </xf>
    <xf numFmtId="0" fontId="46" fillId="9" borderId="8" xfId="0" applyFont="1" applyFill="1" applyBorder="1" applyAlignment="1">
      <alignment vertical="center"/>
    </xf>
    <xf numFmtId="1" fontId="46" fillId="9" borderId="0" xfId="0" applyNumberFormat="1" applyFont="1" applyFill="1" applyAlignment="1">
      <alignment vertical="center"/>
    </xf>
    <xf numFmtId="1" fontId="46" fillId="9" borderId="6" xfId="0" applyNumberFormat="1" applyFont="1" applyFill="1" applyBorder="1" applyAlignment="1">
      <alignment horizontal="center" vertical="center"/>
    </xf>
    <xf numFmtId="1" fontId="46" fillId="9" borderId="0" xfId="0" applyNumberFormat="1" applyFont="1" applyFill="1" applyAlignment="1">
      <alignment horizontal="center" vertical="center"/>
    </xf>
    <xf numFmtId="1" fontId="46" fillId="9" borderId="7" xfId="0" applyNumberFormat="1" applyFont="1" applyFill="1" applyBorder="1" applyAlignment="1">
      <alignment horizontal="center" vertical="center"/>
    </xf>
    <xf numFmtId="0" fontId="46" fillId="9" borderId="6" xfId="0" applyFont="1" applyFill="1" applyBorder="1" applyAlignment="1">
      <alignment horizontal="center" vertical="center"/>
    </xf>
    <xf numFmtId="181" fontId="46" fillId="9" borderId="6" xfId="0" applyNumberFormat="1" applyFont="1" applyFill="1" applyBorder="1" applyAlignment="1">
      <alignment horizontal="center" vertical="center"/>
    </xf>
    <xf numFmtId="0" fontId="46" fillId="9" borderId="0" xfId="0" applyFont="1" applyFill="1" applyAlignment="1">
      <alignment horizontal="center" vertical="center"/>
    </xf>
    <xf numFmtId="3" fontId="46" fillId="9" borderId="7" xfId="0" applyNumberFormat="1" applyFont="1" applyFill="1" applyBorder="1" applyAlignment="1">
      <alignment horizontal="center" vertical="center"/>
    </xf>
    <xf numFmtId="3" fontId="46" fillId="9" borderId="0" xfId="0" applyNumberFormat="1" applyFont="1" applyFill="1" applyAlignment="1">
      <alignment horizontal="right" vertical="center"/>
    </xf>
    <xf numFmtId="177" fontId="46" fillId="9" borderId="7" xfId="0" applyNumberFormat="1" applyFont="1" applyFill="1" applyBorder="1" applyAlignment="1">
      <alignment horizontal="left" vertical="center"/>
    </xf>
    <xf numFmtId="1" fontId="46" fillId="9" borderId="11" xfId="0" applyNumberFormat="1" applyFont="1" applyFill="1" applyBorder="1" applyAlignment="1">
      <alignment horizontal="center" vertical="center"/>
    </xf>
    <xf numFmtId="0" fontId="46" fillId="9" borderId="9" xfId="0" applyFont="1" applyFill="1" applyBorder="1" applyAlignment="1">
      <alignment horizontal="center" vertical="center"/>
    </xf>
    <xf numFmtId="1" fontId="46" fillId="9" borderId="12" xfId="0" applyNumberFormat="1" applyFont="1" applyFill="1" applyBorder="1" applyAlignment="1">
      <alignment horizontal="center" vertical="center"/>
    </xf>
    <xf numFmtId="181" fontId="46" fillId="9" borderId="9" xfId="0" applyNumberFormat="1" applyFont="1" applyFill="1" applyBorder="1" applyAlignment="1">
      <alignment horizontal="center" vertical="center"/>
    </xf>
    <xf numFmtId="0" fontId="46" fillId="9" borderId="11" xfId="0" applyFont="1" applyFill="1" applyBorder="1" applyAlignment="1">
      <alignment horizontal="center" vertical="center"/>
    </xf>
    <xf numFmtId="3" fontId="46" fillId="9" borderId="12" xfId="0" applyNumberFormat="1" applyFont="1" applyFill="1" applyBorder="1" applyAlignment="1">
      <alignment horizontal="center" vertical="center"/>
    </xf>
    <xf numFmtId="1" fontId="31" fillId="5" borderId="3" xfId="0" applyNumberFormat="1" applyFont="1" applyFill="1" applyBorder="1" applyAlignment="1">
      <alignment horizontal="right" vertical="center"/>
    </xf>
    <xf numFmtId="2" fontId="31" fillId="5" borderId="3" xfId="0" applyNumberFormat="1" applyFont="1" applyFill="1" applyBorder="1" applyAlignment="1">
      <alignment horizontal="center"/>
    </xf>
    <xf numFmtId="181" fontId="31" fillId="5" borderId="3" xfId="0" applyNumberFormat="1" applyFont="1" applyFill="1" applyBorder="1" applyAlignment="1">
      <alignment horizontal="center" vertical="center"/>
    </xf>
    <xf numFmtId="184" fontId="31" fillId="5" borderId="3" xfId="0" applyNumberFormat="1" applyFont="1" applyFill="1" applyBorder="1" applyAlignment="1">
      <alignment horizontal="center" vertical="center"/>
    </xf>
    <xf numFmtId="1" fontId="31" fillId="5" borderId="3" xfId="0" applyNumberFormat="1" applyFont="1" applyFill="1" applyBorder="1" applyAlignment="1">
      <alignment horizontal="center"/>
    </xf>
    <xf numFmtId="3" fontId="31" fillId="5" borderId="62" xfId="0" applyNumberFormat="1" applyFont="1" applyFill="1" applyBorder="1" applyAlignment="1">
      <alignment horizontal="center" vertical="center"/>
    </xf>
    <xf numFmtId="179" fontId="31" fillId="5" borderId="3" xfId="0" applyNumberFormat="1" applyFont="1" applyFill="1" applyBorder="1" applyAlignment="1">
      <alignment horizontal="center" vertical="center"/>
    </xf>
    <xf numFmtId="4" fontId="31" fillId="5" borderId="4" xfId="0" applyNumberFormat="1" applyFont="1" applyFill="1" applyBorder="1" applyAlignment="1">
      <alignment vertical="center"/>
    </xf>
    <xf numFmtId="0" fontId="72" fillId="0" borderId="0" xfId="0" applyFont="1" applyAlignment="1">
      <alignment vertical="center"/>
    </xf>
    <xf numFmtId="1" fontId="31" fillId="5" borderId="11" xfId="0" applyNumberFormat="1" applyFont="1" applyFill="1" applyBorder="1" applyAlignment="1">
      <alignment horizontal="right" vertical="center"/>
    </xf>
    <xf numFmtId="179" fontId="31" fillId="5" borderId="11" xfId="0" applyNumberFormat="1" applyFont="1" applyFill="1" applyBorder="1" applyAlignment="1">
      <alignment horizontal="center" vertical="center"/>
    </xf>
    <xf numFmtId="1" fontId="31" fillId="5" borderId="66" xfId="0" applyNumberFormat="1" applyFont="1" applyFill="1" applyBorder="1" applyAlignment="1">
      <alignment horizontal="center" vertical="center"/>
    </xf>
    <xf numFmtId="12" fontId="31" fillId="5" borderId="11" xfId="0" applyNumberFormat="1" applyFont="1" applyFill="1" applyBorder="1" applyAlignment="1">
      <alignment horizontal="center" vertical="center"/>
    </xf>
    <xf numFmtId="2" fontId="31" fillId="5" borderId="11" xfId="0" applyNumberFormat="1" applyFont="1" applyFill="1" applyBorder="1" applyAlignment="1">
      <alignment horizontal="center" vertical="center"/>
    </xf>
    <xf numFmtId="4" fontId="31" fillId="5" borderId="12" xfId="0" applyNumberFormat="1" applyFont="1" applyFill="1" applyBorder="1" applyAlignment="1">
      <alignment vertical="center"/>
    </xf>
    <xf numFmtId="179" fontId="46" fillId="9" borderId="0" xfId="0" applyNumberFormat="1" applyFont="1" applyFill="1" applyAlignment="1">
      <alignment horizontal="center"/>
    </xf>
    <xf numFmtId="1" fontId="46" fillId="9" borderId="0" xfId="0" applyNumberFormat="1" applyFont="1" applyFill="1" applyAlignment="1">
      <alignment horizontal="center"/>
    </xf>
    <xf numFmtId="1" fontId="46" fillId="9" borderId="4" xfId="0" applyNumberFormat="1" applyFont="1" applyFill="1" applyBorder="1" applyAlignment="1">
      <alignment horizontal="center"/>
    </xf>
    <xf numFmtId="12" fontId="46" fillId="9" borderId="2" xfId="0" applyNumberFormat="1" applyFont="1" applyFill="1" applyBorder="1" applyAlignment="1">
      <alignment horizontal="center" vertical="center"/>
    </xf>
    <xf numFmtId="2" fontId="46" fillId="9" borderId="0" xfId="0" applyNumberFormat="1" applyFont="1" applyFill="1" applyAlignment="1">
      <alignment horizontal="center"/>
    </xf>
    <xf numFmtId="12" fontId="46" fillId="9" borderId="3" xfId="0" applyNumberFormat="1" applyFont="1" applyFill="1" applyBorder="1" applyAlignment="1">
      <alignment horizontal="center" vertical="center"/>
    </xf>
    <xf numFmtId="195" fontId="46" fillId="9" borderId="4" xfId="0" applyNumberFormat="1" applyFont="1" applyFill="1" applyBorder="1" applyAlignment="1">
      <alignment vertical="center"/>
    </xf>
    <xf numFmtId="1" fontId="46" fillId="9" borderId="7" xfId="0" applyNumberFormat="1" applyFont="1" applyFill="1" applyBorder="1" applyAlignment="1">
      <alignment horizontal="center"/>
    </xf>
    <xf numFmtId="12" fontId="46" fillId="9" borderId="6" xfId="0" applyNumberFormat="1" applyFont="1" applyFill="1" applyBorder="1" applyAlignment="1">
      <alignment horizontal="center" vertical="center"/>
    </xf>
    <xf numFmtId="12" fontId="46" fillId="9" borderId="0" xfId="0" applyNumberFormat="1" applyFont="1" applyFill="1" applyAlignment="1">
      <alignment horizontal="center" vertical="center"/>
    </xf>
    <xf numFmtId="195" fontId="46" fillId="9" borderId="7" xfId="0" applyNumberFormat="1" applyFont="1" applyFill="1" applyBorder="1" applyAlignment="1">
      <alignment vertical="center"/>
    </xf>
    <xf numFmtId="0" fontId="31" fillId="6" borderId="1" xfId="0" applyFont="1" applyFill="1" applyBorder="1" applyAlignment="1">
      <alignment horizontal="center" vertical="center"/>
    </xf>
    <xf numFmtId="0" fontId="31" fillId="6" borderId="18" xfId="0" applyFont="1" applyFill="1" applyBorder="1" applyAlignment="1">
      <alignment horizontal="center" vertical="center"/>
    </xf>
    <xf numFmtId="1" fontId="31" fillId="6" borderId="13" xfId="0" applyNumberFormat="1" applyFont="1" applyFill="1" applyBorder="1" applyAlignment="1">
      <alignment horizontal="center" vertical="center"/>
    </xf>
    <xf numFmtId="1" fontId="31" fillId="6" borderId="18" xfId="0" applyNumberFormat="1" applyFont="1" applyFill="1" applyBorder="1" applyAlignment="1">
      <alignment horizontal="center" vertical="center"/>
    </xf>
    <xf numFmtId="1" fontId="31" fillId="6" borderId="14" xfId="0" applyNumberFormat="1" applyFont="1" applyFill="1" applyBorder="1" applyAlignment="1">
      <alignment horizontal="center" vertical="center"/>
    </xf>
    <xf numFmtId="0" fontId="31" fillId="6" borderId="13" xfId="0" applyFont="1" applyFill="1" applyBorder="1" applyAlignment="1">
      <alignment horizontal="center" vertical="center"/>
    </xf>
    <xf numFmtId="0" fontId="31" fillId="6" borderId="14" xfId="0" applyFont="1" applyFill="1" applyBorder="1" applyAlignment="1">
      <alignment horizontal="center" vertical="center"/>
    </xf>
    <xf numFmtId="181" fontId="31" fillId="6" borderId="13" xfId="0" applyNumberFormat="1" applyFont="1" applyFill="1" applyBorder="1" applyAlignment="1">
      <alignment horizontal="center" vertical="center"/>
    </xf>
    <xf numFmtId="181" fontId="31" fillId="6" borderId="18" xfId="0" applyNumberFormat="1" applyFont="1" applyFill="1" applyBorder="1" applyAlignment="1">
      <alignment horizontal="center" vertical="center"/>
    </xf>
    <xf numFmtId="181" fontId="31" fillId="6" borderId="14" xfId="0" applyNumberFormat="1" applyFont="1" applyFill="1" applyBorder="1" applyAlignment="1">
      <alignment horizontal="center" vertical="center"/>
    </xf>
    <xf numFmtId="181" fontId="31" fillId="6" borderId="2" xfId="0" applyNumberFormat="1" applyFont="1" applyFill="1" applyBorder="1" applyAlignment="1">
      <alignment horizontal="center" vertical="center"/>
    </xf>
    <xf numFmtId="3" fontId="31" fillId="6" borderId="18" xfId="0" applyNumberFormat="1" applyFont="1" applyFill="1" applyBorder="1" applyAlignment="1">
      <alignment horizontal="center" vertical="center"/>
    </xf>
    <xf numFmtId="3" fontId="31" fillId="6" borderId="14" xfId="0" applyNumberFormat="1" applyFont="1" applyFill="1" applyBorder="1" applyAlignment="1">
      <alignment horizontal="center" vertical="center"/>
    </xf>
    <xf numFmtId="184" fontId="31" fillId="6" borderId="2" xfId="0" applyNumberFormat="1" applyFont="1" applyFill="1" applyBorder="1" applyAlignment="1">
      <alignment horizontal="center" vertical="center"/>
    </xf>
    <xf numFmtId="184" fontId="31" fillId="6" borderId="4" xfId="0" applyNumberFormat="1" applyFont="1" applyFill="1" applyBorder="1" applyAlignment="1">
      <alignment horizontal="center" vertical="center"/>
    </xf>
    <xf numFmtId="195" fontId="31" fillId="6" borderId="5" xfId="0" applyNumberFormat="1" applyFont="1" applyFill="1" applyBorder="1" applyAlignment="1">
      <alignment horizontal="center" vertical="center"/>
    </xf>
    <xf numFmtId="1" fontId="31" fillId="6" borderId="5" xfId="0" applyNumberFormat="1" applyFont="1" applyFill="1" applyBorder="1" applyAlignment="1">
      <alignment horizontal="center" vertical="center"/>
    </xf>
    <xf numFmtId="2" fontId="69" fillId="0" borderId="0" xfId="0" applyNumberFormat="1" applyFont="1" applyAlignment="1">
      <alignment horizontal="center" vertical="center"/>
    </xf>
    <xf numFmtId="0" fontId="31" fillId="15" borderId="1" xfId="0" applyFont="1" applyFill="1" applyBorder="1" applyAlignment="1">
      <alignment vertical="center"/>
    </xf>
    <xf numFmtId="0" fontId="31" fillId="15" borderId="18" xfId="0" applyFont="1" applyFill="1" applyBorder="1" applyAlignment="1">
      <alignment horizontal="right" vertical="center"/>
    </xf>
    <xf numFmtId="0" fontId="31" fillId="15" borderId="13" xfId="0" applyFont="1" applyFill="1" applyBorder="1" applyAlignment="1">
      <alignment horizontal="center" vertical="center"/>
    </xf>
    <xf numFmtId="1" fontId="31" fillId="15" borderId="18" xfId="0" applyNumberFormat="1" applyFont="1" applyFill="1" applyBorder="1" applyAlignment="1">
      <alignment horizontal="center" vertical="center"/>
    </xf>
    <xf numFmtId="1" fontId="31" fillId="15" borderId="14" xfId="0" applyNumberFormat="1" applyFont="1" applyFill="1" applyBorder="1" applyAlignment="1">
      <alignment horizontal="center" vertical="center"/>
    </xf>
    <xf numFmtId="0" fontId="31" fillId="15" borderId="14" xfId="0" applyFont="1" applyFill="1" applyBorder="1" applyAlignment="1">
      <alignment horizontal="center" vertical="center"/>
    </xf>
    <xf numFmtId="180" fontId="31" fillId="15" borderId="18" xfId="0" applyNumberFormat="1" applyFont="1" applyFill="1" applyBorder="1" applyAlignment="1">
      <alignment horizontal="center" vertical="center"/>
    </xf>
    <xf numFmtId="2" fontId="31" fillId="15" borderId="18" xfId="0" applyNumberFormat="1" applyFont="1" applyFill="1" applyBorder="1" applyAlignment="1">
      <alignment horizontal="center" vertical="center"/>
    </xf>
    <xf numFmtId="181" fontId="31" fillId="15" borderId="13" xfId="0" applyNumberFormat="1" applyFont="1" applyFill="1" applyBorder="1" applyAlignment="1">
      <alignment horizontal="center" vertical="center"/>
    </xf>
    <xf numFmtId="179" fontId="31" fillId="15" borderId="18" xfId="0" applyNumberFormat="1" applyFont="1" applyFill="1" applyBorder="1" applyAlignment="1">
      <alignment horizontal="center" vertical="center"/>
    </xf>
    <xf numFmtId="4" fontId="31" fillId="15" borderId="14" xfId="0" applyNumberFormat="1" applyFont="1" applyFill="1" applyBorder="1" applyAlignment="1">
      <alignment horizontal="center" vertical="center"/>
    </xf>
    <xf numFmtId="3" fontId="31" fillId="15" borderId="18" xfId="0" applyNumberFormat="1" applyFont="1" applyFill="1" applyBorder="1" applyAlignment="1">
      <alignment horizontal="center" vertical="center"/>
    </xf>
    <xf numFmtId="0" fontId="31" fillId="15" borderId="18" xfId="0" applyFont="1" applyFill="1" applyBorder="1" applyAlignment="1">
      <alignment horizontal="center" vertical="center"/>
    </xf>
    <xf numFmtId="2" fontId="31" fillId="15" borderId="14" xfId="0" applyNumberFormat="1" applyFont="1" applyFill="1" applyBorder="1" applyAlignment="1">
      <alignment horizontal="center" vertical="center"/>
    </xf>
    <xf numFmtId="184" fontId="31" fillId="15" borderId="13" xfId="0" applyNumberFormat="1" applyFont="1" applyFill="1" applyBorder="1" applyAlignment="1">
      <alignment horizontal="center" vertical="center"/>
    </xf>
    <xf numFmtId="2" fontId="31" fillId="15" borderId="14" xfId="0" applyNumberFormat="1" applyFont="1" applyFill="1" applyBorder="1" applyAlignment="1">
      <alignment horizontal="right" vertical="center"/>
    </xf>
    <xf numFmtId="4" fontId="31" fillId="15" borderId="1" xfId="0" applyNumberFormat="1" applyFont="1" applyFill="1" applyBorder="1" applyAlignment="1">
      <alignment vertical="center"/>
    </xf>
    <xf numFmtId="1" fontId="69" fillId="15" borderId="1" xfId="0" applyNumberFormat="1" applyFont="1" applyFill="1" applyBorder="1" applyAlignment="1">
      <alignment horizontal="center" vertical="center"/>
    </xf>
    <xf numFmtId="1" fontId="31" fillId="15" borderId="13" xfId="0" applyNumberFormat="1" applyFont="1" applyFill="1" applyBorder="1" applyAlignment="1">
      <alignment horizontal="center" vertical="center"/>
    </xf>
    <xf numFmtId="1" fontId="31" fillId="15" borderId="1" xfId="0" applyNumberFormat="1" applyFont="1" applyFill="1" applyBorder="1" applyAlignment="1">
      <alignment horizontal="center" vertical="center"/>
    </xf>
    <xf numFmtId="4" fontId="31" fillId="10" borderId="0" xfId="0" applyNumberFormat="1" applyFont="1" applyFill="1" applyAlignment="1">
      <alignment vertical="center"/>
    </xf>
    <xf numFmtId="0" fontId="72" fillId="0" borderId="0" xfId="0" applyFont="1" applyAlignment="1">
      <alignment horizontal="center" vertical="center" textRotation="90"/>
    </xf>
    <xf numFmtId="0" fontId="72" fillId="0" borderId="8" xfId="0" quotePrefix="1" applyFont="1" applyBorder="1" applyAlignment="1">
      <alignment vertical="center"/>
    </xf>
    <xf numFmtId="0" fontId="72" fillId="0" borderId="7" xfId="0" quotePrefix="1" applyFont="1" applyBorder="1" applyAlignment="1">
      <alignment vertical="center"/>
    </xf>
    <xf numFmtId="1" fontId="72" fillId="0" borderId="6" xfId="0" applyNumberFormat="1" applyFont="1" applyBorder="1" applyAlignment="1">
      <alignment horizontal="right" vertical="center"/>
    </xf>
    <xf numFmtId="1" fontId="72" fillId="0" borderId="0" xfId="0" applyNumberFormat="1" applyFont="1" applyAlignment="1">
      <alignment horizontal="right" vertical="center"/>
    </xf>
    <xf numFmtId="1" fontId="72" fillId="0" borderId="7" xfId="0" applyNumberFormat="1" applyFont="1" applyBorder="1" applyAlignment="1">
      <alignment horizontal="right" vertical="center"/>
    </xf>
    <xf numFmtId="180" fontId="72" fillId="0" borderId="0" xfId="0" applyNumberFormat="1" applyFont="1" applyAlignment="1">
      <alignment horizontal="right" vertical="center"/>
    </xf>
    <xf numFmtId="2" fontId="72" fillId="0" borderId="0" xfId="0" applyNumberFormat="1" applyFont="1" applyAlignment="1">
      <alignment horizontal="right" vertical="center"/>
    </xf>
    <xf numFmtId="181" fontId="71" fillId="0" borderId="6" xfId="0" applyNumberFormat="1" applyFont="1" applyBorder="1" applyAlignment="1">
      <alignment vertical="center"/>
    </xf>
    <xf numFmtId="201" fontId="72" fillId="0" borderId="0" xfId="0" applyNumberFormat="1" applyFont="1" applyAlignment="1">
      <alignment horizontal="right" vertical="center"/>
    </xf>
    <xf numFmtId="1" fontId="72" fillId="0" borderId="0" xfId="0" applyNumberFormat="1" applyFont="1" applyAlignment="1">
      <alignment horizontal="center" vertical="center"/>
    </xf>
    <xf numFmtId="4" fontId="72" fillId="0" borderId="7" xfId="0" applyNumberFormat="1" applyFont="1" applyBorder="1" applyAlignment="1">
      <alignment horizontal="right" vertical="center"/>
    </xf>
    <xf numFmtId="180" fontId="72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right" vertical="center"/>
    </xf>
    <xf numFmtId="3" fontId="71" fillId="0" borderId="0" xfId="0" applyNumberFormat="1" applyFont="1" applyAlignment="1">
      <alignment horizontal="right" vertical="center"/>
    </xf>
    <xf numFmtId="183" fontId="72" fillId="0" borderId="0" xfId="0" applyNumberFormat="1" applyFont="1" applyAlignment="1">
      <alignment horizontal="right" vertical="center"/>
    </xf>
    <xf numFmtId="179" fontId="72" fillId="9" borderId="6" xfId="0" applyNumberFormat="1" applyFont="1" applyFill="1" applyBorder="1" applyAlignment="1">
      <alignment horizontal="right" vertical="center"/>
    </xf>
    <xf numFmtId="2" fontId="72" fillId="9" borderId="7" xfId="0" applyNumberFormat="1" applyFont="1" applyFill="1" applyBorder="1" applyAlignment="1">
      <alignment horizontal="right" vertical="center"/>
    </xf>
    <xf numFmtId="4" fontId="72" fillId="9" borderId="8" xfId="0" applyNumberFormat="1" applyFont="1" applyFill="1" applyBorder="1" applyAlignment="1">
      <alignment horizontal="right" vertical="center"/>
    </xf>
    <xf numFmtId="1" fontId="72" fillId="16" borderId="8" xfId="0" applyNumberFormat="1" applyFont="1" applyFill="1" applyBorder="1" applyAlignment="1">
      <alignment horizontal="center" vertical="center"/>
    </xf>
    <xf numFmtId="0" fontId="71" fillId="0" borderId="0" xfId="0" applyFont="1" applyAlignment="1">
      <alignment vertical="center"/>
    </xf>
    <xf numFmtId="1" fontId="72" fillId="0" borderId="8" xfId="0" applyNumberFormat="1" applyFont="1" applyBorder="1" applyAlignment="1">
      <alignment horizontal="center" vertical="center"/>
    </xf>
    <xf numFmtId="195" fontId="72" fillId="0" borderId="0" xfId="0" applyNumberFormat="1" applyFont="1" applyAlignment="1">
      <alignment vertical="center"/>
    </xf>
    <xf numFmtId="0" fontId="71" fillId="10" borderId="0" xfId="0" applyFont="1" applyFill="1" applyAlignment="1">
      <alignment vertical="center"/>
    </xf>
    <xf numFmtId="2" fontId="72" fillId="0" borderId="0" xfId="0" applyNumberFormat="1" applyFont="1" applyAlignment="1">
      <alignment vertical="center"/>
    </xf>
    <xf numFmtId="4" fontId="71" fillId="10" borderId="0" xfId="0" applyNumberFormat="1" applyFont="1" applyFill="1" applyAlignment="1">
      <alignment vertical="center"/>
    </xf>
    <xf numFmtId="0" fontId="72" fillId="10" borderId="0" xfId="0" applyFont="1" applyFill="1" applyAlignment="1">
      <alignment vertical="center"/>
    </xf>
    <xf numFmtId="1" fontId="46" fillId="0" borderId="7" xfId="0" quotePrefix="1" applyNumberFormat="1" applyFont="1" applyBorder="1" applyAlignment="1">
      <alignment horizontal="right" vertical="center"/>
    </xf>
    <xf numFmtId="180" fontId="46" fillId="0" borderId="0" xfId="0" applyNumberFormat="1" applyFont="1" applyAlignment="1">
      <alignment horizontal="right" vertical="center"/>
    </xf>
    <xf numFmtId="201" fontId="46" fillId="0" borderId="0" xfId="0" applyNumberFormat="1" applyFont="1" applyAlignment="1">
      <alignment horizontal="right" vertical="center"/>
    </xf>
    <xf numFmtId="3" fontId="69" fillId="0" borderId="0" xfId="0" applyNumberFormat="1" applyFont="1" applyAlignment="1">
      <alignment horizontal="right" vertical="center"/>
    </xf>
    <xf numFmtId="183" fontId="46" fillId="0" borderId="0" xfId="0" applyNumberFormat="1" applyFont="1" applyAlignment="1">
      <alignment horizontal="right" vertical="center"/>
    </xf>
    <xf numFmtId="179" fontId="69" fillId="9" borderId="6" xfId="0" applyNumberFormat="1" applyFont="1" applyFill="1" applyBorder="1" applyAlignment="1">
      <alignment horizontal="right" vertical="center"/>
    </xf>
    <xf numFmtId="4" fontId="46" fillId="9" borderId="7" xfId="0" applyNumberFormat="1" applyFont="1" applyFill="1" applyBorder="1" applyAlignment="1">
      <alignment vertical="center"/>
    </xf>
    <xf numFmtId="4" fontId="46" fillId="9" borderId="8" xfId="0" applyNumberFormat="1" applyFont="1" applyFill="1" applyBorder="1" applyAlignment="1">
      <alignment vertical="center"/>
    </xf>
    <xf numFmtId="201" fontId="31" fillId="15" borderId="18" xfId="0" applyNumberFormat="1" applyFont="1" applyFill="1" applyBorder="1" applyAlignment="1">
      <alignment horizontal="center" vertical="center"/>
    </xf>
    <xf numFmtId="3" fontId="72" fillId="0" borderId="7" xfId="0" quotePrefix="1" applyNumberFormat="1" applyFont="1" applyBorder="1" applyAlignment="1">
      <alignment vertical="center"/>
    </xf>
    <xf numFmtId="181" fontId="72" fillId="0" borderId="0" xfId="0" applyNumberFormat="1" applyFont="1" applyAlignment="1">
      <alignment horizontal="center" vertical="center"/>
    </xf>
    <xf numFmtId="0" fontId="46" fillId="0" borderId="11" xfId="0" applyFont="1" applyBorder="1" applyAlignment="1">
      <alignment vertical="center"/>
    </xf>
    <xf numFmtId="0" fontId="46" fillId="0" borderId="9" xfId="0" applyFont="1" applyBorder="1" applyAlignment="1">
      <alignment vertical="center"/>
    </xf>
    <xf numFmtId="1" fontId="46" fillId="0" borderId="12" xfId="0" quotePrefix="1" applyNumberFormat="1" applyFont="1" applyBorder="1" applyAlignment="1">
      <alignment horizontal="right" vertical="center"/>
    </xf>
    <xf numFmtId="180" fontId="46" fillId="0" borderId="11" xfId="0" applyNumberFormat="1" applyFont="1" applyBorder="1" applyAlignment="1">
      <alignment horizontal="right" vertical="center"/>
    </xf>
    <xf numFmtId="201" fontId="46" fillId="0" borderId="11" xfId="0" applyNumberFormat="1" applyFont="1" applyBorder="1" applyAlignment="1">
      <alignment horizontal="right" vertical="center"/>
    </xf>
    <xf numFmtId="3" fontId="69" fillId="0" borderId="11" xfId="0" applyNumberFormat="1" applyFont="1" applyBorder="1" applyAlignment="1">
      <alignment horizontal="right" vertical="center"/>
    </xf>
    <xf numFmtId="183" fontId="46" fillId="0" borderId="11" xfId="0" applyNumberFormat="1" applyFont="1" applyBorder="1" applyAlignment="1">
      <alignment horizontal="right" vertical="center"/>
    </xf>
    <xf numFmtId="179" fontId="69" fillId="9" borderId="9" xfId="0" applyNumberFormat="1" applyFont="1" applyFill="1" applyBorder="1" applyAlignment="1">
      <alignment horizontal="right" vertical="center"/>
    </xf>
    <xf numFmtId="4" fontId="46" fillId="9" borderId="12" xfId="0" applyNumberFormat="1" applyFont="1" applyFill="1" applyBorder="1" applyAlignment="1">
      <alignment vertical="center"/>
    </xf>
    <xf numFmtId="4" fontId="46" fillId="9" borderId="10" xfId="0" applyNumberFormat="1" applyFont="1" applyFill="1" applyBorder="1" applyAlignment="1">
      <alignment vertical="center"/>
    </xf>
    <xf numFmtId="0" fontId="31" fillId="15" borderId="1" xfId="0" applyFont="1" applyFill="1" applyBorder="1" applyAlignment="1">
      <alignment horizontal="left" vertical="center"/>
    </xf>
    <xf numFmtId="0" fontId="31" fillId="15" borderId="1" xfId="0" applyFont="1" applyFill="1" applyBorder="1" applyAlignment="1">
      <alignment horizontal="center" vertical="center"/>
    </xf>
    <xf numFmtId="180" fontId="31" fillId="15" borderId="13" xfId="0" applyNumberFormat="1" applyFont="1" applyFill="1" applyBorder="1" applyAlignment="1">
      <alignment horizontal="center" vertical="center"/>
    </xf>
    <xf numFmtId="3" fontId="31" fillId="15" borderId="13" xfId="0" applyNumberFormat="1" applyFont="1" applyFill="1" applyBorder="1" applyAlignment="1">
      <alignment horizontal="center" vertical="center"/>
    </xf>
    <xf numFmtId="179" fontId="31" fillId="15" borderId="9" xfId="0" applyNumberFormat="1" applyFont="1" applyFill="1" applyBorder="1" applyAlignment="1">
      <alignment horizontal="center" vertical="center"/>
    </xf>
    <xf numFmtId="2" fontId="31" fillId="15" borderId="12" xfId="0" applyNumberFormat="1" applyFont="1" applyFill="1" applyBorder="1" applyAlignment="1">
      <alignment horizontal="right" vertical="center"/>
    </xf>
    <xf numFmtId="195" fontId="64" fillId="0" borderId="0" xfId="0" applyNumberFormat="1" applyFont="1" applyAlignment="1">
      <alignment vertical="center"/>
    </xf>
    <xf numFmtId="181" fontId="72" fillId="0" borderId="7" xfId="0" quotePrefix="1" applyNumberFormat="1" applyFont="1" applyBorder="1" applyAlignment="1">
      <alignment vertical="center"/>
    </xf>
    <xf numFmtId="181" fontId="72" fillId="0" borderId="6" xfId="0" applyNumberFormat="1" applyFont="1" applyBorder="1" applyAlignment="1">
      <alignment vertical="center"/>
    </xf>
    <xf numFmtId="179" fontId="71" fillId="9" borderId="6" xfId="0" applyNumberFormat="1" applyFont="1" applyFill="1" applyBorder="1" applyAlignment="1">
      <alignment horizontal="right" vertical="center"/>
    </xf>
    <xf numFmtId="2" fontId="71" fillId="0" borderId="0" xfId="0" applyNumberFormat="1" applyFont="1" applyAlignment="1">
      <alignment vertical="center"/>
    </xf>
    <xf numFmtId="0" fontId="46" fillId="0" borderId="0" xfId="0" applyFont="1" applyAlignment="1">
      <alignment horizontal="center" vertical="center" textRotation="90"/>
    </xf>
    <xf numFmtId="0" fontId="46" fillId="0" borderId="12" xfId="0" quotePrefix="1" applyFont="1" applyBorder="1" applyAlignment="1">
      <alignment vertical="center"/>
    </xf>
    <xf numFmtId="1" fontId="46" fillId="0" borderId="9" xfId="0" applyNumberFormat="1" applyFont="1" applyBorder="1" applyAlignment="1">
      <alignment horizontal="right" vertical="center"/>
    </xf>
    <xf numFmtId="2" fontId="46" fillId="9" borderId="12" xfId="0" applyNumberFormat="1" applyFont="1" applyFill="1" applyBorder="1" applyAlignment="1">
      <alignment horizontal="right" vertical="center"/>
    </xf>
    <xf numFmtId="4" fontId="46" fillId="9" borderId="10" xfId="0" applyNumberFormat="1" applyFont="1" applyFill="1" applyBorder="1" applyAlignment="1">
      <alignment horizontal="right" vertical="center"/>
    </xf>
    <xf numFmtId="195" fontId="46" fillId="0" borderId="0" xfId="0" applyNumberFormat="1" applyFont="1" applyAlignment="1">
      <alignment vertical="center"/>
    </xf>
    <xf numFmtId="0" fontId="46" fillId="0" borderId="7" xfId="0" quotePrefix="1" applyFont="1" applyBorder="1" applyAlignment="1">
      <alignment vertical="center"/>
    </xf>
    <xf numFmtId="1" fontId="46" fillId="0" borderId="6" xfId="0" applyNumberFormat="1" applyFont="1" applyBorder="1" applyAlignment="1">
      <alignment horizontal="right" vertical="center"/>
    </xf>
    <xf numFmtId="2" fontId="46" fillId="9" borderId="7" xfId="0" applyNumberFormat="1" applyFont="1" applyFill="1" applyBorder="1" applyAlignment="1">
      <alignment horizontal="right" vertical="center"/>
    </xf>
    <xf numFmtId="4" fontId="46" fillId="9" borderId="8" xfId="0" applyNumberFormat="1" applyFont="1" applyFill="1" applyBorder="1" applyAlignment="1">
      <alignment horizontal="right" vertical="center"/>
    </xf>
    <xf numFmtId="0" fontId="31" fillId="19" borderId="1" xfId="0" applyFont="1" applyFill="1" applyBorder="1" applyAlignment="1">
      <alignment vertical="center"/>
    </xf>
    <xf numFmtId="0" fontId="31" fillId="19" borderId="18" xfId="0" applyFont="1" applyFill="1" applyBorder="1" applyAlignment="1">
      <alignment horizontal="right" vertical="center"/>
    </xf>
    <xf numFmtId="0" fontId="31" fillId="19" borderId="13" xfId="0" applyFont="1" applyFill="1" applyBorder="1" applyAlignment="1">
      <alignment horizontal="center" vertical="center"/>
    </xf>
    <xf numFmtId="1" fontId="31" fillId="19" borderId="18" xfId="0" applyNumberFormat="1" applyFont="1" applyFill="1" applyBorder="1" applyAlignment="1">
      <alignment horizontal="center" vertical="center"/>
    </xf>
    <xf numFmtId="1" fontId="31" fillId="19" borderId="14" xfId="0" applyNumberFormat="1" applyFont="1" applyFill="1" applyBorder="1" applyAlignment="1">
      <alignment horizontal="center" vertical="center"/>
    </xf>
    <xf numFmtId="0" fontId="31" fillId="19" borderId="14" xfId="0" applyFont="1" applyFill="1" applyBorder="1" applyAlignment="1">
      <alignment horizontal="center" vertical="center"/>
    </xf>
    <xf numFmtId="180" fontId="31" fillId="19" borderId="18" xfId="0" applyNumberFormat="1" applyFont="1" applyFill="1" applyBorder="1" applyAlignment="1">
      <alignment horizontal="center" vertical="center"/>
    </xf>
    <xf numFmtId="2" fontId="31" fillId="19" borderId="18" xfId="0" applyNumberFormat="1" applyFont="1" applyFill="1" applyBorder="1" applyAlignment="1">
      <alignment horizontal="center" vertical="center"/>
    </xf>
    <xf numFmtId="181" fontId="31" fillId="19" borderId="13" xfId="0" applyNumberFormat="1" applyFont="1" applyFill="1" applyBorder="1" applyAlignment="1">
      <alignment horizontal="center" vertical="center"/>
    </xf>
    <xf numFmtId="201" fontId="31" fillId="19" borderId="18" xfId="0" applyNumberFormat="1" applyFont="1" applyFill="1" applyBorder="1" applyAlignment="1">
      <alignment horizontal="center" vertical="center"/>
    </xf>
    <xf numFmtId="4" fontId="31" fillId="19" borderId="14" xfId="0" applyNumberFormat="1" applyFont="1" applyFill="1" applyBorder="1" applyAlignment="1">
      <alignment horizontal="center" vertical="center"/>
    </xf>
    <xf numFmtId="3" fontId="31" fillId="19" borderId="18" xfId="0" applyNumberFormat="1" applyFont="1" applyFill="1" applyBorder="1" applyAlignment="1">
      <alignment horizontal="center" vertical="center"/>
    </xf>
    <xf numFmtId="0" fontId="31" fillId="19" borderId="18" xfId="0" applyFont="1" applyFill="1" applyBorder="1" applyAlignment="1">
      <alignment horizontal="center" vertical="center"/>
    </xf>
    <xf numFmtId="2" fontId="31" fillId="19" borderId="14" xfId="0" applyNumberFormat="1" applyFont="1" applyFill="1" applyBorder="1" applyAlignment="1">
      <alignment horizontal="center" vertical="center"/>
    </xf>
    <xf numFmtId="184" fontId="31" fillId="19" borderId="13" xfId="0" applyNumberFormat="1" applyFont="1" applyFill="1" applyBorder="1" applyAlignment="1">
      <alignment horizontal="center" vertical="center"/>
    </xf>
    <xf numFmtId="2" fontId="31" fillId="19" borderId="14" xfId="0" applyNumberFormat="1" applyFont="1" applyFill="1" applyBorder="1" applyAlignment="1">
      <alignment horizontal="right" vertical="center"/>
    </xf>
    <xf numFmtId="4" fontId="31" fillId="19" borderId="1" xfId="0" applyNumberFormat="1" applyFont="1" applyFill="1" applyBorder="1" applyAlignment="1">
      <alignment vertical="center"/>
    </xf>
    <xf numFmtId="1" fontId="69" fillId="19" borderId="1" xfId="0" applyNumberFormat="1" applyFont="1" applyFill="1" applyBorder="1" applyAlignment="1">
      <alignment horizontal="center" vertical="center"/>
    </xf>
    <xf numFmtId="1" fontId="31" fillId="19" borderId="13" xfId="0" applyNumberFormat="1" applyFont="1" applyFill="1" applyBorder="1" applyAlignment="1">
      <alignment horizontal="center" vertical="center"/>
    </xf>
    <xf numFmtId="1" fontId="31" fillId="19" borderId="1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81" fontId="31" fillId="5" borderId="13" xfId="0" applyNumberFormat="1" applyFont="1" applyFill="1" applyBorder="1" applyAlignment="1">
      <alignment horizontal="center" vertical="center"/>
    </xf>
    <xf numFmtId="0" fontId="64" fillId="9" borderId="1" xfId="0" quotePrefix="1" applyFont="1" applyFill="1" applyBorder="1" applyAlignment="1">
      <alignment vertical="center"/>
    </xf>
    <xf numFmtId="0" fontId="31" fillId="9" borderId="18" xfId="0" applyFont="1" applyFill="1" applyBorder="1" applyAlignment="1">
      <alignment horizontal="right" vertical="center"/>
    </xf>
    <xf numFmtId="0" fontId="31" fillId="9" borderId="13" xfId="0" applyFont="1" applyFill="1" applyBorder="1" applyAlignment="1">
      <alignment vertical="center"/>
    </xf>
    <xf numFmtId="1" fontId="31" fillId="9" borderId="18" xfId="0" applyNumberFormat="1" applyFont="1" applyFill="1" applyBorder="1" applyAlignment="1">
      <alignment horizontal="center" vertical="center"/>
    </xf>
    <xf numFmtId="1" fontId="31" fillId="9" borderId="14" xfId="0" applyNumberFormat="1" applyFont="1" applyFill="1" applyBorder="1" applyAlignment="1">
      <alignment horizontal="center" vertical="center"/>
    </xf>
    <xf numFmtId="0" fontId="31" fillId="9" borderId="14" xfId="0" applyFont="1" applyFill="1" applyBorder="1" applyAlignment="1">
      <alignment horizontal="center" vertical="center"/>
    </xf>
    <xf numFmtId="180" fontId="31" fillId="9" borderId="18" xfId="0" applyNumberFormat="1" applyFont="1" applyFill="1" applyBorder="1" applyAlignment="1">
      <alignment horizontal="center" vertical="center"/>
    </xf>
    <xf numFmtId="2" fontId="31" fillId="9" borderId="18" xfId="0" applyNumberFormat="1" applyFont="1" applyFill="1" applyBorder="1" applyAlignment="1">
      <alignment horizontal="center" vertical="center"/>
    </xf>
    <xf numFmtId="181" fontId="31" fillId="9" borderId="13" xfId="0" applyNumberFormat="1" applyFont="1" applyFill="1" applyBorder="1" applyAlignment="1">
      <alignment horizontal="center" vertical="center"/>
    </xf>
    <xf numFmtId="201" fontId="31" fillId="9" borderId="18" xfId="0" applyNumberFormat="1" applyFont="1" applyFill="1" applyBorder="1" applyAlignment="1">
      <alignment horizontal="center" vertical="center"/>
    </xf>
    <xf numFmtId="4" fontId="31" fillId="9" borderId="14" xfId="0" applyNumberFormat="1" applyFont="1" applyFill="1" applyBorder="1" applyAlignment="1">
      <alignment horizontal="center" vertical="center"/>
    </xf>
    <xf numFmtId="3" fontId="31" fillId="9" borderId="18" xfId="0" applyNumberFormat="1" applyFont="1" applyFill="1" applyBorder="1" applyAlignment="1">
      <alignment horizontal="center" vertical="center"/>
    </xf>
    <xf numFmtId="178" fontId="31" fillId="9" borderId="18" xfId="0" applyNumberFormat="1" applyFont="1" applyFill="1" applyBorder="1" applyAlignment="1">
      <alignment horizontal="center" vertical="center"/>
    </xf>
    <xf numFmtId="2" fontId="31" fillId="9" borderId="14" xfId="0" applyNumberFormat="1" applyFont="1" applyFill="1" applyBorder="1" applyAlignment="1">
      <alignment horizontal="center" vertical="center"/>
    </xf>
    <xf numFmtId="179" fontId="31" fillId="9" borderId="13" xfId="0" applyNumberFormat="1" applyFont="1" applyFill="1" applyBorder="1" applyAlignment="1">
      <alignment horizontal="center" vertical="center"/>
    </xf>
    <xf numFmtId="2" fontId="31" fillId="9" borderId="14" xfId="0" applyNumberFormat="1" applyFont="1" applyFill="1" applyBorder="1" applyAlignment="1">
      <alignment horizontal="right" vertical="center"/>
    </xf>
    <xf numFmtId="1" fontId="69" fillId="9" borderId="1" xfId="0" applyNumberFormat="1" applyFont="1" applyFill="1" applyBorder="1" applyAlignment="1">
      <alignment horizontal="center" vertical="center"/>
    </xf>
    <xf numFmtId="1" fontId="64" fillId="9" borderId="13" xfId="0" applyNumberFormat="1" applyFont="1" applyFill="1" applyBorder="1" applyAlignment="1">
      <alignment horizontal="center" vertical="center"/>
    </xf>
    <xf numFmtId="1" fontId="64" fillId="9" borderId="1" xfId="0" applyNumberFormat="1" applyFont="1" applyFill="1" applyBorder="1" applyAlignment="1">
      <alignment horizontal="center" vertical="center"/>
    </xf>
    <xf numFmtId="0" fontId="64" fillId="9" borderId="13" xfId="0" applyFont="1" applyFill="1" applyBorder="1" applyAlignment="1">
      <alignment horizontal="left" vertical="center"/>
    </xf>
    <xf numFmtId="0" fontId="69" fillId="9" borderId="1" xfId="0" applyFont="1" applyFill="1" applyBorder="1" applyAlignment="1">
      <alignment horizontal="center" vertical="center"/>
    </xf>
    <xf numFmtId="2" fontId="69" fillId="9" borderId="1" xfId="0" applyNumberFormat="1" applyFont="1" applyFill="1" applyBorder="1" applyAlignment="1">
      <alignment horizontal="center" vertical="center"/>
    </xf>
    <xf numFmtId="0" fontId="69" fillId="9" borderId="14" xfId="0" applyFont="1" applyFill="1" applyBorder="1" applyAlignment="1">
      <alignment horizontal="center" vertical="center"/>
    </xf>
    <xf numFmtId="0" fontId="64" fillId="9" borderId="13" xfId="0" applyFont="1" applyFill="1" applyBorder="1" applyAlignment="1">
      <alignment horizontal="center" vertical="center"/>
    </xf>
    <xf numFmtId="0" fontId="64" fillId="9" borderId="18" xfId="0" applyFont="1" applyFill="1" applyBorder="1" applyAlignment="1">
      <alignment horizontal="center" vertical="center"/>
    </xf>
    <xf numFmtId="0" fontId="64" fillId="9" borderId="14" xfId="0" applyFont="1" applyFill="1" applyBorder="1" applyAlignment="1">
      <alignment horizontal="center" vertical="center"/>
    </xf>
    <xf numFmtId="0" fontId="72" fillId="0" borderId="8" xfId="0" applyFont="1" applyBorder="1" applyAlignment="1">
      <alignment horizontal="left" vertical="center"/>
    </xf>
    <xf numFmtId="0" fontId="72" fillId="0" borderId="0" xfId="0" applyFont="1" applyAlignment="1">
      <alignment horizontal="left" vertical="center"/>
    </xf>
    <xf numFmtId="0" fontId="72" fillId="0" borderId="6" xfId="0" applyFont="1" applyBorder="1" applyAlignment="1">
      <alignment horizontal="left" vertical="center"/>
    </xf>
    <xf numFmtId="0" fontId="72" fillId="0" borderId="7" xfId="0" applyFont="1" applyBorder="1" applyAlignment="1">
      <alignment horizontal="center" vertical="center"/>
    </xf>
    <xf numFmtId="179" fontId="72" fillId="0" borderId="0" xfId="0" applyNumberFormat="1" applyFont="1" applyAlignment="1">
      <alignment horizontal="right" vertical="center"/>
    </xf>
    <xf numFmtId="4" fontId="72" fillId="0" borderId="0" xfId="0" applyNumberFormat="1" applyFont="1" applyAlignment="1">
      <alignment horizontal="right" vertical="center"/>
    </xf>
    <xf numFmtId="178" fontId="72" fillId="0" borderId="0" xfId="0" applyNumberFormat="1" applyFont="1" applyAlignment="1">
      <alignment horizontal="right" vertical="center"/>
    </xf>
    <xf numFmtId="4" fontId="72" fillId="9" borderId="7" xfId="0" applyNumberFormat="1" applyFont="1" applyFill="1" applyBorder="1" applyAlignment="1">
      <alignment vertical="center"/>
    </xf>
    <xf numFmtId="4" fontId="72" fillId="9" borderId="8" xfId="0" applyNumberFormat="1" applyFont="1" applyFill="1" applyBorder="1" applyAlignment="1">
      <alignment vertical="center"/>
    </xf>
    <xf numFmtId="0" fontId="72" fillId="0" borderId="6" xfId="0" applyFont="1" applyBorder="1" applyAlignment="1">
      <alignment vertical="center"/>
    </xf>
    <xf numFmtId="0" fontId="72" fillId="0" borderId="8" xfId="0" applyFont="1" applyBorder="1" applyAlignment="1">
      <alignment vertical="center"/>
    </xf>
    <xf numFmtId="181" fontId="72" fillId="0" borderId="8" xfId="0" applyNumberFormat="1" applyFont="1" applyBorder="1" applyAlignment="1">
      <alignment horizontal="center" vertical="center"/>
    </xf>
    <xf numFmtId="168" fontId="72" fillId="0" borderId="7" xfId="0" applyNumberFormat="1" applyFont="1" applyBorder="1" applyAlignment="1">
      <alignment horizontal="right" vertical="center"/>
    </xf>
    <xf numFmtId="0" fontId="72" fillId="0" borderId="6" xfId="0" applyFont="1" applyBorder="1" applyAlignment="1">
      <alignment horizontal="center" vertical="center"/>
    </xf>
    <xf numFmtId="2" fontId="72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192" fontId="72" fillId="0" borderId="0" xfId="0" applyNumberFormat="1" applyFont="1" applyAlignment="1">
      <alignment vertical="center"/>
    </xf>
    <xf numFmtId="0" fontId="72" fillId="10" borderId="0" xfId="0" applyFont="1" applyFill="1" applyAlignment="1">
      <alignment horizontal="center" vertical="center"/>
    </xf>
    <xf numFmtId="201" fontId="72" fillId="0" borderId="0" xfId="0" applyNumberFormat="1" applyFont="1" applyAlignment="1">
      <alignment vertical="center"/>
    </xf>
    <xf numFmtId="0" fontId="64" fillId="9" borderId="14" xfId="0" applyFont="1" applyFill="1" applyBorder="1" applyAlignment="1">
      <alignment vertical="center"/>
    </xf>
    <xf numFmtId="0" fontId="72" fillId="0" borderId="2" xfId="0" applyFont="1" applyBorder="1" applyAlignment="1">
      <alignment horizontal="center" vertical="center"/>
    </xf>
    <xf numFmtId="0" fontId="72" fillId="0" borderId="3" xfId="0" applyFont="1" applyBorder="1" applyAlignment="1">
      <alignment horizontal="center" vertical="center"/>
    </xf>
    <xf numFmtId="0" fontId="72" fillId="0" borderId="4" xfId="0" applyFont="1" applyBorder="1" applyAlignment="1">
      <alignment vertical="center"/>
    </xf>
    <xf numFmtId="4" fontId="31" fillId="15" borderId="14" xfId="0" applyNumberFormat="1" applyFont="1" applyFill="1" applyBorder="1" applyAlignment="1">
      <alignment horizontal="right" vertical="center"/>
    </xf>
    <xf numFmtId="12" fontId="64" fillId="9" borderId="14" xfId="0" applyNumberFormat="1" applyFont="1" applyFill="1" applyBorder="1" applyAlignment="1">
      <alignment horizontal="center" vertical="center"/>
    </xf>
    <xf numFmtId="3" fontId="72" fillId="0" borderId="0" xfId="0" applyNumberFormat="1" applyFont="1" applyAlignment="1">
      <alignment horizontal="right" vertical="center"/>
    </xf>
    <xf numFmtId="1" fontId="72" fillId="0" borderId="0" xfId="0" applyNumberFormat="1" applyFont="1" applyAlignment="1">
      <alignment vertical="center"/>
    </xf>
    <xf numFmtId="2" fontId="72" fillId="0" borderId="8" xfId="0" applyNumberFormat="1" applyFont="1" applyBorder="1" applyAlignment="1">
      <alignment horizontal="center" vertical="center"/>
    </xf>
    <xf numFmtId="192" fontId="72" fillId="0" borderId="7" xfId="0" applyNumberFormat="1" applyFont="1" applyBorder="1" applyAlignment="1">
      <alignment horizontal="right" vertical="center"/>
    </xf>
    <xf numFmtId="1" fontId="72" fillId="0" borderId="7" xfId="0" applyNumberFormat="1" applyFont="1" applyBorder="1" applyAlignment="1">
      <alignment horizontal="center" vertical="center"/>
    </xf>
    <xf numFmtId="0" fontId="64" fillId="9" borderId="13" xfId="0" applyFont="1" applyFill="1" applyBorder="1" applyAlignment="1">
      <alignment horizontal="center"/>
    </xf>
    <xf numFmtId="0" fontId="64" fillId="9" borderId="18" xfId="0" applyFont="1" applyFill="1" applyBorder="1" applyAlignment="1">
      <alignment horizontal="center"/>
    </xf>
    <xf numFmtId="202" fontId="72" fillId="0" borderId="8" xfId="0" applyNumberFormat="1" applyFont="1" applyBorder="1" applyAlignment="1">
      <alignment horizontal="center" vertical="center"/>
    </xf>
    <xf numFmtId="0" fontId="72" fillId="0" borderId="6" xfId="0" applyFont="1" applyBorder="1" applyAlignment="1">
      <alignment horizontal="center"/>
    </xf>
    <xf numFmtId="181" fontId="72" fillId="0" borderId="0" xfId="0" applyNumberFormat="1" applyFont="1" applyAlignment="1">
      <alignment horizontal="center"/>
    </xf>
    <xf numFmtId="2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69" fillId="9" borderId="18" xfId="0" applyFont="1" applyFill="1" applyBorder="1" applyAlignment="1">
      <alignment vertical="center"/>
    </xf>
    <xf numFmtId="0" fontId="69" fillId="9" borderId="14" xfId="0" applyFont="1" applyFill="1" applyBorder="1" applyAlignment="1">
      <alignment vertical="center"/>
    </xf>
    <xf numFmtId="0" fontId="31" fillId="9" borderId="18" xfId="0" applyFont="1" applyFill="1" applyBorder="1" applyAlignment="1">
      <alignment vertical="center"/>
    </xf>
    <xf numFmtId="0" fontId="31" fillId="9" borderId="14" xfId="0" applyFont="1" applyFill="1" applyBorder="1" applyAlignment="1">
      <alignment vertical="center"/>
    </xf>
    <xf numFmtId="1" fontId="72" fillId="5" borderId="0" xfId="0" applyNumberFormat="1" applyFont="1" applyFill="1" applyAlignment="1">
      <alignment horizontal="right" vertical="center"/>
    </xf>
    <xf numFmtId="1" fontId="72" fillId="5" borderId="7" xfId="0" applyNumberFormat="1" applyFont="1" applyFill="1" applyBorder="1" applyAlignment="1">
      <alignment horizontal="right" vertical="center"/>
    </xf>
    <xf numFmtId="0" fontId="72" fillId="0" borderId="7" xfId="0" applyFont="1" applyBorder="1" applyAlignment="1">
      <alignment vertical="center"/>
    </xf>
    <xf numFmtId="0" fontId="72" fillId="0" borderId="2" xfId="0" applyFont="1" applyBorder="1" applyAlignment="1">
      <alignment vertical="center"/>
    </xf>
    <xf numFmtId="0" fontId="72" fillId="0" borderId="3" xfId="0" applyFont="1" applyBorder="1" applyAlignment="1">
      <alignment vertical="center"/>
    </xf>
    <xf numFmtId="0" fontId="31" fillId="0" borderId="6" xfId="0" applyFont="1" applyBorder="1" applyAlignment="1">
      <alignment vertical="center"/>
    </xf>
    <xf numFmtId="0" fontId="69" fillId="0" borderId="7" xfId="0" applyFont="1" applyBorder="1" applyAlignment="1">
      <alignment vertical="center"/>
    </xf>
    <xf numFmtId="0" fontId="31" fillId="0" borderId="7" xfId="0" applyFont="1" applyBorder="1" applyAlignment="1">
      <alignment vertical="center"/>
    </xf>
    <xf numFmtId="181" fontId="69" fillId="9" borderId="1" xfId="0" applyNumberFormat="1" applyFont="1" applyFill="1" applyBorder="1" applyAlignment="1">
      <alignment horizontal="center" vertical="center"/>
    </xf>
    <xf numFmtId="0" fontId="69" fillId="9" borderId="13" xfId="0" quotePrefix="1" applyFont="1" applyFill="1" applyBorder="1" applyAlignment="1">
      <alignment horizontal="center" vertical="center"/>
    </xf>
    <xf numFmtId="168" fontId="72" fillId="0" borderId="8" xfId="0" applyNumberFormat="1" applyFont="1" applyBorder="1" applyAlignment="1">
      <alignment horizontal="right" vertical="center"/>
    </xf>
    <xf numFmtId="0" fontId="46" fillId="10" borderId="0" xfId="0" applyFont="1" applyFill="1" applyAlignment="1">
      <alignment vertical="center"/>
    </xf>
    <xf numFmtId="0" fontId="31" fillId="15" borderId="1" xfId="0" applyFont="1" applyFill="1" applyBorder="1" applyAlignment="1">
      <alignment horizontal="right" vertical="center"/>
    </xf>
    <xf numFmtId="1" fontId="72" fillId="0" borderId="8" xfId="0" applyNumberFormat="1" applyFont="1" applyBorder="1" applyAlignment="1">
      <alignment vertical="center"/>
    </xf>
    <xf numFmtId="2" fontId="71" fillId="0" borderId="0" xfId="0" quotePrefix="1" applyNumberFormat="1" applyFont="1" applyAlignment="1">
      <alignment horizontal="center" vertical="center"/>
    </xf>
    <xf numFmtId="1" fontId="72" fillId="0" borderId="7" xfId="0" quotePrefix="1" applyNumberFormat="1" applyFont="1" applyBorder="1" applyAlignment="1">
      <alignment horizontal="right" vertical="center"/>
    </xf>
    <xf numFmtId="2" fontId="72" fillId="0" borderId="7" xfId="0" applyNumberFormat="1" applyFont="1" applyBorder="1" applyAlignment="1">
      <alignment horizontal="right" vertical="center"/>
    </xf>
    <xf numFmtId="2" fontId="71" fillId="0" borderId="0" xfId="0" applyNumberFormat="1" applyFont="1" applyAlignment="1">
      <alignment horizontal="center" vertical="center"/>
    </xf>
    <xf numFmtId="2" fontId="72" fillId="0" borderId="7" xfId="0" applyNumberFormat="1" applyFont="1" applyBorder="1" applyAlignment="1">
      <alignment vertical="center"/>
    </xf>
    <xf numFmtId="179" fontId="72" fillId="9" borderId="6" xfId="0" applyNumberFormat="1" applyFont="1" applyFill="1" applyBorder="1" applyAlignment="1">
      <alignment vertical="center"/>
    </xf>
    <xf numFmtId="2" fontId="72" fillId="9" borderId="7" xfId="0" applyNumberFormat="1" applyFont="1" applyFill="1" applyBorder="1" applyAlignment="1">
      <alignment vertical="center"/>
    </xf>
    <xf numFmtId="0" fontId="72" fillId="0" borderId="10" xfId="0" applyFont="1" applyBorder="1" applyAlignment="1">
      <alignment vertical="center"/>
    </xf>
    <xf numFmtId="12" fontId="72" fillId="0" borderId="10" xfId="0" applyNumberFormat="1" applyFont="1" applyBorder="1" applyAlignment="1">
      <alignment vertical="center"/>
    </xf>
    <xf numFmtId="0" fontId="72" fillId="0" borderId="9" xfId="0" applyFont="1" applyBorder="1" applyAlignment="1">
      <alignment vertical="center"/>
    </xf>
    <xf numFmtId="2" fontId="72" fillId="0" borderId="11" xfId="0" applyNumberFormat="1" applyFont="1" applyBorder="1" applyAlignment="1">
      <alignment horizontal="center" vertical="center"/>
    </xf>
    <xf numFmtId="1" fontId="72" fillId="0" borderId="12" xfId="0" applyNumberFormat="1" applyFont="1" applyBorder="1" applyAlignment="1">
      <alignment horizontal="right" vertical="center"/>
    </xf>
    <xf numFmtId="0" fontId="72" fillId="0" borderId="10" xfId="0" applyFont="1" applyBorder="1" applyAlignment="1">
      <alignment horizontal="center" vertical="center"/>
    </xf>
    <xf numFmtId="2" fontId="72" fillId="0" borderId="11" xfId="0" applyNumberFormat="1" applyFont="1" applyBorder="1" applyAlignment="1">
      <alignment horizontal="right" vertical="center"/>
    </xf>
    <xf numFmtId="1" fontId="72" fillId="0" borderId="11" xfId="0" applyNumberFormat="1" applyFont="1" applyBorder="1" applyAlignment="1">
      <alignment horizontal="right" vertical="center"/>
    </xf>
    <xf numFmtId="0" fontId="72" fillId="0" borderId="12" xfId="0" applyFont="1" applyBorder="1" applyAlignment="1">
      <alignment vertical="center"/>
    </xf>
    <xf numFmtId="181" fontId="72" fillId="0" borderId="9" xfId="0" applyNumberFormat="1" applyFont="1" applyBorder="1" applyAlignment="1">
      <alignment vertical="center"/>
    </xf>
    <xf numFmtId="201" fontId="72" fillId="0" borderId="11" xfId="0" applyNumberFormat="1" applyFont="1" applyBorder="1" applyAlignment="1">
      <alignment horizontal="right" vertical="center"/>
    </xf>
    <xf numFmtId="1" fontId="72" fillId="0" borderId="11" xfId="0" applyNumberFormat="1" applyFont="1" applyBorder="1" applyAlignment="1">
      <alignment horizontal="center" vertical="center"/>
    </xf>
    <xf numFmtId="2" fontId="72" fillId="0" borderId="12" xfId="0" applyNumberFormat="1" applyFont="1" applyBorder="1" applyAlignment="1">
      <alignment horizontal="right" vertical="center"/>
    </xf>
    <xf numFmtId="181" fontId="72" fillId="0" borderId="9" xfId="0" applyNumberFormat="1" applyFont="1" applyBorder="1" applyAlignment="1">
      <alignment horizontal="center" vertical="center"/>
    </xf>
    <xf numFmtId="2" fontId="72" fillId="0" borderId="12" xfId="0" applyNumberFormat="1" applyFont="1" applyBorder="1" applyAlignment="1">
      <alignment vertical="center"/>
    </xf>
    <xf numFmtId="0" fontId="72" fillId="0" borderId="11" xfId="0" applyFont="1" applyBorder="1" applyAlignment="1">
      <alignment horizontal="right" vertical="center"/>
    </xf>
    <xf numFmtId="3" fontId="72" fillId="0" borderId="11" xfId="0" applyNumberFormat="1" applyFont="1" applyBorder="1" applyAlignment="1">
      <alignment horizontal="right" vertical="center"/>
    </xf>
    <xf numFmtId="178" fontId="72" fillId="0" borderId="11" xfId="0" applyNumberFormat="1" applyFont="1" applyBorder="1" applyAlignment="1">
      <alignment horizontal="right" vertical="center"/>
    </xf>
    <xf numFmtId="179" fontId="72" fillId="9" borderId="9" xfId="0" applyNumberFormat="1" applyFont="1" applyFill="1" applyBorder="1" applyAlignment="1">
      <alignment vertical="center"/>
    </xf>
    <xf numFmtId="2" fontId="72" fillId="9" borderId="12" xfId="0" applyNumberFormat="1" applyFont="1" applyFill="1" applyBorder="1" applyAlignment="1">
      <alignment vertical="center"/>
    </xf>
    <xf numFmtId="4" fontId="72" fillId="9" borderId="10" xfId="0" applyNumberFormat="1" applyFont="1" applyFill="1" applyBorder="1" applyAlignment="1">
      <alignment horizontal="right" vertical="center"/>
    </xf>
    <xf numFmtId="1" fontId="72" fillId="16" borderId="10" xfId="0" applyNumberFormat="1" applyFont="1" applyFill="1" applyBorder="1" applyAlignment="1">
      <alignment horizontal="center" vertical="center"/>
    </xf>
    <xf numFmtId="1" fontId="72" fillId="0" borderId="10" xfId="0" applyNumberFormat="1" applyFont="1" applyBorder="1" applyAlignment="1">
      <alignment horizontal="center" vertical="center"/>
    </xf>
    <xf numFmtId="2" fontId="71" fillId="0" borderId="11" xfId="0" applyNumberFormat="1" applyFont="1" applyBorder="1" applyAlignment="1">
      <alignment horizontal="center" vertical="center"/>
    </xf>
    <xf numFmtId="4" fontId="72" fillId="0" borderId="12" xfId="0" applyNumberFormat="1" applyFont="1" applyBorder="1" applyAlignment="1">
      <alignment horizontal="right" vertical="center"/>
    </xf>
    <xf numFmtId="179" fontId="72" fillId="9" borderId="9" xfId="0" applyNumberFormat="1" applyFont="1" applyFill="1" applyBorder="1" applyAlignment="1">
      <alignment horizontal="right" vertical="center"/>
    </xf>
    <xf numFmtId="2" fontId="72" fillId="9" borderId="12" xfId="0" applyNumberFormat="1" applyFont="1" applyFill="1" applyBorder="1" applyAlignment="1">
      <alignment horizontal="right" vertical="center"/>
    </xf>
    <xf numFmtId="181" fontId="72" fillId="0" borderId="11" xfId="0" applyNumberFormat="1" applyFont="1" applyBorder="1" applyAlignment="1">
      <alignment horizontal="center" vertical="center"/>
    </xf>
    <xf numFmtId="12" fontId="72" fillId="0" borderId="8" xfId="0" applyNumberFormat="1" applyFont="1" applyBorder="1" applyAlignment="1">
      <alignment horizontal="left" vertical="center"/>
    </xf>
    <xf numFmtId="12" fontId="72" fillId="0" borderId="0" xfId="0" quotePrefix="1" applyNumberFormat="1" applyFont="1" applyAlignment="1">
      <alignment horizontal="center" vertical="center"/>
    </xf>
    <xf numFmtId="2" fontId="72" fillId="0" borderId="7" xfId="0" quotePrefix="1" applyNumberFormat="1" applyFont="1" applyBorder="1" applyAlignment="1">
      <alignment horizontal="right" vertical="center"/>
    </xf>
    <xf numFmtId="40" fontId="72" fillId="0" borderId="0" xfId="0" applyNumberFormat="1" applyFont="1" applyAlignment="1">
      <alignment horizontal="right" vertical="center"/>
    </xf>
    <xf numFmtId="0" fontId="72" fillId="0" borderId="10" xfId="0" quotePrefix="1" applyFont="1" applyBorder="1" applyAlignment="1">
      <alignment vertical="center"/>
    </xf>
    <xf numFmtId="12" fontId="72" fillId="0" borderId="10" xfId="0" applyNumberFormat="1" applyFont="1" applyBorder="1" applyAlignment="1">
      <alignment horizontal="left" vertical="center"/>
    </xf>
    <xf numFmtId="12" fontId="72" fillId="0" borderId="11" xfId="0" quotePrefix="1" applyNumberFormat="1" applyFont="1" applyBorder="1" applyAlignment="1">
      <alignment horizontal="center" vertical="center"/>
    </xf>
    <xf numFmtId="2" fontId="72" fillId="0" borderId="12" xfId="0" quotePrefix="1" applyNumberFormat="1" applyFont="1" applyBorder="1" applyAlignment="1">
      <alignment horizontal="right" vertical="center"/>
    </xf>
    <xf numFmtId="4" fontId="72" fillId="0" borderId="11" xfId="0" applyNumberFormat="1" applyFont="1" applyBorder="1" applyAlignment="1">
      <alignment horizontal="right" vertical="center"/>
    </xf>
    <xf numFmtId="40" fontId="72" fillId="0" borderId="11" xfId="0" applyNumberFormat="1" applyFont="1" applyBorder="1" applyAlignment="1">
      <alignment horizontal="right" vertical="center"/>
    </xf>
    <xf numFmtId="0" fontId="72" fillId="0" borderId="6" xfId="0" quotePrefix="1" applyFont="1" applyBorder="1" applyAlignment="1">
      <alignment vertical="center"/>
    </xf>
    <xf numFmtId="12" fontId="72" fillId="0" borderId="0" xfId="0" applyNumberFormat="1" applyFont="1" applyAlignment="1">
      <alignment horizontal="center" vertical="center"/>
    </xf>
    <xf numFmtId="184" fontId="72" fillId="0" borderId="6" xfId="0" applyNumberFormat="1" applyFont="1" applyBorder="1" applyAlignment="1">
      <alignment vertical="center"/>
    </xf>
    <xf numFmtId="184" fontId="72" fillId="0" borderId="0" xfId="0" applyNumberFormat="1" applyFont="1" applyAlignment="1">
      <alignment horizontal="right" vertical="center"/>
    </xf>
    <xf numFmtId="0" fontId="72" fillId="0" borderId="52" xfId="0" quotePrefix="1" applyFont="1" applyBorder="1" applyAlignment="1">
      <alignment vertical="center"/>
    </xf>
    <xf numFmtId="0" fontId="72" fillId="0" borderId="53" xfId="0" quotePrefix="1" applyFont="1" applyBorder="1" applyAlignment="1">
      <alignment vertical="center"/>
    </xf>
    <xf numFmtId="12" fontId="72" fillId="0" borderId="54" xfId="0" quotePrefix="1" applyNumberFormat="1" applyFont="1" applyBorder="1" applyAlignment="1">
      <alignment horizontal="center" vertical="center"/>
    </xf>
    <xf numFmtId="1" fontId="72" fillId="0" borderId="55" xfId="0" quotePrefix="1" applyNumberFormat="1" applyFont="1" applyBorder="1" applyAlignment="1">
      <alignment horizontal="right" vertical="center"/>
    </xf>
    <xf numFmtId="0" fontId="72" fillId="0" borderId="52" xfId="0" applyFont="1" applyBorder="1" applyAlignment="1">
      <alignment horizontal="center" vertical="center"/>
    </xf>
    <xf numFmtId="12" fontId="72" fillId="0" borderId="54" xfId="0" applyNumberFormat="1" applyFont="1" applyBorder="1" applyAlignment="1">
      <alignment horizontal="center" vertical="center"/>
    </xf>
    <xf numFmtId="2" fontId="72" fillId="0" borderId="54" xfId="0" applyNumberFormat="1" applyFont="1" applyBorder="1" applyAlignment="1">
      <alignment horizontal="right" vertical="center"/>
    </xf>
    <xf numFmtId="1" fontId="72" fillId="0" borderId="54" xfId="0" applyNumberFormat="1" applyFont="1" applyBorder="1" applyAlignment="1">
      <alignment horizontal="right" vertical="center"/>
    </xf>
    <xf numFmtId="1" fontId="72" fillId="0" borderId="55" xfId="0" applyNumberFormat="1" applyFont="1" applyBorder="1" applyAlignment="1">
      <alignment horizontal="right" vertical="center"/>
    </xf>
    <xf numFmtId="184" fontId="72" fillId="0" borderId="53" xfId="0" applyNumberFormat="1" applyFont="1" applyBorder="1" applyAlignment="1">
      <alignment vertical="center"/>
    </xf>
    <xf numFmtId="201" fontId="72" fillId="0" borderId="54" xfId="0" applyNumberFormat="1" applyFont="1" applyBorder="1" applyAlignment="1">
      <alignment horizontal="right" vertical="center"/>
    </xf>
    <xf numFmtId="1" fontId="72" fillId="0" borderId="54" xfId="0" applyNumberFormat="1" applyFont="1" applyBorder="1" applyAlignment="1">
      <alignment horizontal="center" vertical="center"/>
    </xf>
    <xf numFmtId="184" fontId="72" fillId="0" borderId="54" xfId="0" applyNumberFormat="1" applyFont="1" applyBorder="1" applyAlignment="1">
      <alignment horizontal="right" vertical="center"/>
    </xf>
    <xf numFmtId="4" fontId="72" fillId="0" borderId="55" xfId="0" applyNumberFormat="1" applyFont="1" applyBorder="1" applyAlignment="1">
      <alignment horizontal="right" vertical="center"/>
    </xf>
    <xf numFmtId="181" fontId="72" fillId="0" borderId="53" xfId="0" applyNumberFormat="1" applyFont="1" applyBorder="1" applyAlignment="1">
      <alignment horizontal="center" vertical="center"/>
    </xf>
    <xf numFmtId="40" fontId="72" fillId="0" borderId="54" xfId="0" applyNumberFormat="1" applyFont="1" applyBorder="1" applyAlignment="1">
      <alignment horizontal="right" vertical="center"/>
    </xf>
    <xf numFmtId="3" fontId="72" fillId="0" borderId="54" xfId="0" applyNumberFormat="1" applyFont="1" applyBorder="1" applyAlignment="1">
      <alignment horizontal="right" vertical="center"/>
    </xf>
    <xf numFmtId="178" fontId="72" fillId="0" borderId="54" xfId="0" applyNumberFormat="1" applyFont="1" applyBorder="1" applyAlignment="1">
      <alignment horizontal="right" vertical="center"/>
    </xf>
    <xf numFmtId="179" fontId="72" fillId="9" borderId="53" xfId="0" applyNumberFormat="1" applyFont="1" applyFill="1" applyBorder="1" applyAlignment="1">
      <alignment horizontal="right" vertical="center"/>
    </xf>
    <xf numFmtId="2" fontId="72" fillId="9" borderId="55" xfId="0" applyNumberFormat="1" applyFont="1" applyFill="1" applyBorder="1" applyAlignment="1">
      <alignment horizontal="right" vertical="center"/>
    </xf>
    <xf numFmtId="4" fontId="72" fillId="9" borderId="52" xfId="0" applyNumberFormat="1" applyFont="1" applyFill="1" applyBorder="1" applyAlignment="1">
      <alignment horizontal="right" vertical="center"/>
    </xf>
    <xf numFmtId="1" fontId="72" fillId="16" borderId="52" xfId="0" applyNumberFormat="1" applyFont="1" applyFill="1" applyBorder="1" applyAlignment="1">
      <alignment horizontal="center" vertical="center"/>
    </xf>
    <xf numFmtId="1" fontId="72" fillId="0" borderId="52" xfId="0" applyNumberFormat="1" applyFont="1" applyBorder="1" applyAlignment="1">
      <alignment horizontal="center" vertical="center"/>
    </xf>
    <xf numFmtId="181" fontId="71" fillId="0" borderId="57" xfId="0" quotePrefix="1" applyNumberFormat="1" applyFont="1" applyBorder="1" applyAlignment="1">
      <alignment horizontal="center" vertical="center"/>
    </xf>
    <xf numFmtId="181" fontId="71" fillId="0" borderId="54" xfId="0" quotePrefix="1" applyNumberFormat="1" applyFont="1" applyBorder="1" applyAlignment="1">
      <alignment horizontal="center" vertical="center"/>
    </xf>
    <xf numFmtId="201" fontId="72" fillId="0" borderId="54" xfId="0" applyNumberFormat="1" applyFont="1" applyBorder="1" applyAlignment="1">
      <alignment vertical="center"/>
    </xf>
    <xf numFmtId="4" fontId="72" fillId="0" borderId="54" xfId="0" applyNumberFormat="1" applyFont="1" applyBorder="1" applyAlignment="1">
      <alignment horizontal="right" vertical="center"/>
    </xf>
    <xf numFmtId="181" fontId="71" fillId="0" borderId="11" xfId="0" quotePrefix="1" applyNumberFormat="1" applyFont="1" applyBorder="1" applyAlignment="1">
      <alignment horizontal="center" vertical="center"/>
    </xf>
    <xf numFmtId="181" fontId="72" fillId="0" borderId="7" xfId="0" applyNumberFormat="1" applyFont="1" applyBorder="1" applyAlignment="1">
      <alignment horizontal="right" vertical="center"/>
    </xf>
    <xf numFmtId="2" fontId="72" fillId="0" borderId="6" xfId="0" applyNumberFormat="1" applyFont="1" applyBorder="1" applyAlignment="1">
      <alignment vertical="center"/>
    </xf>
    <xf numFmtId="168" fontId="72" fillId="0" borderId="8" xfId="0" applyNumberFormat="1" applyFont="1" applyBorder="1" applyAlignment="1">
      <alignment vertical="center"/>
    </xf>
    <xf numFmtId="12" fontId="72" fillId="0" borderId="7" xfId="0" applyNumberFormat="1" applyFont="1" applyBorder="1" applyAlignment="1">
      <alignment horizontal="center" vertical="center"/>
    </xf>
    <xf numFmtId="0" fontId="64" fillId="9" borderId="13" xfId="0" applyFont="1" applyFill="1" applyBorder="1" applyAlignment="1">
      <alignment vertical="center"/>
    </xf>
    <xf numFmtId="0" fontId="64" fillId="9" borderId="18" xfId="0" applyFont="1" applyFill="1" applyBorder="1" applyAlignment="1">
      <alignment vertical="center"/>
    </xf>
    <xf numFmtId="195" fontId="72" fillId="0" borderId="0" xfId="0" applyNumberFormat="1" applyFont="1" applyAlignment="1">
      <alignment horizontal="right"/>
    </xf>
    <xf numFmtId="0" fontId="72" fillId="9" borderId="6" xfId="0" applyFont="1" applyFill="1" applyBorder="1" applyAlignment="1">
      <alignment vertical="center"/>
    </xf>
    <xf numFmtId="2" fontId="72" fillId="9" borderId="6" xfId="0" applyNumberFormat="1" applyFont="1" applyFill="1" applyBorder="1" applyAlignment="1">
      <alignment vertical="center"/>
    </xf>
    <xf numFmtId="168" fontId="72" fillId="9" borderId="8" xfId="0" applyNumberFormat="1" applyFont="1" applyFill="1" applyBorder="1" applyAlignment="1">
      <alignment vertical="center"/>
    </xf>
    <xf numFmtId="181" fontId="72" fillId="9" borderId="6" xfId="0" applyNumberFormat="1" applyFont="1" applyFill="1" applyBorder="1" applyAlignment="1">
      <alignment horizontal="center" vertical="center"/>
    </xf>
    <xf numFmtId="181" fontId="72" fillId="9" borderId="0" xfId="0" applyNumberFormat="1" applyFont="1" applyFill="1" applyAlignment="1">
      <alignment horizontal="center" vertical="center"/>
    </xf>
    <xf numFmtId="0" fontId="72" fillId="9" borderId="0" xfId="0" applyFont="1" applyFill="1" applyAlignment="1">
      <alignment horizontal="center" vertical="center"/>
    </xf>
    <xf numFmtId="12" fontId="72" fillId="9" borderId="0" xfId="0" applyNumberFormat="1" applyFont="1" applyFill="1" applyAlignment="1">
      <alignment horizontal="center" vertical="center"/>
    </xf>
    <xf numFmtId="12" fontId="72" fillId="9" borderId="0" xfId="0" applyNumberFormat="1" applyFont="1" applyFill="1" applyAlignment="1">
      <alignment vertical="center"/>
    </xf>
    <xf numFmtId="12" fontId="72" fillId="9" borderId="7" xfId="0" applyNumberFormat="1" applyFont="1" applyFill="1" applyBorder="1" applyAlignment="1">
      <alignment horizontal="center" vertical="center"/>
    </xf>
    <xf numFmtId="4" fontId="31" fillId="9" borderId="1" xfId="0" applyNumberFormat="1" applyFont="1" applyFill="1" applyBorder="1" applyAlignment="1">
      <alignment vertical="center"/>
    </xf>
    <xf numFmtId="0" fontId="69" fillId="9" borderId="13" xfId="0" applyFont="1" applyFill="1" applyBorder="1" applyAlignment="1">
      <alignment horizontal="center" vertical="center"/>
    </xf>
    <xf numFmtId="2" fontId="69" fillId="9" borderId="13" xfId="0" applyNumberFormat="1" applyFont="1" applyFill="1" applyBorder="1" applyAlignment="1">
      <alignment horizontal="center" vertical="center"/>
    </xf>
    <xf numFmtId="0" fontId="72" fillId="0" borderId="10" xfId="0" applyFont="1" applyBorder="1" applyAlignment="1">
      <alignment horizontal="left" vertical="center"/>
    </xf>
    <xf numFmtId="0" fontId="72" fillId="0" borderId="11" xfId="0" applyFont="1" applyBorder="1" applyAlignment="1">
      <alignment horizontal="left" vertical="center"/>
    </xf>
    <xf numFmtId="0" fontId="72" fillId="0" borderId="9" xfId="0" applyFont="1" applyBorder="1" applyAlignment="1">
      <alignment horizontal="left" vertical="center"/>
    </xf>
    <xf numFmtId="0" fontId="72" fillId="0" borderId="12" xfId="0" applyFont="1" applyBorder="1" applyAlignment="1">
      <alignment horizontal="center" vertical="center"/>
    </xf>
    <xf numFmtId="0" fontId="72" fillId="0" borderId="11" xfId="0" applyFont="1" applyBorder="1" applyAlignment="1">
      <alignment vertical="center"/>
    </xf>
    <xf numFmtId="2" fontId="72" fillId="0" borderId="11" xfId="0" applyNumberFormat="1" applyFont="1" applyBorder="1" applyAlignment="1">
      <alignment vertical="center"/>
    </xf>
    <xf numFmtId="179" fontId="72" fillId="0" borderId="11" xfId="0" applyNumberFormat="1" applyFont="1" applyBorder="1" applyAlignment="1">
      <alignment horizontal="right" vertical="center"/>
    </xf>
    <xf numFmtId="4" fontId="72" fillId="9" borderId="12" xfId="0" applyNumberFormat="1" applyFont="1" applyFill="1" applyBorder="1" applyAlignment="1">
      <alignment vertical="center"/>
    </xf>
    <xf numFmtId="4" fontId="72" fillId="9" borderId="10" xfId="0" applyNumberFormat="1" applyFont="1" applyFill="1" applyBorder="1" applyAlignment="1">
      <alignment vertical="center"/>
    </xf>
    <xf numFmtId="179" fontId="72" fillId="0" borderId="0" xfId="0" applyNumberFormat="1" applyFont="1" applyAlignment="1">
      <alignment vertical="center"/>
    </xf>
    <xf numFmtId="2" fontId="72" fillId="0" borderId="3" xfId="0" applyNumberFormat="1" applyFont="1" applyBorder="1" applyAlignment="1">
      <alignment vertical="center"/>
    </xf>
    <xf numFmtId="0" fontId="72" fillId="0" borderId="4" xfId="0" applyFont="1" applyBorder="1" applyAlignment="1">
      <alignment horizontal="center" vertical="center"/>
    </xf>
    <xf numFmtId="179" fontId="72" fillId="0" borderId="11" xfId="0" applyNumberFormat="1" applyFont="1" applyBorder="1" applyAlignment="1">
      <alignment vertical="center"/>
    </xf>
    <xf numFmtId="0" fontId="72" fillId="0" borderId="9" xfId="0" applyFont="1" applyBorder="1" applyAlignment="1">
      <alignment horizontal="center" vertical="center"/>
    </xf>
    <xf numFmtId="0" fontId="72" fillId="0" borderId="11" xfId="0" applyFont="1" applyBorder="1" applyAlignment="1">
      <alignment horizontal="center" vertical="center"/>
    </xf>
    <xf numFmtId="203" fontId="72" fillId="0" borderId="8" xfId="0" applyNumberFormat="1" applyFont="1" applyBorder="1" applyAlignment="1">
      <alignment vertical="center"/>
    </xf>
    <xf numFmtId="181" fontId="72" fillId="0" borderId="7" xfId="0" applyNumberFormat="1" applyFont="1" applyBorder="1" applyAlignment="1">
      <alignment horizontal="center" vertical="center"/>
    </xf>
    <xf numFmtId="181" fontId="72" fillId="20" borderId="9" xfId="0" applyNumberFormat="1" applyFont="1" applyFill="1" applyBorder="1" applyAlignment="1">
      <alignment horizontal="left" vertical="center"/>
    </xf>
    <xf numFmtId="181" fontId="72" fillId="20" borderId="11" xfId="0" applyNumberFormat="1" applyFont="1" applyFill="1" applyBorder="1" applyAlignment="1">
      <alignment horizontal="center" vertical="center"/>
    </xf>
    <xf numFmtId="179" fontId="72" fillId="20" borderId="11" xfId="0" applyNumberFormat="1" applyFont="1" applyFill="1" applyBorder="1" applyAlignment="1">
      <alignment horizontal="center" vertical="center"/>
    </xf>
    <xf numFmtId="181" fontId="72" fillId="20" borderId="12" xfId="0" applyNumberFormat="1" applyFont="1" applyFill="1" applyBorder="1" applyAlignment="1">
      <alignment horizontal="center" vertical="center"/>
    </xf>
    <xf numFmtId="203" fontId="72" fillId="20" borderId="12" xfId="0" applyNumberFormat="1" applyFont="1" applyFill="1" applyBorder="1" applyAlignment="1">
      <alignment horizontal="center" vertical="center"/>
    </xf>
    <xf numFmtId="181" fontId="72" fillId="20" borderId="6" xfId="0" applyNumberFormat="1" applyFont="1" applyFill="1" applyBorder="1" applyAlignment="1">
      <alignment horizontal="left" vertical="center"/>
    </xf>
    <xf numFmtId="181" fontId="72" fillId="20" borderId="0" xfId="0" applyNumberFormat="1" applyFont="1" applyFill="1" applyAlignment="1">
      <alignment horizontal="center" vertical="center"/>
    </xf>
    <xf numFmtId="179" fontId="72" fillId="20" borderId="0" xfId="0" applyNumberFormat="1" applyFont="1" applyFill="1" applyAlignment="1">
      <alignment horizontal="center" vertical="center"/>
    </xf>
    <xf numFmtId="203" fontId="72" fillId="20" borderId="7" xfId="0" applyNumberFormat="1" applyFont="1" applyFill="1" applyBorder="1" applyAlignment="1">
      <alignment horizontal="center" vertical="center"/>
    </xf>
    <xf numFmtId="181" fontId="72" fillId="20" borderId="0" xfId="0" quotePrefix="1" applyNumberFormat="1" applyFont="1" applyFill="1" applyAlignment="1">
      <alignment horizontal="center" vertical="center"/>
    </xf>
    <xf numFmtId="203" fontId="72" fillId="20" borderId="7" xfId="0" applyNumberFormat="1" applyFont="1" applyFill="1" applyBorder="1" applyAlignment="1">
      <alignment horizontal="right" vertical="center"/>
    </xf>
    <xf numFmtId="12" fontId="72" fillId="0" borderId="6" xfId="0" applyNumberFormat="1" applyFont="1" applyBorder="1" applyAlignment="1">
      <alignment horizontal="right" vertical="center"/>
    </xf>
    <xf numFmtId="1" fontId="72" fillId="0" borderId="7" xfId="0" applyNumberFormat="1" applyFont="1" applyBorder="1" applyAlignment="1">
      <alignment vertical="center"/>
    </xf>
    <xf numFmtId="49" fontId="72" fillId="0" borderId="6" xfId="0" applyNumberFormat="1" applyFont="1" applyBorder="1" applyAlignment="1">
      <alignment horizontal="left" vertical="center"/>
    </xf>
    <xf numFmtId="1" fontId="72" fillId="0" borderId="6" xfId="0" applyNumberFormat="1" applyFont="1" applyBorder="1" applyAlignment="1">
      <alignment horizontal="center" vertical="center"/>
    </xf>
    <xf numFmtId="12" fontId="72" fillId="20" borderId="0" xfId="0" applyNumberFormat="1" applyFont="1" applyFill="1" applyAlignment="1">
      <alignment horizontal="center" vertical="center"/>
    </xf>
    <xf numFmtId="2" fontId="72" fillId="20" borderId="0" xfId="0" applyNumberFormat="1" applyFont="1" applyFill="1" applyAlignment="1">
      <alignment horizontal="center" vertical="center"/>
    </xf>
    <xf numFmtId="12" fontId="72" fillId="0" borderId="6" xfId="0" applyNumberFormat="1" applyFont="1" applyBorder="1" applyAlignment="1">
      <alignment horizontal="center" vertical="center"/>
    </xf>
    <xf numFmtId="2" fontId="72" fillId="0" borderId="7" xfId="0" applyNumberFormat="1" applyFont="1" applyBorder="1" applyAlignment="1">
      <alignment horizontal="center" vertical="center"/>
    </xf>
    <xf numFmtId="179" fontId="72" fillId="20" borderId="6" xfId="0" applyNumberFormat="1" applyFont="1" applyFill="1" applyBorder="1" applyAlignment="1">
      <alignment horizontal="center" vertical="center"/>
    </xf>
    <xf numFmtId="0" fontId="72" fillId="20" borderId="0" xfId="0" applyFont="1" applyFill="1" applyAlignment="1">
      <alignment horizontal="center" vertical="center"/>
    </xf>
    <xf numFmtId="178" fontId="72" fillId="20" borderId="0" xfId="0" applyNumberFormat="1" applyFont="1" applyFill="1" applyAlignment="1">
      <alignment horizontal="center" vertical="center"/>
    </xf>
    <xf numFmtId="11" fontId="72" fillId="20" borderId="0" xfId="0" applyNumberFormat="1" applyFont="1" applyFill="1" applyAlignment="1">
      <alignment horizontal="center" vertical="center"/>
    </xf>
    <xf numFmtId="0" fontId="72" fillId="20" borderId="7" xfId="0" applyFont="1" applyFill="1" applyBorder="1" applyAlignment="1">
      <alignment horizontal="center" vertical="center"/>
    </xf>
    <xf numFmtId="49" fontId="72" fillId="0" borderId="8" xfId="0" applyNumberFormat="1" applyFont="1" applyBorder="1" applyAlignment="1">
      <alignment horizontal="left" vertical="center"/>
    </xf>
    <xf numFmtId="12" fontId="72" fillId="20" borderId="6" xfId="0" applyNumberFormat="1" applyFont="1" applyFill="1" applyBorder="1" applyAlignment="1">
      <alignment horizontal="center" vertical="center"/>
    </xf>
    <xf numFmtId="2" fontId="72" fillId="20" borderId="7" xfId="0" applyNumberFormat="1" applyFont="1" applyFill="1" applyBorder="1" applyAlignment="1">
      <alignment horizontal="center" vertical="center"/>
    </xf>
    <xf numFmtId="1" fontId="72" fillId="16" borderId="7" xfId="0" applyNumberFormat="1" applyFont="1" applyFill="1" applyBorder="1" applyAlignment="1">
      <alignment vertical="center"/>
    </xf>
    <xf numFmtId="0" fontId="72" fillId="0" borderId="5" xfId="0" applyFont="1" applyBorder="1" applyAlignment="1">
      <alignment vertical="center"/>
    </xf>
    <xf numFmtId="12" fontId="72" fillId="20" borderId="2" xfId="0" applyNumberFormat="1" applyFont="1" applyFill="1" applyBorder="1" applyAlignment="1">
      <alignment horizontal="center" vertical="center"/>
    </xf>
    <xf numFmtId="2" fontId="72" fillId="20" borderId="4" xfId="0" applyNumberFormat="1" applyFont="1" applyFill="1" applyBorder="1" applyAlignment="1">
      <alignment horizontal="center" vertical="center"/>
    </xf>
    <xf numFmtId="12" fontId="72" fillId="20" borderId="9" xfId="0" applyNumberFormat="1" applyFont="1" applyFill="1" applyBorder="1" applyAlignment="1">
      <alignment horizontal="center" vertical="center"/>
    </xf>
    <xf numFmtId="2" fontId="72" fillId="20" borderId="12" xfId="0" applyNumberFormat="1" applyFont="1" applyFill="1" applyBorder="1" applyAlignment="1">
      <alignment horizontal="center" vertical="center"/>
    </xf>
    <xf numFmtId="179" fontId="72" fillId="20" borderId="9" xfId="0" applyNumberFormat="1" applyFont="1" applyFill="1" applyBorder="1" applyAlignment="1">
      <alignment horizontal="center" vertical="center"/>
    </xf>
    <xf numFmtId="178" fontId="72" fillId="20" borderId="11" xfId="0" applyNumberFormat="1" applyFont="1" applyFill="1" applyBorder="1" applyAlignment="1">
      <alignment horizontal="center" vertical="center"/>
    </xf>
    <xf numFmtId="11" fontId="72" fillId="20" borderId="11" xfId="0" applyNumberFormat="1" applyFont="1" applyFill="1" applyBorder="1" applyAlignment="1">
      <alignment horizontal="center" vertical="center"/>
    </xf>
    <xf numFmtId="0" fontId="72" fillId="20" borderId="11" xfId="0" applyFont="1" applyFill="1" applyBorder="1" applyAlignment="1">
      <alignment horizontal="center" vertical="center"/>
    </xf>
    <xf numFmtId="0" fontId="72" fillId="20" borderId="12" xfId="0" applyFont="1" applyFill="1" applyBorder="1" applyAlignment="1">
      <alignment horizontal="center" vertical="center"/>
    </xf>
    <xf numFmtId="12" fontId="64" fillId="9" borderId="18" xfId="0" applyNumberFormat="1" applyFont="1" applyFill="1" applyBorder="1" applyAlignment="1">
      <alignment horizontal="center" vertical="center"/>
    </xf>
    <xf numFmtId="2" fontId="72" fillId="5" borderId="0" xfId="0" applyNumberFormat="1" applyFont="1" applyFill="1" applyAlignment="1">
      <alignment horizontal="right" vertical="center"/>
    </xf>
    <xf numFmtId="0" fontId="72" fillId="20" borderId="6" xfId="0" applyFont="1" applyFill="1" applyBorder="1" applyAlignment="1">
      <alignment horizontal="left" vertical="center"/>
    </xf>
    <xf numFmtId="0" fontId="64" fillId="9" borderId="5" xfId="0" quotePrefix="1" applyFont="1" applyFill="1" applyBorder="1" applyAlignment="1">
      <alignment vertical="center"/>
    </xf>
    <xf numFmtId="0" fontId="31" fillId="9" borderId="3" xfId="0" applyFont="1" applyFill="1" applyBorder="1" applyAlignment="1">
      <alignment horizontal="right" vertical="center"/>
    </xf>
    <xf numFmtId="0" fontId="31" fillId="9" borderId="2" xfId="0" applyFont="1" applyFill="1" applyBorder="1" applyAlignment="1">
      <alignment vertical="center"/>
    </xf>
    <xf numFmtId="1" fontId="31" fillId="9" borderId="3" xfId="0" applyNumberFormat="1" applyFont="1" applyFill="1" applyBorder="1" applyAlignment="1">
      <alignment horizontal="center" vertical="center"/>
    </xf>
    <xf numFmtId="1" fontId="31" fillId="9" borderId="4" xfId="0" applyNumberFormat="1" applyFont="1" applyFill="1" applyBorder="1" applyAlignment="1">
      <alignment horizontal="center" vertical="center"/>
    </xf>
    <xf numFmtId="0" fontId="31" fillId="9" borderId="4" xfId="0" applyFont="1" applyFill="1" applyBorder="1" applyAlignment="1">
      <alignment horizontal="center" vertical="center"/>
    </xf>
    <xf numFmtId="180" fontId="31" fillId="9" borderId="3" xfId="0" applyNumberFormat="1" applyFont="1" applyFill="1" applyBorder="1" applyAlignment="1">
      <alignment horizontal="center" vertical="center"/>
    </xf>
    <xf numFmtId="2" fontId="31" fillId="9" borderId="3" xfId="0" applyNumberFormat="1" applyFont="1" applyFill="1" applyBorder="1" applyAlignment="1">
      <alignment horizontal="center" vertical="center"/>
    </xf>
    <xf numFmtId="181" fontId="31" fillId="9" borderId="2" xfId="0" applyNumberFormat="1" applyFont="1" applyFill="1" applyBorder="1" applyAlignment="1">
      <alignment horizontal="center" vertical="center"/>
    </xf>
    <xf numFmtId="201" fontId="31" fillId="9" borderId="3" xfId="0" applyNumberFormat="1" applyFont="1" applyFill="1" applyBorder="1" applyAlignment="1">
      <alignment horizontal="center" vertical="center"/>
    </xf>
    <xf numFmtId="4" fontId="31" fillId="9" borderId="4" xfId="0" applyNumberFormat="1" applyFont="1" applyFill="1" applyBorder="1" applyAlignment="1">
      <alignment horizontal="center" vertical="center"/>
    </xf>
    <xf numFmtId="181" fontId="31" fillId="5" borderId="2" xfId="0" applyNumberFormat="1" applyFont="1" applyFill="1" applyBorder="1" applyAlignment="1">
      <alignment horizontal="center" vertical="center"/>
    </xf>
    <xf numFmtId="3" fontId="31" fillId="9" borderId="3" xfId="0" applyNumberFormat="1" applyFont="1" applyFill="1" applyBorder="1" applyAlignment="1">
      <alignment horizontal="center" vertical="center"/>
    </xf>
    <xf numFmtId="178" fontId="31" fillId="9" borderId="3" xfId="0" applyNumberFormat="1" applyFont="1" applyFill="1" applyBorder="1" applyAlignment="1">
      <alignment horizontal="center" vertical="center"/>
    </xf>
    <xf numFmtId="2" fontId="31" fillId="9" borderId="4" xfId="0" applyNumberFormat="1" applyFont="1" applyFill="1" applyBorder="1" applyAlignment="1">
      <alignment horizontal="center" vertical="center"/>
    </xf>
    <xf numFmtId="2" fontId="31" fillId="9" borderId="4" xfId="0" applyNumberFormat="1" applyFont="1" applyFill="1" applyBorder="1" applyAlignment="1">
      <alignment horizontal="right" vertical="center"/>
    </xf>
    <xf numFmtId="4" fontId="31" fillId="9" borderId="5" xfId="0" applyNumberFormat="1" applyFont="1" applyFill="1" applyBorder="1" applyAlignment="1">
      <alignment vertical="center"/>
    </xf>
    <xf numFmtId="1" fontId="69" fillId="9" borderId="5" xfId="0" applyNumberFormat="1" applyFont="1" applyFill="1" applyBorder="1" applyAlignment="1">
      <alignment horizontal="center" vertical="center"/>
    </xf>
    <xf numFmtId="1" fontId="64" fillId="9" borderId="2" xfId="0" applyNumberFormat="1" applyFont="1" applyFill="1" applyBorder="1" applyAlignment="1">
      <alignment horizontal="center" vertical="center"/>
    </xf>
    <xf numFmtId="1" fontId="64" fillId="9" borderId="5" xfId="0" applyNumberFormat="1" applyFont="1" applyFill="1" applyBorder="1" applyAlignment="1">
      <alignment horizontal="center" vertical="center"/>
    </xf>
    <xf numFmtId="203" fontId="72" fillId="0" borderId="8" xfId="0" applyNumberFormat="1" applyFont="1" applyBorder="1" applyAlignment="1">
      <alignment horizontal="center" vertical="center"/>
    </xf>
    <xf numFmtId="203" fontId="72" fillId="20" borderId="0" xfId="0" applyNumberFormat="1" applyFont="1" applyFill="1" applyAlignment="1">
      <alignment horizontal="center" vertical="center"/>
    </xf>
    <xf numFmtId="0" fontId="72" fillId="20" borderId="7" xfId="0" applyFont="1" applyFill="1" applyBorder="1" applyAlignment="1">
      <alignment vertical="center"/>
    </xf>
    <xf numFmtId="203" fontId="72" fillId="0" borderId="7" xfId="0" applyNumberFormat="1" applyFont="1" applyBorder="1" applyAlignment="1">
      <alignment horizontal="center" vertical="center"/>
    </xf>
    <xf numFmtId="0" fontId="72" fillId="20" borderId="6" xfId="0" applyFont="1" applyFill="1" applyBorder="1" applyAlignment="1">
      <alignment horizontal="center" vertical="center"/>
    </xf>
    <xf numFmtId="0" fontId="64" fillId="9" borderId="13" xfId="0" quotePrefix="1" applyFont="1" applyFill="1" applyBorder="1" applyAlignment="1">
      <alignment horizontal="left" vertical="center"/>
    </xf>
    <xf numFmtId="2" fontId="72" fillId="0" borderId="6" xfId="0" applyNumberFormat="1" applyFont="1" applyBorder="1" applyAlignment="1">
      <alignment horizontal="right" vertical="center"/>
    </xf>
    <xf numFmtId="204" fontId="72" fillId="0" borderId="8" xfId="0" applyNumberFormat="1" applyFont="1" applyBorder="1" applyAlignment="1">
      <alignment horizontal="right" vertical="center"/>
    </xf>
    <xf numFmtId="184" fontId="64" fillId="0" borderId="0" xfId="0" applyNumberFormat="1" applyFont="1" applyAlignment="1">
      <alignment horizontal="left" vertical="center"/>
    </xf>
    <xf numFmtId="205" fontId="72" fillId="0" borderId="8" xfId="0" applyNumberFormat="1" applyFont="1" applyBorder="1" applyAlignment="1">
      <alignment vertical="center"/>
    </xf>
    <xf numFmtId="184" fontId="72" fillId="0" borderId="0" xfId="0" applyNumberFormat="1" applyFont="1" applyAlignment="1">
      <alignment horizontal="left" vertical="center"/>
    </xf>
    <xf numFmtId="1" fontId="72" fillId="0" borderId="8" xfId="0" applyNumberFormat="1" applyFont="1" applyBorder="1" applyAlignment="1">
      <alignment horizontal="left" vertical="center"/>
    </xf>
    <xf numFmtId="179" fontId="72" fillId="20" borderId="2" xfId="0" applyNumberFormat="1" applyFont="1" applyFill="1" applyBorder="1" applyAlignment="1">
      <alignment horizontal="center" vertical="center"/>
    </xf>
    <xf numFmtId="179" fontId="72" fillId="20" borderId="3" xfId="0" applyNumberFormat="1" applyFont="1" applyFill="1" applyBorder="1" applyAlignment="1">
      <alignment horizontal="center" vertical="center"/>
    </xf>
    <xf numFmtId="178" fontId="72" fillId="20" borderId="3" xfId="0" applyNumberFormat="1" applyFont="1" applyFill="1" applyBorder="1" applyAlignment="1">
      <alignment horizontal="center" vertical="center"/>
    </xf>
    <xf numFmtId="11" fontId="72" fillId="20" borderId="3" xfId="0" applyNumberFormat="1" applyFont="1" applyFill="1" applyBorder="1" applyAlignment="1">
      <alignment horizontal="center" vertical="center"/>
    </xf>
    <xf numFmtId="0" fontId="72" fillId="20" borderId="3" xfId="0" applyFont="1" applyFill="1" applyBorder="1" applyAlignment="1">
      <alignment horizontal="center" vertical="center"/>
    </xf>
    <xf numFmtId="0" fontId="72" fillId="20" borderId="4" xfId="0" applyFont="1" applyFill="1" applyBorder="1" applyAlignment="1">
      <alignment horizontal="center" vertical="center"/>
    </xf>
    <xf numFmtId="0" fontId="64" fillId="9" borderId="6" xfId="0" applyFont="1" applyFill="1" applyBorder="1" applyAlignment="1">
      <alignment horizontal="center" vertical="center"/>
    </xf>
    <xf numFmtId="12" fontId="64" fillId="9" borderId="0" xfId="0" applyNumberFormat="1" applyFont="1" applyFill="1" applyAlignment="1">
      <alignment horizontal="center" vertical="center"/>
    </xf>
    <xf numFmtId="0" fontId="64" fillId="9" borderId="0" xfId="0" applyFont="1" applyFill="1" applyAlignment="1">
      <alignment horizontal="center" vertical="center"/>
    </xf>
    <xf numFmtId="0" fontId="64" fillId="9" borderId="3" xfId="0" applyFont="1" applyFill="1" applyBorder="1" applyAlignment="1">
      <alignment horizontal="center" vertical="center"/>
    </xf>
    <xf numFmtId="0" fontId="64" fillId="9" borderId="4" xfId="0" applyFont="1" applyFill="1" applyBorder="1" applyAlignment="1">
      <alignment horizontal="center" vertical="center"/>
    </xf>
    <xf numFmtId="201" fontId="64" fillId="0" borderId="0" xfId="0" applyNumberFormat="1" applyFont="1" applyAlignment="1">
      <alignment horizontal="right" vertical="center"/>
    </xf>
    <xf numFmtId="4" fontId="64" fillId="9" borderId="7" xfId="0" applyNumberFormat="1" applyFont="1" applyFill="1" applyBorder="1" applyAlignment="1">
      <alignment vertical="center"/>
    </xf>
    <xf numFmtId="4" fontId="64" fillId="9" borderId="8" xfId="0" applyNumberFormat="1" applyFont="1" applyFill="1" applyBorder="1" applyAlignment="1">
      <alignment vertical="center"/>
    </xf>
    <xf numFmtId="2" fontId="46" fillId="0" borderId="6" xfId="0" applyNumberFormat="1" applyFont="1" applyBorder="1" applyAlignment="1">
      <alignment vertical="center"/>
    </xf>
    <xf numFmtId="203" fontId="46" fillId="0" borderId="8" xfId="0" applyNumberFormat="1" applyFont="1" applyBorder="1" applyAlignment="1">
      <alignment horizontal="center" vertical="center"/>
    </xf>
    <xf numFmtId="12" fontId="64" fillId="0" borderId="0" xfId="0" applyNumberFormat="1" applyFont="1" applyAlignment="1">
      <alignment horizontal="center" vertical="center"/>
    </xf>
    <xf numFmtId="0" fontId="64" fillId="20" borderId="6" xfId="0" applyFont="1" applyFill="1" applyBorder="1" applyAlignment="1">
      <alignment horizontal="left" vertical="center"/>
    </xf>
    <xf numFmtId="12" fontId="64" fillId="20" borderId="0" xfId="0" applyNumberFormat="1" applyFont="1" applyFill="1" applyAlignment="1">
      <alignment horizontal="center" vertical="center"/>
    </xf>
    <xf numFmtId="1" fontId="64" fillId="20" borderId="0" xfId="0" applyNumberFormat="1" applyFont="1" applyFill="1" applyAlignment="1">
      <alignment horizontal="center" vertical="center"/>
    </xf>
    <xf numFmtId="2" fontId="64" fillId="20" borderId="0" xfId="0" applyNumberFormat="1" applyFont="1" applyFill="1" applyAlignment="1">
      <alignment horizontal="center" vertical="center"/>
    </xf>
    <xf numFmtId="0" fontId="64" fillId="20" borderId="0" xfId="0" applyFont="1" applyFill="1" applyAlignment="1">
      <alignment horizontal="center" vertical="center"/>
    </xf>
    <xf numFmtId="203" fontId="64" fillId="20" borderId="0" xfId="0" applyNumberFormat="1" applyFont="1" applyFill="1" applyAlignment="1">
      <alignment horizontal="center" vertical="center"/>
    </xf>
    <xf numFmtId="0" fontId="64" fillId="20" borderId="7" xfId="0" applyFont="1" applyFill="1" applyBorder="1" applyAlignment="1">
      <alignment horizontal="center" vertical="center"/>
    </xf>
    <xf numFmtId="0" fontId="72" fillId="0" borderId="9" xfId="0" quotePrefix="1" applyFont="1" applyBorder="1" applyAlignment="1">
      <alignment vertical="center"/>
    </xf>
    <xf numFmtId="1" fontId="72" fillId="0" borderId="11" xfId="0" quotePrefix="1" applyNumberFormat="1" applyFont="1" applyBorder="1" applyAlignment="1">
      <alignment horizontal="right" vertical="center"/>
    </xf>
    <xf numFmtId="1" fontId="72" fillId="0" borderId="12" xfId="0" quotePrefix="1" applyNumberFormat="1" applyFont="1" applyBorder="1" applyAlignment="1">
      <alignment horizontal="right" vertical="center"/>
    </xf>
    <xf numFmtId="180" fontId="72" fillId="0" borderId="11" xfId="0" applyNumberFormat="1" applyFont="1" applyBorder="1" applyAlignment="1">
      <alignment horizontal="center" vertical="center"/>
    </xf>
    <xf numFmtId="183" fontId="72" fillId="0" borderId="11" xfId="0" applyNumberFormat="1" applyFont="1" applyBorder="1" applyAlignment="1">
      <alignment horizontal="right" vertical="center"/>
    </xf>
    <xf numFmtId="2" fontId="72" fillId="9" borderId="0" xfId="0" applyNumberFormat="1" applyFont="1" applyFill="1" applyAlignment="1">
      <alignment horizontal="right" vertical="center"/>
    </xf>
    <xf numFmtId="0" fontId="72" fillId="9" borderId="18" xfId="0" applyFont="1" applyFill="1" applyBorder="1" applyAlignment="1">
      <alignment vertical="center"/>
    </xf>
    <xf numFmtId="0" fontId="72" fillId="9" borderId="14" xfId="0" applyFont="1" applyFill="1" applyBorder="1" applyAlignment="1">
      <alignment vertical="center"/>
    </xf>
    <xf numFmtId="206" fontId="72" fillId="0" borderId="7" xfId="0" applyNumberFormat="1" applyFont="1" applyBorder="1" applyAlignment="1">
      <alignment vertical="center"/>
    </xf>
    <xf numFmtId="4" fontId="72" fillId="0" borderId="6" xfId="0" applyNumberFormat="1" applyFont="1" applyBorder="1" applyAlignment="1">
      <alignment horizontal="center" vertical="center"/>
    </xf>
    <xf numFmtId="2" fontId="72" fillId="0" borderId="0" xfId="0" applyNumberFormat="1" applyFont="1"/>
    <xf numFmtId="206" fontId="72" fillId="20" borderId="0" xfId="0" applyNumberFormat="1" applyFont="1" applyFill="1" applyAlignment="1">
      <alignment vertical="center"/>
    </xf>
    <xf numFmtId="0" fontId="72" fillId="20" borderId="0" xfId="0" applyFont="1" applyFill="1" applyAlignment="1">
      <alignment vertical="center"/>
    </xf>
    <xf numFmtId="4" fontId="31" fillId="9" borderId="14" xfId="0" applyNumberFormat="1" applyFont="1" applyFill="1" applyBorder="1" applyAlignment="1">
      <alignment vertical="center"/>
    </xf>
    <xf numFmtId="2" fontId="31" fillId="9" borderId="14" xfId="0" applyNumberFormat="1" applyFont="1" applyFill="1" applyBorder="1" applyAlignment="1">
      <alignment vertical="center"/>
    </xf>
    <xf numFmtId="0" fontId="72" fillId="0" borderId="0" xfId="0" quotePrefix="1" applyFont="1" applyAlignment="1">
      <alignment vertical="center"/>
    </xf>
    <xf numFmtId="1" fontId="72" fillId="0" borderId="0" xfId="0" quotePrefix="1" applyNumberFormat="1" applyFont="1" applyAlignment="1">
      <alignment horizontal="right" vertical="center"/>
    </xf>
    <xf numFmtId="0" fontId="46" fillId="9" borderId="18" xfId="0" applyFont="1" applyFill="1" applyBorder="1" applyAlignment="1">
      <alignment vertical="center"/>
    </xf>
    <xf numFmtId="2" fontId="46" fillId="9" borderId="18" xfId="0" applyNumberFormat="1" applyFont="1" applyFill="1" applyBorder="1" applyAlignment="1">
      <alignment vertical="center"/>
    </xf>
    <xf numFmtId="0" fontId="46" fillId="9" borderId="14" xfId="0" applyFont="1" applyFill="1" applyBorder="1" applyAlignment="1">
      <alignment vertical="center"/>
    </xf>
    <xf numFmtId="181" fontId="72" fillId="5" borderId="6" xfId="0" applyNumberFormat="1" applyFont="1" applyFill="1" applyBorder="1" applyAlignment="1">
      <alignment horizontal="center" vertical="center"/>
    </xf>
    <xf numFmtId="0" fontId="72" fillId="0" borderId="11" xfId="0" quotePrefix="1" applyFont="1" applyBorder="1" applyAlignment="1">
      <alignment vertical="center"/>
    </xf>
    <xf numFmtId="181" fontId="72" fillId="5" borderId="9" xfId="0" applyNumberFormat="1" applyFont="1" applyFill="1" applyBorder="1" applyAlignment="1">
      <alignment horizontal="center" vertical="center"/>
    </xf>
    <xf numFmtId="0" fontId="72" fillId="0" borderId="58" xfId="0" quotePrefix="1" applyFont="1" applyBorder="1" applyAlignment="1">
      <alignment horizontal="left" vertical="center"/>
    </xf>
    <xf numFmtId="0" fontId="72" fillId="0" borderId="60" xfId="0" applyFont="1" applyBorder="1" applyAlignment="1">
      <alignment horizontal="left" vertical="center"/>
    </xf>
    <xf numFmtId="0" fontId="72" fillId="0" borderId="59" xfId="0" applyFont="1" applyBorder="1" applyAlignment="1">
      <alignment horizontal="left" vertical="center"/>
    </xf>
    <xf numFmtId="1" fontId="72" fillId="0" borderId="60" xfId="0" applyNumberFormat="1" applyFont="1" applyBorder="1" applyAlignment="1">
      <alignment horizontal="center" vertical="center"/>
    </xf>
    <xf numFmtId="1" fontId="72" fillId="0" borderId="61" xfId="0" applyNumberFormat="1" applyFont="1" applyBorder="1" applyAlignment="1">
      <alignment horizontal="right" vertical="center"/>
    </xf>
    <xf numFmtId="0" fontId="72" fillId="0" borderId="58" xfId="0" applyFont="1" applyBorder="1" applyAlignment="1">
      <alignment horizontal="center" vertical="center"/>
    </xf>
    <xf numFmtId="0" fontId="72" fillId="0" borderId="59" xfId="0" applyFont="1" applyBorder="1" applyAlignment="1">
      <alignment vertical="center"/>
    </xf>
    <xf numFmtId="2" fontId="72" fillId="0" borderId="60" xfId="0" applyNumberFormat="1" applyFont="1" applyBorder="1" applyAlignment="1">
      <alignment vertical="center"/>
    </xf>
    <xf numFmtId="1" fontId="72" fillId="0" borderId="60" xfId="0" applyNumberFormat="1" applyFont="1" applyBorder="1" applyAlignment="1">
      <alignment horizontal="right" vertical="center"/>
    </xf>
    <xf numFmtId="181" fontId="72" fillId="0" borderId="59" xfId="0" applyNumberFormat="1" applyFont="1" applyBorder="1" applyAlignment="1">
      <alignment vertical="center"/>
    </xf>
    <xf numFmtId="201" fontId="72" fillId="0" borderId="60" xfId="0" applyNumberFormat="1" applyFont="1" applyBorder="1" applyAlignment="1">
      <alignment horizontal="right" vertical="center"/>
    </xf>
    <xf numFmtId="4" fontId="72" fillId="0" borderId="61" xfId="0" applyNumberFormat="1" applyFont="1" applyBorder="1" applyAlignment="1">
      <alignment horizontal="right" vertical="center"/>
    </xf>
    <xf numFmtId="181" fontId="72" fillId="5" borderId="59" xfId="0" applyNumberFormat="1" applyFont="1" applyFill="1" applyBorder="1" applyAlignment="1">
      <alignment horizontal="center" vertical="center"/>
    </xf>
    <xf numFmtId="0" fontId="72" fillId="0" borderId="60" xfId="0" applyFont="1" applyBorder="1" applyAlignment="1">
      <alignment horizontal="right" vertical="center"/>
    </xf>
    <xf numFmtId="3" fontId="72" fillId="0" borderId="60" xfId="0" applyNumberFormat="1" applyFont="1" applyBorder="1" applyAlignment="1">
      <alignment horizontal="right" vertical="center"/>
    </xf>
    <xf numFmtId="178" fontId="72" fillId="0" borderId="60" xfId="0" applyNumberFormat="1" applyFont="1" applyBorder="1" applyAlignment="1">
      <alignment horizontal="right" vertical="center"/>
    </xf>
    <xf numFmtId="2" fontId="72" fillId="0" borderId="60" xfId="0" applyNumberFormat="1" applyFont="1" applyBorder="1" applyAlignment="1">
      <alignment horizontal="right" vertical="center"/>
    </xf>
    <xf numFmtId="179" fontId="72" fillId="9" borderId="59" xfId="0" applyNumberFormat="1" applyFont="1" applyFill="1" applyBorder="1" applyAlignment="1">
      <alignment horizontal="right" vertical="center"/>
    </xf>
    <xf numFmtId="2" fontId="72" fillId="9" borderId="60" xfId="0" applyNumberFormat="1" applyFont="1" applyFill="1" applyBorder="1" applyAlignment="1">
      <alignment horizontal="right" vertical="center"/>
    </xf>
    <xf numFmtId="4" fontId="72" fillId="9" borderId="58" xfId="0" applyNumberFormat="1" applyFont="1" applyFill="1" applyBorder="1" applyAlignment="1">
      <alignment vertical="center"/>
    </xf>
    <xf numFmtId="1" fontId="72" fillId="16" borderId="58" xfId="0" applyNumberFormat="1" applyFont="1" applyFill="1" applyBorder="1" applyAlignment="1">
      <alignment horizontal="center" vertical="center"/>
    </xf>
    <xf numFmtId="1" fontId="72" fillId="0" borderId="58" xfId="0" applyNumberFormat="1" applyFont="1" applyBorder="1" applyAlignment="1">
      <alignment horizontal="center" vertical="center"/>
    </xf>
    <xf numFmtId="0" fontId="72" fillId="0" borderId="8" xfId="0" quotePrefix="1" applyFont="1" applyBorder="1" applyAlignment="1">
      <alignment horizontal="left" vertical="center"/>
    </xf>
    <xf numFmtId="184" fontId="31" fillId="9" borderId="14" xfId="0" applyNumberFormat="1" applyFont="1" applyFill="1" applyBorder="1" applyAlignment="1">
      <alignment horizontal="center" vertical="center"/>
    </xf>
    <xf numFmtId="1" fontId="71" fillId="0" borderId="7" xfId="0" applyNumberFormat="1" applyFont="1" applyBorder="1" applyAlignment="1">
      <alignment horizontal="center" vertical="center"/>
    </xf>
    <xf numFmtId="180" fontId="71" fillId="0" borderId="0" xfId="0" applyNumberFormat="1" applyFont="1" applyAlignment="1">
      <alignment horizontal="center" vertical="center"/>
    </xf>
    <xf numFmtId="1" fontId="71" fillId="0" borderId="0" xfId="0" applyNumberFormat="1" applyFont="1" applyAlignment="1">
      <alignment horizontal="center" vertical="center"/>
    </xf>
    <xf numFmtId="181" fontId="72" fillId="0" borderId="6" xfId="0" applyNumberFormat="1" applyFont="1" applyBorder="1" applyAlignment="1">
      <alignment horizontal="right" vertical="center"/>
    </xf>
    <xf numFmtId="177" fontId="72" fillId="0" borderId="0" xfId="0" applyNumberFormat="1" applyFont="1" applyAlignment="1">
      <alignment horizontal="right" vertical="center"/>
    </xf>
    <xf numFmtId="4" fontId="72" fillId="9" borderId="7" xfId="0" applyNumberFormat="1" applyFont="1" applyFill="1" applyBorder="1" applyAlignment="1">
      <alignment horizontal="right" vertical="center"/>
    </xf>
    <xf numFmtId="0" fontId="71" fillId="0" borderId="6" xfId="0" applyFont="1" applyBorder="1" applyAlignment="1">
      <alignment horizontal="center" vertical="center"/>
    </xf>
    <xf numFmtId="0" fontId="71" fillId="0" borderId="9" xfId="0" applyFont="1" applyBorder="1" applyAlignment="1">
      <alignment horizontal="center" vertical="center"/>
    </xf>
    <xf numFmtId="1" fontId="71" fillId="0" borderId="12" xfId="0" applyNumberFormat="1" applyFont="1" applyBorder="1" applyAlignment="1">
      <alignment horizontal="center" vertical="center"/>
    </xf>
    <xf numFmtId="180" fontId="71" fillId="0" borderId="11" xfId="0" applyNumberFormat="1" applyFont="1" applyBorder="1" applyAlignment="1">
      <alignment horizontal="center" vertical="center"/>
    </xf>
    <xf numFmtId="1" fontId="71" fillId="0" borderId="11" xfId="0" applyNumberFormat="1" applyFont="1" applyBorder="1" applyAlignment="1">
      <alignment horizontal="center" vertical="center"/>
    </xf>
    <xf numFmtId="181" fontId="72" fillId="0" borderId="9" xfId="0" applyNumberFormat="1" applyFont="1" applyBorder="1" applyAlignment="1">
      <alignment horizontal="right" vertical="center"/>
    </xf>
    <xf numFmtId="177" fontId="72" fillId="0" borderId="11" xfId="0" applyNumberFormat="1" applyFont="1" applyBorder="1" applyAlignment="1">
      <alignment horizontal="right" vertical="center"/>
    </xf>
    <xf numFmtId="4" fontId="72" fillId="9" borderId="12" xfId="0" applyNumberFormat="1" applyFont="1" applyFill="1" applyBorder="1" applyAlignment="1">
      <alignment horizontal="right" vertical="center"/>
    </xf>
    <xf numFmtId="1" fontId="72" fillId="0" borderId="9" xfId="0" applyNumberFormat="1" applyFont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31" fillId="9" borderId="1" xfId="0" quotePrefix="1" applyFont="1" applyFill="1" applyBorder="1" applyAlignment="1">
      <alignment vertical="center"/>
    </xf>
    <xf numFmtId="0" fontId="69" fillId="9" borderId="0" xfId="0" applyFont="1" applyFill="1" applyAlignment="1">
      <alignment vertical="center"/>
    </xf>
    <xf numFmtId="0" fontId="64" fillId="15" borderId="13" xfId="0" applyFont="1" applyFill="1" applyBorder="1" applyAlignment="1">
      <alignment horizontal="center" vertical="center"/>
    </xf>
    <xf numFmtId="0" fontId="64" fillId="15" borderId="18" xfId="0" applyFont="1" applyFill="1" applyBorder="1" applyAlignment="1">
      <alignment horizontal="center" vertical="center"/>
    </xf>
    <xf numFmtId="0" fontId="64" fillId="15" borderId="14" xfId="0" applyFont="1" applyFill="1" applyBorder="1" applyAlignment="1">
      <alignment horizontal="center" vertical="center"/>
    </xf>
    <xf numFmtId="37" fontId="64" fillId="9" borderId="18" xfId="0" applyNumberFormat="1" applyFont="1" applyFill="1" applyBorder="1" applyAlignment="1">
      <alignment horizontal="center" vertical="center"/>
    </xf>
    <xf numFmtId="197" fontId="64" fillId="9" borderId="18" xfId="0" applyNumberFormat="1" applyFont="1" applyFill="1" applyBorder="1" applyAlignment="1">
      <alignment horizontal="center" vertical="center"/>
    </xf>
    <xf numFmtId="179" fontId="64" fillId="9" borderId="18" xfId="0" applyNumberFormat="1" applyFont="1" applyFill="1" applyBorder="1" applyAlignment="1">
      <alignment horizontal="center" vertical="center"/>
    </xf>
    <xf numFmtId="37" fontId="64" fillId="9" borderId="0" xfId="0" applyNumberFormat="1" applyFont="1" applyFill="1" applyAlignment="1">
      <alignment horizontal="center" vertical="center"/>
    </xf>
    <xf numFmtId="2" fontId="72" fillId="16" borderId="8" xfId="0" applyNumberFormat="1" applyFont="1" applyFill="1" applyBorder="1" applyAlignment="1">
      <alignment horizontal="center" vertical="center"/>
    </xf>
    <xf numFmtId="179" fontId="72" fillId="0" borderId="8" xfId="0" applyNumberFormat="1" applyFont="1" applyBorder="1" applyAlignment="1">
      <alignment horizontal="center" vertical="center"/>
    </xf>
    <xf numFmtId="0" fontId="72" fillId="20" borderId="9" xfId="0" applyFont="1" applyFill="1" applyBorder="1" applyAlignment="1">
      <alignment vertical="center"/>
    </xf>
    <xf numFmtId="1" fontId="72" fillId="20" borderId="11" xfId="0" applyNumberFormat="1" applyFont="1" applyFill="1" applyBorder="1" applyAlignment="1">
      <alignment horizontal="center" vertical="center"/>
    </xf>
    <xf numFmtId="206" fontId="72" fillId="20" borderId="11" xfId="0" applyNumberFormat="1" applyFont="1" applyFill="1" applyBorder="1" applyAlignment="1">
      <alignment horizontal="center" vertical="center"/>
    </xf>
    <xf numFmtId="207" fontId="72" fillId="20" borderId="11" xfId="0" applyNumberFormat="1" applyFont="1" applyFill="1" applyBorder="1" applyAlignment="1">
      <alignment horizontal="center" vertical="center"/>
    </xf>
    <xf numFmtId="0" fontId="72" fillId="20" borderId="2" xfId="0" applyFont="1" applyFill="1" applyBorder="1" applyAlignment="1">
      <alignment horizontal="left" vertical="center"/>
    </xf>
    <xf numFmtId="181" fontId="72" fillId="20" borderId="3" xfId="0" applyNumberFormat="1" applyFont="1" applyFill="1" applyBorder="1" applyAlignment="1">
      <alignment horizontal="center" vertical="center"/>
    </xf>
    <xf numFmtId="1" fontId="72" fillId="20" borderId="3" xfId="0" applyNumberFormat="1" applyFont="1" applyFill="1" applyBorder="1" applyAlignment="1">
      <alignment horizontal="center" vertical="center"/>
    </xf>
    <xf numFmtId="206" fontId="72" fillId="20" borderId="3" xfId="0" applyNumberFormat="1" applyFont="1" applyFill="1" applyBorder="1" applyAlignment="1">
      <alignment vertical="center"/>
    </xf>
    <xf numFmtId="206" fontId="72" fillId="20" borderId="3" xfId="0" applyNumberFormat="1" applyFont="1" applyFill="1" applyBorder="1" applyAlignment="1">
      <alignment horizontal="center" vertical="center"/>
    </xf>
    <xf numFmtId="0" fontId="72" fillId="20" borderId="4" xfId="0" applyFont="1" applyFill="1" applyBorder="1" applyAlignment="1">
      <alignment vertical="center"/>
    </xf>
    <xf numFmtId="207" fontId="72" fillId="20" borderId="3" xfId="0" applyNumberFormat="1" applyFont="1" applyFill="1" applyBorder="1" applyAlignment="1">
      <alignment vertical="center"/>
    </xf>
    <xf numFmtId="1" fontId="72" fillId="20" borderId="0" xfId="0" applyNumberFormat="1" applyFont="1" applyFill="1" applyAlignment="1">
      <alignment horizontal="center" vertical="center"/>
    </xf>
    <xf numFmtId="206" fontId="72" fillId="20" borderId="0" xfId="0" applyNumberFormat="1" applyFont="1" applyFill="1" applyAlignment="1">
      <alignment horizontal="center" vertical="center"/>
    </xf>
    <xf numFmtId="207" fontId="72" fillId="20" borderId="0" xfId="0" applyNumberFormat="1" applyFont="1" applyFill="1" applyAlignment="1">
      <alignment vertical="center"/>
    </xf>
    <xf numFmtId="181" fontId="72" fillId="0" borderId="6" xfId="0" applyNumberFormat="1" applyFont="1" applyBorder="1" applyAlignment="1">
      <alignment horizontal="left" vertical="center"/>
    </xf>
    <xf numFmtId="2" fontId="72" fillId="0" borderId="6" xfId="0" applyNumberFormat="1" applyFont="1" applyBorder="1" applyAlignment="1">
      <alignment horizontal="center" vertical="center"/>
    </xf>
    <xf numFmtId="181" fontId="72" fillId="0" borderId="2" xfId="0" applyNumberFormat="1" applyFont="1" applyBorder="1" applyAlignment="1">
      <alignment horizontal="left" vertical="center"/>
    </xf>
    <xf numFmtId="179" fontId="72" fillId="0" borderId="5" xfId="0" applyNumberFormat="1" applyFont="1" applyBorder="1" applyAlignment="1">
      <alignment horizontal="center" vertical="center"/>
    </xf>
    <xf numFmtId="206" fontId="72" fillId="0" borderId="4" xfId="0" applyNumberFormat="1" applyFont="1" applyBorder="1" applyAlignment="1">
      <alignment vertical="center"/>
    </xf>
    <xf numFmtId="2" fontId="72" fillId="0" borderId="2" xfId="0" applyNumberFormat="1" applyFont="1" applyBorder="1" applyAlignment="1">
      <alignment horizontal="center" vertical="center"/>
    </xf>
    <xf numFmtId="181" fontId="72" fillId="0" borderId="3" xfId="0" applyNumberFormat="1" applyFont="1" applyBorder="1" applyAlignment="1">
      <alignment horizontal="center" vertical="center"/>
    </xf>
    <xf numFmtId="2" fontId="72" fillId="0" borderId="3" xfId="0" applyNumberFormat="1" applyFont="1" applyBorder="1" applyAlignment="1">
      <alignment horizontal="center" vertical="center"/>
    </xf>
    <xf numFmtId="181" fontId="72" fillId="0" borderId="9" xfId="0" applyNumberFormat="1" applyFont="1" applyBorder="1" applyAlignment="1">
      <alignment horizontal="left" vertical="center"/>
    </xf>
    <xf numFmtId="179" fontId="72" fillId="0" borderId="10" xfId="0" applyNumberFormat="1" applyFont="1" applyBorder="1" applyAlignment="1">
      <alignment horizontal="center" vertical="center"/>
    </xf>
    <xf numFmtId="206" fontId="72" fillId="0" borderId="12" xfId="0" applyNumberFormat="1" applyFont="1" applyBorder="1" applyAlignment="1">
      <alignment vertical="center"/>
    </xf>
    <xf numFmtId="2" fontId="72" fillId="0" borderId="9" xfId="0" applyNumberFormat="1" applyFont="1" applyBorder="1" applyAlignment="1">
      <alignment horizontal="center" vertical="center"/>
    </xf>
    <xf numFmtId="0" fontId="31" fillId="9" borderId="13" xfId="0" applyFont="1" applyFill="1" applyBorder="1" applyAlignment="1">
      <alignment horizontal="center" vertical="center"/>
    </xf>
    <xf numFmtId="1" fontId="31" fillId="9" borderId="13" xfId="0" applyNumberFormat="1" applyFont="1" applyFill="1" applyBorder="1" applyAlignment="1">
      <alignment horizontal="center" vertical="center"/>
    </xf>
    <xf numFmtId="1" fontId="31" fillId="9" borderId="1" xfId="0" applyNumberFormat="1" applyFont="1" applyFill="1" applyBorder="1" applyAlignment="1">
      <alignment horizontal="center" vertical="center"/>
    </xf>
    <xf numFmtId="0" fontId="71" fillId="0" borderId="7" xfId="0" applyFont="1" applyBorder="1" applyAlignment="1">
      <alignment vertical="center"/>
    </xf>
    <xf numFmtId="0" fontId="72" fillId="20" borderId="2" xfId="0" applyFont="1" applyFill="1" applyBorder="1" applyAlignment="1">
      <alignment horizontal="center" vertical="center"/>
    </xf>
    <xf numFmtId="0" fontId="71" fillId="20" borderId="3" xfId="0" applyFont="1" applyFill="1" applyBorder="1" applyAlignment="1">
      <alignment vertical="center"/>
    </xf>
    <xf numFmtId="0" fontId="71" fillId="20" borderId="4" xfId="0" applyFont="1" applyFill="1" applyBorder="1" applyAlignment="1">
      <alignment vertical="center"/>
    </xf>
    <xf numFmtId="0" fontId="71" fillId="20" borderId="0" xfId="0" applyFont="1" applyFill="1" applyAlignment="1">
      <alignment vertical="center"/>
    </xf>
    <xf numFmtId="0" fontId="71" fillId="20" borderId="7" xfId="0" applyFont="1" applyFill="1" applyBorder="1" applyAlignment="1">
      <alignment vertical="center"/>
    </xf>
    <xf numFmtId="0" fontId="69" fillId="9" borderId="1" xfId="0" applyFont="1" applyFill="1" applyBorder="1" applyAlignment="1">
      <alignment vertical="center"/>
    </xf>
    <xf numFmtId="0" fontId="71" fillId="0" borderId="2" xfId="0" applyFont="1" applyBorder="1" applyAlignment="1">
      <alignment vertical="center"/>
    </xf>
    <xf numFmtId="0" fontId="71" fillId="0" borderId="5" xfId="0" applyFont="1" applyBorder="1" applyAlignment="1">
      <alignment vertical="center"/>
    </xf>
    <xf numFmtId="0" fontId="71" fillId="0" borderId="4" xfId="0" applyFont="1" applyBorder="1" applyAlignment="1">
      <alignment vertical="center"/>
    </xf>
    <xf numFmtId="0" fontId="71" fillId="0" borderId="9" xfId="0" applyFont="1" applyBorder="1" applyAlignment="1">
      <alignment vertical="center"/>
    </xf>
    <xf numFmtId="0" fontId="71" fillId="0" borderId="10" xfId="0" applyFont="1" applyBorder="1" applyAlignment="1">
      <alignment vertical="center"/>
    </xf>
    <xf numFmtId="0" fontId="71" fillId="0" borderId="12" xfId="0" applyFont="1" applyBorder="1" applyAlignment="1">
      <alignment vertical="center"/>
    </xf>
    <xf numFmtId="0" fontId="71" fillId="0" borderId="8" xfId="0" applyFont="1" applyBorder="1" applyAlignment="1">
      <alignment vertical="center"/>
    </xf>
    <xf numFmtId="192" fontId="72" fillId="0" borderId="7" xfId="0" applyNumberFormat="1" applyFont="1" applyBorder="1" applyAlignment="1">
      <alignment horizontal="center" vertical="center"/>
    </xf>
    <xf numFmtId="192" fontId="72" fillId="20" borderId="0" xfId="0" applyNumberFormat="1" applyFont="1" applyFill="1" applyAlignment="1">
      <alignment vertical="center"/>
    </xf>
    <xf numFmtId="181" fontId="72" fillId="9" borderId="6" xfId="0" applyNumberFormat="1" applyFont="1" applyFill="1" applyBorder="1" applyAlignment="1">
      <alignment vertical="center"/>
    </xf>
    <xf numFmtId="181" fontId="72" fillId="9" borderId="0" xfId="0" quotePrefix="1" applyNumberFormat="1" applyFont="1" applyFill="1" applyAlignment="1">
      <alignment horizontal="center" vertical="center"/>
    </xf>
    <xf numFmtId="208" fontId="72" fillId="9" borderId="7" xfId="0" applyNumberFormat="1" applyFont="1" applyFill="1" applyBorder="1" applyAlignment="1">
      <alignment horizontal="center" vertical="center"/>
    </xf>
    <xf numFmtId="0" fontId="72" fillId="9" borderId="2" xfId="0" applyFont="1" applyFill="1" applyBorder="1" applyAlignment="1">
      <alignment vertical="center"/>
    </xf>
    <xf numFmtId="181" fontId="72" fillId="9" borderId="3" xfId="0" applyNumberFormat="1" applyFont="1" applyFill="1" applyBorder="1" applyAlignment="1">
      <alignment horizontal="center" vertical="center"/>
    </xf>
    <xf numFmtId="0" fontId="72" fillId="9" borderId="3" xfId="0" applyFont="1" applyFill="1" applyBorder="1" applyAlignment="1">
      <alignment horizontal="center" vertical="center"/>
    </xf>
    <xf numFmtId="181" fontId="31" fillId="9" borderId="13" xfId="0" applyNumberFormat="1" applyFont="1" applyFill="1" applyBorder="1" applyAlignment="1">
      <alignment horizontal="right" vertical="center"/>
    </xf>
    <xf numFmtId="201" fontId="31" fillId="9" borderId="18" xfId="0" applyNumberFormat="1" applyFont="1" applyFill="1" applyBorder="1" applyAlignment="1">
      <alignment horizontal="right" vertical="center"/>
    </xf>
    <xf numFmtId="1" fontId="31" fillId="9" borderId="18" xfId="0" applyNumberFormat="1" applyFont="1" applyFill="1" applyBorder="1" applyAlignment="1">
      <alignment horizontal="right" vertical="center"/>
    </xf>
    <xf numFmtId="2" fontId="31" fillId="9" borderId="18" xfId="0" applyNumberFormat="1" applyFont="1" applyFill="1" applyBorder="1" applyAlignment="1">
      <alignment horizontal="right" vertical="center"/>
    </xf>
    <xf numFmtId="4" fontId="31" fillId="9" borderId="14" xfId="0" applyNumberFormat="1" applyFont="1" applyFill="1" applyBorder="1" applyAlignment="1">
      <alignment horizontal="right" vertical="center"/>
    </xf>
    <xf numFmtId="0" fontId="64" fillId="9" borderId="9" xfId="0" applyFont="1" applyFill="1" applyBorder="1" applyAlignment="1">
      <alignment vertical="center"/>
    </xf>
    <xf numFmtId="0" fontId="64" fillId="9" borderId="11" xfId="0" applyFont="1" applyFill="1" applyBorder="1" applyAlignment="1">
      <alignment vertical="center"/>
    </xf>
    <xf numFmtId="208" fontId="64" fillId="9" borderId="12" xfId="0" applyNumberFormat="1" applyFont="1" applyFill="1" applyBorder="1" applyAlignment="1">
      <alignment horizontal="center" vertical="center"/>
    </xf>
    <xf numFmtId="2" fontId="69" fillId="15" borderId="1" xfId="0" applyNumberFormat="1" applyFont="1" applyFill="1" applyBorder="1" applyAlignment="1">
      <alignment horizontal="center" vertical="center"/>
    </xf>
    <xf numFmtId="0" fontId="69" fillId="15" borderId="14" xfId="0" applyFont="1" applyFill="1" applyBorder="1" applyAlignment="1">
      <alignment horizontal="center" vertical="center"/>
    </xf>
    <xf numFmtId="192" fontId="72" fillId="0" borderId="12" xfId="0" applyNumberFormat="1" applyFont="1" applyBorder="1" applyAlignment="1">
      <alignment horizontal="center" vertical="center"/>
    </xf>
    <xf numFmtId="2" fontId="72" fillId="0" borderId="13" xfId="0" applyNumberFormat="1" applyFont="1" applyBorder="1" applyAlignment="1">
      <alignment horizontal="center" vertical="center"/>
    </xf>
    <xf numFmtId="181" fontId="72" fillId="0" borderId="18" xfId="0" applyNumberFormat="1" applyFont="1" applyBorder="1" applyAlignment="1">
      <alignment horizontal="center" vertical="center"/>
    </xf>
    <xf numFmtId="2" fontId="72" fillId="0" borderId="18" xfId="0" applyNumberFormat="1" applyFont="1" applyBorder="1" applyAlignment="1">
      <alignment horizontal="center" vertical="center"/>
    </xf>
    <xf numFmtId="0" fontId="71" fillId="0" borderId="18" xfId="0" applyFont="1" applyBorder="1" applyAlignment="1">
      <alignment vertical="center"/>
    </xf>
    <xf numFmtId="0" fontId="72" fillId="0" borderId="18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2" fillId="0" borderId="18" xfId="0" applyFont="1" applyBorder="1" applyAlignment="1">
      <alignment vertical="center"/>
    </xf>
    <xf numFmtId="178" fontId="31" fillId="15" borderId="18" xfId="0" applyNumberFormat="1" applyFont="1" applyFill="1" applyBorder="1" applyAlignment="1">
      <alignment horizontal="center" vertical="center"/>
    </xf>
    <xf numFmtId="0" fontId="72" fillId="0" borderId="5" xfId="0" applyFont="1" applyBorder="1" applyAlignment="1">
      <alignment horizontal="left" vertical="center"/>
    </xf>
    <xf numFmtId="0" fontId="72" fillId="0" borderId="3" xfId="0" applyFont="1" applyBorder="1" applyAlignment="1">
      <alignment horizontal="left" vertical="center"/>
    </xf>
    <xf numFmtId="0" fontId="72" fillId="0" borderId="2" xfId="0" applyFont="1" applyBorder="1" applyAlignment="1">
      <alignment horizontal="left" vertical="center"/>
    </xf>
    <xf numFmtId="1" fontId="72" fillId="0" borderId="4" xfId="0" applyNumberFormat="1" applyFont="1" applyBorder="1" applyAlignment="1">
      <alignment horizontal="right" vertical="center"/>
    </xf>
    <xf numFmtId="1" fontId="71" fillId="0" borderId="4" xfId="0" applyNumberFormat="1" applyFont="1" applyBorder="1" applyAlignment="1">
      <alignment horizontal="center" vertical="center"/>
    </xf>
    <xf numFmtId="180" fontId="71" fillId="0" borderId="3" xfId="0" applyNumberFormat="1" applyFont="1" applyBorder="1" applyAlignment="1">
      <alignment horizontal="center" vertical="center"/>
    </xf>
    <xf numFmtId="2" fontId="71" fillId="0" borderId="3" xfId="0" applyNumberFormat="1" applyFont="1" applyBorder="1" applyAlignment="1">
      <alignment horizontal="center" vertical="center"/>
    </xf>
    <xf numFmtId="1" fontId="71" fillId="0" borderId="3" xfId="0" applyNumberFormat="1" applyFont="1" applyBorder="1" applyAlignment="1">
      <alignment horizontal="center" vertical="center"/>
    </xf>
    <xf numFmtId="181" fontId="72" fillId="0" borderId="2" xfId="0" applyNumberFormat="1" applyFont="1" applyBorder="1" applyAlignment="1">
      <alignment horizontal="right" vertical="center"/>
    </xf>
    <xf numFmtId="178" fontId="72" fillId="0" borderId="3" xfId="0" applyNumberFormat="1" applyFont="1" applyBorder="1" applyAlignment="1">
      <alignment horizontal="right" vertical="center"/>
    </xf>
    <xf numFmtId="1" fontId="72" fillId="0" borderId="3" xfId="0" applyNumberFormat="1" applyFont="1" applyBorder="1" applyAlignment="1">
      <alignment horizontal="center" vertical="center"/>
    </xf>
    <xf numFmtId="2" fontId="72" fillId="0" borderId="3" xfId="0" applyNumberFormat="1" applyFont="1" applyBorder="1" applyAlignment="1">
      <alignment horizontal="right" vertical="center"/>
    </xf>
    <xf numFmtId="4" fontId="72" fillId="0" borderId="4" xfId="0" applyNumberFormat="1" applyFont="1" applyBorder="1" applyAlignment="1">
      <alignment horizontal="right" vertical="center"/>
    </xf>
    <xf numFmtId="181" fontId="72" fillId="0" borderId="2" xfId="0" applyNumberFormat="1" applyFont="1" applyBorder="1" applyAlignment="1">
      <alignment horizontal="center" vertical="center"/>
    </xf>
    <xf numFmtId="3" fontId="72" fillId="0" borderId="3" xfId="0" applyNumberFormat="1" applyFont="1" applyBorder="1" applyAlignment="1">
      <alignment horizontal="right" vertical="center"/>
    </xf>
    <xf numFmtId="179" fontId="72" fillId="9" borderId="2" xfId="0" applyNumberFormat="1" applyFont="1" applyFill="1" applyBorder="1" applyAlignment="1">
      <alignment horizontal="right" vertical="center"/>
    </xf>
    <xf numFmtId="4" fontId="72" fillId="9" borderId="4" xfId="0" applyNumberFormat="1" applyFont="1" applyFill="1" applyBorder="1" applyAlignment="1">
      <alignment horizontal="right" vertical="center"/>
    </xf>
    <xf numFmtId="4" fontId="72" fillId="9" borderId="5" xfId="0" applyNumberFormat="1" applyFont="1" applyFill="1" applyBorder="1" applyAlignment="1">
      <alignment vertical="center"/>
    </xf>
    <xf numFmtId="1" fontId="72" fillId="16" borderId="5" xfId="0" applyNumberFormat="1" applyFont="1" applyFill="1" applyBorder="1" applyAlignment="1">
      <alignment horizontal="center" vertical="center"/>
    </xf>
    <xf numFmtId="1" fontId="72" fillId="0" borderId="2" xfId="0" applyNumberFormat="1" applyFont="1" applyBorder="1" applyAlignment="1">
      <alignment horizontal="center" vertical="center"/>
    </xf>
    <xf numFmtId="1" fontId="72" fillId="0" borderId="5" xfId="0" applyNumberFormat="1" applyFont="1" applyBorder="1" applyAlignment="1">
      <alignment horizontal="center" vertical="center"/>
    </xf>
    <xf numFmtId="0" fontId="72" fillId="0" borderId="3" xfId="0" quotePrefix="1" applyFont="1" applyBorder="1" applyAlignment="1">
      <alignment vertical="center"/>
    </xf>
    <xf numFmtId="1" fontId="72" fillId="0" borderId="0" xfId="0" quotePrefix="1" applyNumberFormat="1" applyFont="1" applyAlignment="1">
      <alignment horizontal="center" vertical="center"/>
    </xf>
    <xf numFmtId="181" fontId="72" fillId="0" borderId="6" xfId="0" applyNumberFormat="1" applyFont="1" applyBorder="1"/>
    <xf numFmtId="201" fontId="72" fillId="0" borderId="0" xfId="0" applyNumberFormat="1" applyFont="1"/>
    <xf numFmtId="1" fontId="72" fillId="0" borderId="0" xfId="0" applyNumberFormat="1" applyFont="1" applyAlignment="1">
      <alignment horizontal="center"/>
    </xf>
    <xf numFmtId="179" fontId="72" fillId="9" borderId="0" xfId="0" applyNumberFormat="1" applyFont="1" applyFill="1" applyAlignment="1">
      <alignment horizontal="right" vertical="center"/>
    </xf>
    <xf numFmtId="2" fontId="72" fillId="9" borderId="0" xfId="0" applyNumberFormat="1" applyFont="1" applyFill="1" applyAlignment="1">
      <alignment vertical="center"/>
    </xf>
    <xf numFmtId="0" fontId="72" fillId="0" borderId="58" xfId="0" quotePrefix="1" applyFont="1" applyBorder="1" applyAlignment="1">
      <alignment vertical="center"/>
    </xf>
    <xf numFmtId="0" fontId="72" fillId="0" borderId="60" xfId="0" quotePrefix="1" applyFont="1" applyBorder="1" applyAlignment="1">
      <alignment vertical="center"/>
    </xf>
    <xf numFmtId="0" fontId="72" fillId="0" borderId="59" xfId="0" quotePrefix="1" applyFont="1" applyBorder="1" applyAlignment="1">
      <alignment vertical="center"/>
    </xf>
    <xf numFmtId="1" fontId="72" fillId="0" borderId="60" xfId="0" quotePrefix="1" applyNumberFormat="1" applyFont="1" applyBorder="1" applyAlignment="1">
      <alignment horizontal="center" vertical="center"/>
    </xf>
    <xf numFmtId="1" fontId="72" fillId="0" borderId="61" xfId="0" quotePrefix="1" applyNumberFormat="1" applyFont="1" applyBorder="1" applyAlignment="1">
      <alignment horizontal="right" vertical="center"/>
    </xf>
    <xf numFmtId="180" fontId="72" fillId="0" borderId="60" xfId="0" applyNumberFormat="1" applyFont="1" applyBorder="1" applyAlignment="1">
      <alignment horizontal="center" vertical="center"/>
    </xf>
    <xf numFmtId="181" fontId="72" fillId="0" borderId="59" xfId="0" applyNumberFormat="1" applyFont="1" applyBorder="1"/>
    <xf numFmtId="201" fontId="72" fillId="0" borderId="60" xfId="0" applyNumberFormat="1" applyFont="1" applyBorder="1"/>
    <xf numFmtId="1" fontId="72" fillId="0" borderId="60" xfId="0" applyNumberFormat="1" applyFont="1" applyBorder="1" applyAlignment="1">
      <alignment horizontal="center"/>
    </xf>
    <xf numFmtId="181" fontId="72" fillId="0" borderId="59" xfId="0" applyNumberFormat="1" applyFont="1" applyBorder="1" applyAlignment="1">
      <alignment horizontal="center" vertical="center"/>
    </xf>
    <xf numFmtId="40" fontId="72" fillId="0" borderId="60" xfId="0" applyNumberFormat="1" applyFont="1" applyBorder="1" applyAlignment="1">
      <alignment horizontal="right" vertical="center"/>
    </xf>
    <xf numFmtId="2" fontId="72" fillId="0" borderId="61" xfId="0" applyNumberFormat="1" applyFont="1" applyBorder="1" applyAlignment="1">
      <alignment vertical="center"/>
    </xf>
    <xf numFmtId="179" fontId="72" fillId="9" borderId="60" xfId="0" applyNumberFormat="1" applyFont="1" applyFill="1" applyBorder="1" applyAlignment="1">
      <alignment horizontal="right" vertical="center"/>
    </xf>
    <xf numFmtId="2" fontId="72" fillId="9" borderId="60" xfId="0" applyNumberFormat="1" applyFont="1" applyFill="1" applyBorder="1" applyAlignment="1">
      <alignment vertical="center"/>
    </xf>
    <xf numFmtId="1" fontId="72" fillId="0" borderId="11" xfId="0" quotePrefix="1" applyNumberFormat="1" applyFont="1" applyBorder="1" applyAlignment="1">
      <alignment horizontal="center" vertical="center"/>
    </xf>
    <xf numFmtId="181" fontId="72" fillId="0" borderId="9" xfId="0" applyNumberFormat="1" applyFont="1" applyBorder="1"/>
    <xf numFmtId="201" fontId="72" fillId="0" borderId="11" xfId="0" applyNumberFormat="1" applyFont="1" applyBorder="1"/>
    <xf numFmtId="1" fontId="72" fillId="0" borderId="11" xfId="0" applyNumberFormat="1" applyFont="1" applyBorder="1" applyAlignment="1">
      <alignment horizontal="center"/>
    </xf>
    <xf numFmtId="179" fontId="72" fillId="9" borderId="11" xfId="0" applyNumberFormat="1" applyFont="1" applyFill="1" applyBorder="1" applyAlignment="1">
      <alignment horizontal="right" vertical="center"/>
    </xf>
    <xf numFmtId="2" fontId="72" fillId="9" borderId="11" xfId="0" applyNumberFormat="1" applyFont="1" applyFill="1" applyBorder="1" applyAlignment="1">
      <alignment vertical="center"/>
    </xf>
    <xf numFmtId="0" fontId="72" fillId="0" borderId="3" xfId="0" quotePrefix="1" applyFont="1" applyBorder="1" applyAlignment="1">
      <alignment horizontal="left" vertical="center"/>
    </xf>
    <xf numFmtId="0" fontId="72" fillId="0" borderId="2" xfId="0" quotePrefix="1" applyFont="1" applyBorder="1" applyAlignment="1">
      <alignment horizontal="left" vertical="center"/>
    </xf>
    <xf numFmtId="1" fontId="72" fillId="0" borderId="3" xfId="0" quotePrefix="1" applyNumberFormat="1" applyFont="1" applyBorder="1" applyAlignment="1">
      <alignment horizontal="right" vertical="center"/>
    </xf>
    <xf numFmtId="1" fontId="72" fillId="0" borderId="4" xfId="0" quotePrefix="1" applyNumberFormat="1" applyFont="1" applyBorder="1" applyAlignment="1">
      <alignment horizontal="right" vertical="center"/>
    </xf>
    <xf numFmtId="0" fontId="72" fillId="0" borderId="52" xfId="0" quotePrefix="1" applyFont="1" applyBorder="1" applyAlignment="1">
      <alignment horizontal="left" vertical="center"/>
    </xf>
    <xf numFmtId="0" fontId="72" fillId="0" borderId="54" xfId="0" quotePrefix="1" applyFont="1" applyBorder="1" applyAlignment="1">
      <alignment horizontal="left" vertical="center"/>
    </xf>
    <xf numFmtId="0" fontId="72" fillId="0" borderId="53" xfId="0" quotePrefix="1" applyFont="1" applyBorder="1" applyAlignment="1">
      <alignment horizontal="left" vertical="center"/>
    </xf>
    <xf numFmtId="1" fontId="72" fillId="0" borderId="54" xfId="0" quotePrefix="1" applyNumberFormat="1" applyFont="1" applyBorder="1" applyAlignment="1">
      <alignment horizontal="right" vertical="center"/>
    </xf>
    <xf numFmtId="180" fontId="72" fillId="0" borderId="54" xfId="0" applyNumberFormat="1" applyFont="1" applyBorder="1" applyAlignment="1">
      <alignment horizontal="center" vertical="center"/>
    </xf>
    <xf numFmtId="181" fontId="72" fillId="0" borderId="53" xfId="0" applyNumberFormat="1" applyFont="1" applyBorder="1" applyAlignment="1">
      <alignment vertical="center"/>
    </xf>
    <xf numFmtId="2" fontId="72" fillId="0" borderId="55" xfId="0" applyNumberFormat="1" applyFont="1" applyBorder="1" applyAlignment="1">
      <alignment horizontal="right" vertical="center"/>
    </xf>
    <xf numFmtId="2" fontId="72" fillId="0" borderId="55" xfId="0" applyNumberFormat="1" applyFont="1" applyBorder="1" applyAlignment="1">
      <alignment vertical="center"/>
    </xf>
    <xf numFmtId="179" fontId="72" fillId="9" borderId="54" xfId="0" applyNumberFormat="1" applyFont="1" applyFill="1" applyBorder="1" applyAlignment="1">
      <alignment horizontal="right" vertical="center"/>
    </xf>
    <xf numFmtId="2" fontId="72" fillId="9" borderId="54" xfId="0" applyNumberFormat="1" applyFont="1" applyFill="1" applyBorder="1" applyAlignment="1">
      <alignment vertical="center"/>
    </xf>
    <xf numFmtId="181" fontId="72" fillId="0" borderId="57" xfId="0" quotePrefix="1" applyNumberFormat="1" applyFont="1" applyBorder="1" applyAlignment="1">
      <alignment horizontal="center" vertical="center"/>
    </xf>
    <xf numFmtId="1" fontId="72" fillId="0" borderId="56" xfId="0" applyNumberFormat="1" applyFont="1" applyBorder="1" applyAlignment="1">
      <alignment horizontal="center" vertical="center"/>
    </xf>
    <xf numFmtId="181" fontId="72" fillId="0" borderId="0" xfId="0" quotePrefix="1" applyNumberFormat="1" applyFont="1" applyAlignment="1">
      <alignment horizontal="center" vertical="center"/>
    </xf>
    <xf numFmtId="0" fontId="72" fillId="0" borderId="6" xfId="0" quotePrefix="1" applyFont="1" applyBorder="1" applyAlignment="1">
      <alignment horizontal="left" vertical="center"/>
    </xf>
    <xf numFmtId="1" fontId="72" fillId="0" borderId="8" xfId="0" quotePrefix="1" applyNumberFormat="1" applyFont="1" applyBorder="1" applyAlignment="1">
      <alignment horizontal="right" vertical="center"/>
    </xf>
    <xf numFmtId="0" fontId="72" fillId="0" borderId="5" xfId="0" applyFont="1" applyBorder="1" applyAlignment="1">
      <alignment horizontal="center" vertical="center"/>
    </xf>
    <xf numFmtId="38" fontId="72" fillId="0" borderId="0" xfId="0" applyNumberFormat="1" applyFont="1" applyAlignment="1">
      <alignment horizontal="right" vertical="center"/>
    </xf>
    <xf numFmtId="2" fontId="72" fillId="0" borderId="0" xfId="81" applyNumberFormat="1" applyFont="1" applyFill="1" applyAlignment="1">
      <alignment vertical="center"/>
    </xf>
    <xf numFmtId="179" fontId="72" fillId="9" borderId="6" xfId="81" applyNumberFormat="1" applyFont="1" applyFill="1" applyBorder="1" applyAlignment="1">
      <alignment vertical="center"/>
    </xf>
    <xf numFmtId="181" fontId="72" fillId="16" borderId="8" xfId="0" applyNumberFormat="1" applyFont="1" applyFill="1" applyBorder="1" applyAlignment="1">
      <alignment horizontal="center" vertical="center"/>
    </xf>
    <xf numFmtId="181" fontId="72" fillId="0" borderId="8" xfId="0" applyNumberFormat="1" applyFont="1" applyBorder="1" applyAlignment="1">
      <alignment horizontal="center"/>
    </xf>
    <xf numFmtId="198" fontId="72" fillId="0" borderId="6" xfId="81" applyNumberFormat="1" applyFont="1" applyFill="1" applyBorder="1" applyAlignment="1">
      <alignment vertical="center"/>
    </xf>
    <xf numFmtId="198" fontId="72" fillId="0" borderId="0" xfId="81" applyNumberFormat="1" applyFont="1" applyFill="1" applyBorder="1" applyAlignment="1">
      <alignment horizontal="right" vertical="center"/>
    </xf>
    <xf numFmtId="198" fontId="72" fillId="0" borderId="7" xfId="81" applyNumberFormat="1" applyFont="1" applyFill="1" applyBorder="1" applyAlignment="1">
      <alignment horizontal="right" vertical="center"/>
    </xf>
    <xf numFmtId="0" fontId="72" fillId="0" borderId="8" xfId="0" applyFont="1" applyBorder="1" applyAlignment="1">
      <alignment horizontal="center"/>
    </xf>
    <xf numFmtId="0" fontId="72" fillId="0" borderId="11" xfId="0" quotePrefix="1" applyFont="1" applyBorder="1" applyAlignment="1">
      <alignment horizontal="left" vertical="center"/>
    </xf>
    <xf numFmtId="0" fontId="72" fillId="0" borderId="4" xfId="0" quotePrefix="1" applyFont="1" applyBorder="1" applyAlignment="1">
      <alignment horizontal="left" vertical="center"/>
    </xf>
    <xf numFmtId="0" fontId="72" fillId="0" borderId="0" xfId="0" quotePrefix="1" applyFont="1" applyAlignment="1">
      <alignment horizontal="left" vertical="center"/>
    </xf>
    <xf numFmtId="179" fontId="72" fillId="0" borderId="0" xfId="81" applyNumberFormat="1" applyFont="1" applyFill="1" applyAlignment="1">
      <alignment horizontal="right" vertical="center"/>
    </xf>
    <xf numFmtId="1" fontId="72" fillId="0" borderId="8" xfId="0" applyNumberFormat="1" applyFont="1" applyBorder="1" applyAlignment="1">
      <alignment horizontal="center"/>
    </xf>
    <xf numFmtId="0" fontId="72" fillId="0" borderId="7" xfId="0" quotePrefix="1" applyFont="1" applyBorder="1" applyAlignment="1">
      <alignment horizontal="left" vertical="center"/>
    </xf>
    <xf numFmtId="3" fontId="72" fillId="0" borderId="0" xfId="0" applyNumberFormat="1" applyFont="1" applyAlignment="1">
      <alignment vertical="center"/>
    </xf>
    <xf numFmtId="3" fontId="72" fillId="0" borderId="0" xfId="0" applyNumberFormat="1" applyFont="1" applyAlignment="1">
      <alignment horizontal="center" vertical="center"/>
    </xf>
    <xf numFmtId="0" fontId="72" fillId="0" borderId="0" xfId="0" applyFont="1"/>
    <xf numFmtId="0" fontId="72" fillId="0" borderId="12" xfId="0" quotePrefix="1" applyFont="1" applyBorder="1" applyAlignment="1">
      <alignment vertical="center"/>
    </xf>
    <xf numFmtId="1" fontId="72" fillId="0" borderId="10" xfId="0" quotePrefix="1" applyNumberFormat="1" applyFont="1" applyBorder="1" applyAlignment="1">
      <alignment horizontal="right" vertical="center"/>
    </xf>
    <xf numFmtId="198" fontId="72" fillId="0" borderId="9" xfId="81" applyNumberFormat="1" applyFont="1" applyFill="1" applyBorder="1" applyAlignment="1">
      <alignment vertical="center"/>
    </xf>
    <xf numFmtId="198" fontId="72" fillId="0" borderId="11" xfId="81" applyNumberFormat="1" applyFont="1" applyFill="1" applyBorder="1" applyAlignment="1">
      <alignment horizontal="right" vertical="center"/>
    </xf>
    <xf numFmtId="198" fontId="72" fillId="0" borderId="12" xfId="81" applyNumberFormat="1" applyFont="1" applyFill="1" applyBorder="1" applyAlignment="1">
      <alignment horizontal="right" vertical="center"/>
    </xf>
    <xf numFmtId="179" fontId="72" fillId="0" borderId="11" xfId="81" applyNumberFormat="1" applyFont="1" applyFill="1" applyBorder="1" applyAlignment="1">
      <alignment horizontal="right" vertical="center"/>
    </xf>
    <xf numFmtId="38" fontId="72" fillId="0" borderId="11" xfId="0" applyNumberFormat="1" applyFont="1" applyBorder="1" applyAlignment="1">
      <alignment horizontal="right" vertical="center"/>
    </xf>
    <xf numFmtId="2" fontId="72" fillId="0" borderId="11" xfId="81" applyNumberFormat="1" applyFont="1" applyFill="1" applyBorder="1" applyAlignment="1">
      <alignment vertical="center"/>
    </xf>
    <xf numFmtId="179" fontId="72" fillId="9" borderId="9" xfId="81" applyNumberFormat="1" applyFont="1" applyFill="1" applyBorder="1" applyAlignment="1">
      <alignment vertical="center"/>
    </xf>
    <xf numFmtId="1" fontId="72" fillId="0" borderId="10" xfId="0" applyNumberFormat="1" applyFont="1" applyBorder="1" applyAlignment="1">
      <alignment horizontal="center"/>
    </xf>
    <xf numFmtId="0" fontId="72" fillId="0" borderId="5" xfId="0" quotePrefix="1" applyFont="1" applyBorder="1" applyAlignment="1">
      <alignment vertical="center"/>
    </xf>
    <xf numFmtId="0" fontId="72" fillId="0" borderId="4" xfId="0" quotePrefix="1" applyFont="1" applyBorder="1" applyAlignment="1">
      <alignment vertical="center"/>
    </xf>
    <xf numFmtId="1" fontId="72" fillId="0" borderId="5" xfId="0" quotePrefix="1" applyNumberFormat="1" applyFont="1" applyBorder="1" applyAlignment="1">
      <alignment horizontal="right" vertical="center"/>
    </xf>
    <xf numFmtId="180" fontId="72" fillId="0" borderId="3" xfId="0" applyNumberFormat="1" applyFont="1" applyBorder="1" applyAlignment="1">
      <alignment horizontal="center" vertical="center"/>
    </xf>
    <xf numFmtId="1" fontId="72" fillId="0" borderId="3" xfId="0" applyNumberFormat="1" applyFont="1" applyBorder="1" applyAlignment="1">
      <alignment horizontal="right" vertical="center"/>
    </xf>
    <xf numFmtId="201" fontId="72" fillId="0" borderId="3" xfId="0" applyNumberFormat="1" applyFont="1" applyBorder="1" applyAlignment="1">
      <alignment horizontal="right" vertical="center"/>
    </xf>
    <xf numFmtId="179" fontId="72" fillId="0" borderId="3" xfId="81" applyNumberFormat="1" applyFont="1" applyFill="1" applyBorder="1" applyAlignment="1">
      <alignment horizontal="right" vertical="center"/>
    </xf>
    <xf numFmtId="38" fontId="72" fillId="0" borderId="3" xfId="0" applyNumberFormat="1" applyFont="1" applyBorder="1" applyAlignment="1">
      <alignment horizontal="right" vertical="center"/>
    </xf>
    <xf numFmtId="2" fontId="72" fillId="0" borderId="3" xfId="81" applyNumberFormat="1" applyFont="1" applyFill="1" applyBorder="1" applyAlignment="1">
      <alignment vertical="center"/>
    </xf>
    <xf numFmtId="179" fontId="72" fillId="9" borderId="2" xfId="81" applyNumberFormat="1" applyFont="1" applyFill="1" applyBorder="1" applyAlignment="1">
      <alignment vertical="center"/>
    </xf>
    <xf numFmtId="4" fontId="72" fillId="9" borderId="4" xfId="0" applyNumberFormat="1" applyFont="1" applyFill="1" applyBorder="1" applyAlignment="1">
      <alignment vertical="center"/>
    </xf>
    <xf numFmtId="1" fontId="72" fillId="0" borderId="5" xfId="0" applyNumberFormat="1" applyFont="1" applyBorder="1" applyAlignment="1">
      <alignment horizontal="center"/>
    </xf>
    <xf numFmtId="179" fontId="72" fillId="0" borderId="0" xfId="81" applyNumberFormat="1" applyFont="1" applyFill="1" applyBorder="1" applyAlignment="1">
      <alignment horizontal="right" vertical="center"/>
    </xf>
    <xf numFmtId="2" fontId="72" fillId="0" borderId="0" xfId="81" applyNumberFormat="1" applyFont="1" applyFill="1" applyBorder="1" applyAlignment="1">
      <alignment vertical="center"/>
    </xf>
    <xf numFmtId="0" fontId="72" fillId="0" borderId="10" xfId="0" quotePrefix="1" applyFont="1" applyBorder="1" applyAlignment="1">
      <alignment horizontal="left" vertical="center"/>
    </xf>
    <xf numFmtId="0" fontId="72" fillId="0" borderId="12" xfId="0" quotePrefix="1" applyFont="1" applyBorder="1" applyAlignment="1">
      <alignment horizontal="left" vertical="center"/>
    </xf>
    <xf numFmtId="2" fontId="71" fillId="0" borderId="11" xfId="0" applyNumberFormat="1" applyFont="1" applyBorder="1" applyAlignment="1">
      <alignment vertical="center"/>
    </xf>
    <xf numFmtId="3" fontId="31" fillId="0" borderId="0" xfId="0" quotePrefix="1" applyNumberFormat="1" applyFont="1" applyAlignment="1">
      <alignment vertical="center"/>
    </xf>
    <xf numFmtId="3" fontId="64" fillId="0" borderId="0" xfId="81" applyNumberFormat="1" applyFont="1" applyAlignment="1">
      <alignment vertical="center"/>
    </xf>
    <xf numFmtId="3" fontId="64" fillId="0" borderId="0" xfId="81" applyNumberFormat="1" applyFont="1" applyBorder="1" applyAlignment="1">
      <alignment horizontal="right" vertical="center"/>
    </xf>
    <xf numFmtId="3" fontId="64" fillId="0" borderId="0" xfId="81" applyNumberFormat="1" applyFont="1" applyAlignment="1">
      <alignment horizontal="right" vertical="center"/>
    </xf>
    <xf numFmtId="1" fontId="31" fillId="0" borderId="0" xfId="0" applyNumberFormat="1" applyFont="1" applyAlignment="1">
      <alignment horizontal="right" vertical="center"/>
    </xf>
    <xf numFmtId="1" fontId="31" fillId="0" borderId="8" xfId="0" applyNumberFormat="1" applyFont="1" applyBorder="1" applyAlignment="1">
      <alignment horizontal="right" vertical="center"/>
    </xf>
    <xf numFmtId="1" fontId="31" fillId="0" borderId="0" xfId="0" applyNumberFormat="1" applyFont="1" applyAlignment="1">
      <alignment vertical="center"/>
    </xf>
    <xf numFmtId="1" fontId="46" fillId="0" borderId="3" xfId="0" applyNumberFormat="1" applyFont="1" applyBorder="1" applyAlignment="1">
      <alignment vertical="center"/>
    </xf>
    <xf numFmtId="1" fontId="69" fillId="0" borderId="3" xfId="0" applyNumberFormat="1" applyFont="1" applyBorder="1" applyAlignment="1">
      <alignment vertical="center"/>
    </xf>
    <xf numFmtId="1" fontId="64" fillId="0" borderId="3" xfId="0" applyNumberFormat="1" applyFont="1" applyBorder="1" applyAlignment="1">
      <alignment vertical="center"/>
    </xf>
    <xf numFmtId="1" fontId="31" fillId="0" borderId="3" xfId="0" applyNumberFormat="1" applyFont="1" applyBorder="1" applyAlignment="1">
      <alignment vertical="center"/>
    </xf>
    <xf numFmtId="1" fontId="69" fillId="0" borderId="0" xfId="0" applyNumberFormat="1" applyFont="1" applyAlignment="1">
      <alignment horizontal="center" vertical="center"/>
    </xf>
    <xf numFmtId="192" fontId="64" fillId="0" borderId="0" xfId="0" applyNumberFormat="1" applyFont="1" applyAlignment="1">
      <alignment horizontal="left" vertical="center"/>
    </xf>
    <xf numFmtId="166" fontId="64" fillId="0" borderId="0" xfId="0" applyNumberFormat="1" applyFont="1" applyAlignment="1">
      <alignment horizontal="right" vertical="center"/>
    </xf>
    <xf numFmtId="9" fontId="64" fillId="0" borderId="0" xfId="81" applyFont="1" applyAlignment="1">
      <alignment horizontal="right" vertical="center"/>
    </xf>
    <xf numFmtId="181" fontId="64" fillId="0" borderId="0" xfId="0" applyNumberFormat="1" applyFont="1" applyAlignment="1">
      <alignment vertical="center"/>
    </xf>
    <xf numFmtId="201" fontId="64" fillId="0" borderId="0" xfId="0" applyNumberFormat="1" applyFont="1" applyAlignment="1">
      <alignment horizontal="center" vertical="center"/>
    </xf>
    <xf numFmtId="199" fontId="46" fillId="0" borderId="0" xfId="0" applyNumberFormat="1" applyFont="1" applyAlignment="1">
      <alignment horizontal="center" vertical="center"/>
    </xf>
    <xf numFmtId="199" fontId="64" fillId="0" borderId="0" xfId="0" applyNumberFormat="1" applyFont="1" applyAlignment="1">
      <alignment vertical="center"/>
    </xf>
    <xf numFmtId="199" fontId="64" fillId="0" borderId="0" xfId="0" applyNumberFormat="1" applyFont="1" applyAlignment="1">
      <alignment horizontal="center" vertical="center"/>
    </xf>
    <xf numFmtId="1" fontId="64" fillId="10" borderId="0" xfId="0" applyNumberFormat="1" applyFont="1" applyFill="1" applyAlignment="1">
      <alignment horizontal="right" vertical="center"/>
    </xf>
    <xf numFmtId="180" fontId="64" fillId="10" borderId="0" xfId="0" applyNumberFormat="1" applyFont="1" applyFill="1" applyAlignment="1">
      <alignment horizontal="center" vertical="center"/>
    </xf>
    <xf numFmtId="2" fontId="64" fillId="10" borderId="0" xfId="0" applyNumberFormat="1" applyFont="1" applyFill="1" applyAlignment="1">
      <alignment horizontal="right" vertical="center"/>
    </xf>
    <xf numFmtId="181" fontId="64" fillId="10" borderId="0" xfId="0" applyNumberFormat="1" applyFont="1" applyFill="1" applyAlignment="1">
      <alignment vertical="center"/>
    </xf>
    <xf numFmtId="179" fontId="64" fillId="10" borderId="0" xfId="0" applyNumberFormat="1" applyFont="1" applyFill="1" applyAlignment="1">
      <alignment horizontal="center" vertical="center"/>
    </xf>
    <xf numFmtId="1" fontId="64" fillId="10" borderId="0" xfId="0" applyNumberFormat="1" applyFont="1" applyFill="1" applyAlignment="1">
      <alignment horizontal="center" vertical="center"/>
    </xf>
    <xf numFmtId="4" fontId="64" fillId="10" borderId="0" xfId="0" applyNumberFormat="1" applyFont="1" applyFill="1" applyAlignment="1">
      <alignment horizontal="right" vertical="center"/>
    </xf>
    <xf numFmtId="181" fontId="64" fillId="10" borderId="0" xfId="0" applyNumberFormat="1" applyFont="1" applyFill="1" applyAlignment="1">
      <alignment horizontal="center" vertical="center"/>
    </xf>
    <xf numFmtId="179" fontId="64" fillId="10" borderId="0" xfId="0" applyNumberFormat="1" applyFont="1" applyFill="1" applyAlignment="1">
      <alignment horizontal="right" vertical="center"/>
    </xf>
    <xf numFmtId="40" fontId="64" fillId="10" borderId="0" xfId="0" applyNumberFormat="1" applyFont="1" applyFill="1" applyAlignment="1">
      <alignment horizontal="right" vertical="center"/>
    </xf>
    <xf numFmtId="3" fontId="64" fillId="10" borderId="0" xfId="0" applyNumberFormat="1" applyFont="1" applyFill="1" applyAlignment="1">
      <alignment horizontal="right" vertical="center"/>
    </xf>
    <xf numFmtId="2" fontId="64" fillId="10" borderId="0" xfId="0" applyNumberFormat="1" applyFont="1" applyFill="1" applyAlignment="1">
      <alignment vertical="center"/>
    </xf>
    <xf numFmtId="1" fontId="46" fillId="10" borderId="0" xfId="0" applyNumberFormat="1" applyFont="1" applyFill="1" applyAlignment="1">
      <alignment horizontal="center" vertical="center"/>
    </xf>
    <xf numFmtId="2" fontId="64" fillId="0" borderId="0" xfId="0" applyNumberFormat="1" applyFont="1"/>
    <xf numFmtId="181" fontId="43" fillId="0" borderId="0" xfId="0" applyNumberFormat="1" applyFont="1"/>
    <xf numFmtId="179" fontId="43" fillId="0" borderId="0" xfId="0" applyNumberFormat="1" applyFont="1"/>
    <xf numFmtId="181" fontId="43" fillId="0" borderId="0" xfId="0" applyNumberFormat="1" applyFont="1" applyAlignment="1">
      <alignment horizontal="center"/>
    </xf>
    <xf numFmtId="179" fontId="43" fillId="0" borderId="0" xfId="0" applyNumberFormat="1" applyFont="1" applyAlignment="1">
      <alignment horizontal="right"/>
    </xf>
    <xf numFmtId="4" fontId="43" fillId="0" borderId="0" xfId="0" applyNumberFormat="1" applyFont="1"/>
    <xf numFmtId="1" fontId="46" fillId="0" borderId="0" xfId="0" applyNumberFormat="1" applyFont="1"/>
    <xf numFmtId="185" fontId="43" fillId="0" borderId="0" xfId="16" applyNumberFormat="1" applyFont="1"/>
    <xf numFmtId="3" fontId="64" fillId="10" borderId="0" xfId="0" applyNumberFormat="1" applyFont="1" applyFill="1" applyAlignment="1">
      <alignment horizontal="center" vertical="center"/>
    </xf>
    <xf numFmtId="195" fontId="43" fillId="0" borderId="0" xfId="0" applyNumberFormat="1" applyFont="1"/>
    <xf numFmtId="0" fontId="74" fillId="0" borderId="0" xfId="0" applyFont="1"/>
    <xf numFmtId="9" fontId="17" fillId="5" borderId="0" xfId="82" applyNumberFormat="1" applyFont="1" applyFill="1" applyAlignment="1">
      <alignment horizontal="center" vertical="center"/>
    </xf>
    <xf numFmtId="42" fontId="0" fillId="0" borderId="0" xfId="0" applyNumberFormat="1"/>
    <xf numFmtId="0" fontId="31" fillId="6" borderId="5" xfId="0" applyFont="1" applyFill="1" applyBorder="1" applyAlignment="1">
      <alignment horizontal="center" vertical="center"/>
    </xf>
    <xf numFmtId="0" fontId="31" fillId="6" borderId="2" xfId="0" applyFont="1" applyFill="1" applyBorder="1" applyAlignment="1">
      <alignment horizontal="center" vertical="center"/>
    </xf>
    <xf numFmtId="192" fontId="64" fillId="0" borderId="0" xfId="0" applyNumberFormat="1" applyFont="1" applyAlignment="1">
      <alignment horizontal="center" vertical="center"/>
    </xf>
    <xf numFmtId="0" fontId="0" fillId="0" borderId="48" xfId="0" applyBorder="1" applyAlignment="1">
      <alignment horizontal="left"/>
    </xf>
    <xf numFmtId="0" fontId="75" fillId="0" borderId="0" xfId="0" applyFont="1" applyAlignment="1">
      <alignment horizontal="left" vertical="center"/>
    </xf>
    <xf numFmtId="0" fontId="78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71" fillId="6" borderId="0" xfId="0" applyFont="1" applyFill="1" applyAlignment="1">
      <alignment vertical="center"/>
    </xf>
    <xf numFmtId="0" fontId="71" fillId="6" borderId="2" xfId="0" applyFont="1" applyFill="1" applyBorder="1" applyAlignment="1">
      <alignment horizontal="center" vertical="center"/>
    </xf>
    <xf numFmtId="0" fontId="71" fillId="6" borderId="4" xfId="0" applyFont="1" applyFill="1" applyBorder="1" applyAlignment="1">
      <alignment horizontal="center" vertical="center"/>
    </xf>
    <xf numFmtId="0" fontId="71" fillId="6" borderId="3" xfId="0" applyFont="1" applyFill="1" applyBorder="1" applyAlignment="1">
      <alignment vertical="center"/>
    </xf>
    <xf numFmtId="0" fontId="71" fillId="6" borderId="13" xfId="0" applyFont="1" applyFill="1" applyBorder="1" applyAlignment="1">
      <alignment horizontal="center" vertical="center"/>
    </xf>
    <xf numFmtId="0" fontId="71" fillId="6" borderId="18" xfId="0" applyFont="1" applyFill="1" applyBorder="1" applyAlignment="1">
      <alignment horizontal="center" vertical="center"/>
    </xf>
    <xf numFmtId="0" fontId="71" fillId="6" borderId="18" xfId="0" applyFont="1" applyFill="1" applyBorder="1" applyAlignment="1">
      <alignment vertical="center"/>
    </xf>
    <xf numFmtId="0" fontId="79" fillId="6" borderId="14" xfId="0" applyFont="1" applyFill="1" applyBorder="1" applyAlignment="1">
      <alignment vertical="center"/>
    </xf>
    <xf numFmtId="0" fontId="79" fillId="6" borderId="5" xfId="0" applyFont="1" applyFill="1" applyBorder="1" applyAlignment="1">
      <alignment vertical="center"/>
    </xf>
    <xf numFmtId="192" fontId="72" fillId="0" borderId="0" xfId="0" applyNumberFormat="1" applyFont="1" applyAlignment="1">
      <alignment horizontal="left" vertical="center"/>
    </xf>
    <xf numFmtId="0" fontId="44" fillId="0" borderId="0" xfId="0" applyFont="1" applyAlignment="1">
      <alignment vertical="center"/>
    </xf>
    <xf numFmtId="209" fontId="69" fillId="0" borderId="2" xfId="0" applyNumberFormat="1" applyFont="1" applyBorder="1" applyAlignment="1">
      <alignment horizontal="left" vertical="center"/>
    </xf>
    <xf numFmtId="0" fontId="46" fillId="0" borderId="3" xfId="0" applyFont="1" applyBorder="1" applyAlignment="1">
      <alignment vertical="center"/>
    </xf>
    <xf numFmtId="210" fontId="46" fillId="0" borderId="2" xfId="0" applyNumberFormat="1" applyFont="1" applyBorder="1" applyAlignment="1">
      <alignment horizontal="right" vertical="center"/>
    </xf>
    <xf numFmtId="2" fontId="46" fillId="0" borderId="4" xfId="0" applyNumberFormat="1" applyFont="1" applyBorder="1" applyAlignment="1">
      <alignment horizontal="left" vertical="center"/>
    </xf>
    <xf numFmtId="2" fontId="46" fillId="0" borderId="2" xfId="0" applyNumberFormat="1" applyFont="1" applyBorder="1" applyAlignment="1">
      <alignment horizontal="center" vertical="center"/>
    </xf>
    <xf numFmtId="179" fontId="46" fillId="0" borderId="3" xfId="0" applyNumberFormat="1" applyFont="1" applyBorder="1" applyAlignment="1">
      <alignment horizontal="center" vertical="center"/>
    </xf>
    <xf numFmtId="2" fontId="46" fillId="0" borderId="4" xfId="0" applyNumberFormat="1" applyFont="1" applyBorder="1" applyAlignment="1">
      <alignment horizontal="center" vertical="center"/>
    </xf>
    <xf numFmtId="2" fontId="46" fillId="0" borderId="4" xfId="0" applyNumberFormat="1" applyFont="1" applyBorder="1" applyAlignment="1">
      <alignment horizontal="right" vertical="center"/>
    </xf>
    <xf numFmtId="0" fontId="46" fillId="0" borderId="5" xfId="0" applyFont="1" applyBorder="1" applyAlignment="1">
      <alignment vertical="center"/>
    </xf>
    <xf numFmtId="192" fontId="46" fillId="0" borderId="0" xfId="0" applyNumberFormat="1" applyFont="1" applyAlignment="1">
      <alignment horizontal="left" vertical="center"/>
    </xf>
    <xf numFmtId="210" fontId="46" fillId="0" borderId="6" xfId="0" applyNumberFormat="1" applyFont="1" applyBorder="1" applyAlignment="1">
      <alignment horizontal="right" vertical="center"/>
    </xf>
    <xf numFmtId="2" fontId="46" fillId="0" borderId="7" xfId="0" applyNumberFormat="1" applyFont="1" applyBorder="1" applyAlignment="1">
      <alignment horizontal="left" vertical="center"/>
    </xf>
    <xf numFmtId="2" fontId="46" fillId="0" borderId="6" xfId="0" applyNumberFormat="1" applyFont="1" applyBorder="1" applyAlignment="1">
      <alignment horizontal="center" vertical="center"/>
    </xf>
    <xf numFmtId="179" fontId="46" fillId="0" borderId="0" xfId="0" applyNumberFormat="1" applyFont="1" applyAlignment="1">
      <alignment horizontal="center" vertical="center"/>
    </xf>
    <xf numFmtId="2" fontId="46" fillId="0" borderId="7" xfId="0" applyNumberFormat="1" applyFont="1" applyBorder="1" applyAlignment="1">
      <alignment horizontal="center" vertical="center"/>
    </xf>
    <xf numFmtId="2" fontId="46" fillId="0" borderId="7" xfId="0" applyNumberFormat="1" applyFont="1" applyBorder="1" applyAlignment="1">
      <alignment horizontal="right" vertical="center"/>
    </xf>
    <xf numFmtId="2" fontId="46" fillId="0" borderId="6" xfId="0" quotePrefix="1" applyNumberFormat="1" applyFont="1" applyBorder="1" applyAlignment="1">
      <alignment horizontal="center" vertical="center"/>
    </xf>
    <xf numFmtId="211" fontId="46" fillId="0" borderId="0" xfId="0" applyNumberFormat="1" applyFont="1" applyAlignment="1">
      <alignment vertical="center"/>
    </xf>
    <xf numFmtId="12" fontId="46" fillId="0" borderId="6" xfId="0" quotePrefix="1" applyNumberFormat="1" applyFont="1" applyBorder="1" applyAlignment="1">
      <alignment horizontal="center" vertical="center"/>
    </xf>
    <xf numFmtId="210" fontId="46" fillId="0" borderId="9" xfId="0" applyNumberFormat="1" applyFont="1" applyBorder="1" applyAlignment="1">
      <alignment horizontal="right" vertical="center"/>
    </xf>
    <xf numFmtId="1" fontId="46" fillId="0" borderId="12" xfId="0" applyNumberFormat="1" applyFont="1" applyBorder="1" applyAlignment="1">
      <alignment horizontal="left" vertical="center"/>
    </xf>
    <xf numFmtId="12" fontId="46" fillId="0" borderId="9" xfId="0" quotePrefix="1" applyNumberFormat="1" applyFont="1" applyBorder="1" applyAlignment="1">
      <alignment horizontal="center" vertical="center"/>
    </xf>
    <xf numFmtId="179" fontId="46" fillId="0" borderId="11" xfId="0" applyNumberFormat="1" applyFont="1" applyBorder="1" applyAlignment="1">
      <alignment horizontal="center" vertical="center"/>
    </xf>
    <xf numFmtId="2" fontId="46" fillId="0" borderId="12" xfId="0" applyNumberFormat="1" applyFont="1" applyBorder="1" applyAlignment="1">
      <alignment horizontal="center" vertical="center"/>
    </xf>
    <xf numFmtId="2" fontId="46" fillId="0" borderId="9" xfId="0" applyNumberFormat="1" applyFont="1" applyBorder="1" applyAlignment="1">
      <alignment horizontal="center" vertical="center"/>
    </xf>
    <xf numFmtId="2" fontId="46" fillId="0" borderId="12" xfId="0" applyNumberFormat="1" applyFont="1" applyBorder="1" applyAlignment="1">
      <alignment horizontal="right" vertical="center"/>
    </xf>
    <xf numFmtId="0" fontId="46" fillId="0" borderId="10" xfId="0" applyFont="1" applyBorder="1" applyAlignment="1">
      <alignment vertical="center"/>
    </xf>
    <xf numFmtId="0" fontId="71" fillId="6" borderId="14" xfId="0" applyFont="1" applyFill="1" applyBorder="1" applyAlignment="1">
      <alignment horizontal="center" vertical="center"/>
    </xf>
    <xf numFmtId="0" fontId="71" fillId="6" borderId="0" xfId="0" applyFont="1" applyFill="1" applyAlignment="1">
      <alignment horizontal="center" vertical="center"/>
    </xf>
    <xf numFmtId="0" fontId="71" fillId="6" borderId="3" xfId="0" applyFont="1" applyFill="1" applyBorder="1" applyAlignment="1">
      <alignment horizontal="center" vertical="center"/>
    </xf>
    <xf numFmtId="0" fontId="71" fillId="6" borderId="5" xfId="0" applyFont="1" applyFill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209" fontId="46" fillId="0" borderId="2" xfId="0" applyNumberFormat="1" applyFont="1" applyBorder="1" applyAlignment="1">
      <alignment horizontal="left" vertical="center"/>
    </xf>
    <xf numFmtId="179" fontId="46" fillId="0" borderId="5" xfId="0" applyNumberFormat="1" applyFont="1" applyBorder="1" applyAlignment="1">
      <alignment horizontal="left" vertical="center"/>
    </xf>
    <xf numFmtId="179" fontId="46" fillId="0" borderId="4" xfId="0" applyNumberFormat="1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179" fontId="46" fillId="0" borderId="0" xfId="81" applyNumberFormat="1" applyFont="1" applyBorder="1" applyAlignment="1">
      <alignment horizontal="center" vertical="center"/>
    </xf>
    <xf numFmtId="179" fontId="46" fillId="0" borderId="5" xfId="0" applyNumberFormat="1" applyFont="1" applyBorder="1" applyAlignment="1">
      <alignment horizontal="center" vertical="center"/>
    </xf>
    <xf numFmtId="181" fontId="46" fillId="0" borderId="5" xfId="0" applyNumberFormat="1" applyFont="1" applyBorder="1" applyAlignment="1">
      <alignment horizontal="center" vertical="center"/>
    </xf>
    <xf numFmtId="209" fontId="46" fillId="0" borderId="6" xfId="0" applyNumberFormat="1" applyFont="1" applyBorder="1" applyAlignment="1">
      <alignment horizontal="left" vertical="center"/>
    </xf>
    <xf numFmtId="179" fontId="46" fillId="0" borderId="8" xfId="0" applyNumberFormat="1" applyFont="1" applyBorder="1" applyAlignment="1">
      <alignment horizontal="left" vertical="center"/>
    </xf>
    <xf numFmtId="179" fontId="46" fillId="0" borderId="7" xfId="0" applyNumberFormat="1" applyFont="1" applyBorder="1" applyAlignment="1">
      <alignment horizontal="center" vertical="center"/>
    </xf>
    <xf numFmtId="179" fontId="46" fillId="0" borderId="8" xfId="0" applyNumberFormat="1" applyFont="1" applyBorder="1" applyAlignment="1">
      <alignment horizontal="center" vertical="center"/>
    </xf>
    <xf numFmtId="179" fontId="46" fillId="0" borderId="10" xfId="0" applyNumberFormat="1" applyFont="1" applyBorder="1" applyAlignment="1">
      <alignment horizontal="left" vertical="center"/>
    </xf>
    <xf numFmtId="2" fontId="46" fillId="0" borderId="9" xfId="0" quotePrefix="1" applyNumberFormat="1" applyFont="1" applyBorder="1" applyAlignment="1">
      <alignment horizontal="center" vertical="center"/>
    </xf>
    <xf numFmtId="179" fontId="46" fillId="0" borderId="12" xfId="0" applyNumberFormat="1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179" fontId="46" fillId="0" borderId="11" xfId="81" applyNumberFormat="1" applyFont="1" applyBorder="1" applyAlignment="1">
      <alignment horizontal="center" vertical="center"/>
    </xf>
    <xf numFmtId="179" fontId="46" fillId="0" borderId="10" xfId="0" applyNumberFormat="1" applyFont="1" applyBorder="1" applyAlignment="1">
      <alignment horizontal="center" vertical="center"/>
    </xf>
    <xf numFmtId="181" fontId="46" fillId="0" borderId="10" xfId="0" applyNumberFormat="1" applyFont="1" applyBorder="1" applyAlignment="1">
      <alignment horizontal="center" vertical="center"/>
    </xf>
    <xf numFmtId="0" fontId="71" fillId="6" borderId="14" xfId="0" applyFont="1" applyFill="1" applyBorder="1" applyAlignment="1">
      <alignment vertical="center"/>
    </xf>
    <xf numFmtId="4" fontId="71" fillId="6" borderId="3" xfId="0" applyNumberFormat="1" applyFont="1" applyFill="1" applyBorder="1" applyAlignment="1">
      <alignment horizontal="center" vertical="center"/>
    </xf>
    <xf numFmtId="4" fontId="71" fillId="6" borderId="2" xfId="0" applyNumberFormat="1" applyFont="1" applyFill="1" applyBorder="1" applyAlignment="1">
      <alignment horizontal="center" vertical="center"/>
    </xf>
    <xf numFmtId="192" fontId="79" fillId="0" borderId="0" xfId="0" applyNumberFormat="1" applyFont="1" applyAlignment="1">
      <alignment horizontal="left" vertical="center"/>
    </xf>
    <xf numFmtId="0" fontId="79" fillId="0" borderId="0" xfId="0" applyFont="1" applyAlignment="1">
      <alignment vertical="center"/>
    </xf>
    <xf numFmtId="0" fontId="46" fillId="0" borderId="2" xfId="0" applyFont="1" applyBorder="1" applyAlignment="1">
      <alignment horizontal="left" vertical="center"/>
    </xf>
    <xf numFmtId="0" fontId="46" fillId="0" borderId="2" xfId="0" applyFont="1" applyBorder="1" applyAlignment="1">
      <alignment vertical="center"/>
    </xf>
    <xf numFmtId="181" fontId="46" fillId="0" borderId="4" xfId="0" applyNumberFormat="1" applyFont="1" applyBorder="1" applyAlignment="1">
      <alignment horizontal="right" vertical="center"/>
    </xf>
    <xf numFmtId="211" fontId="46" fillId="0" borderId="2" xfId="0" applyNumberFormat="1" applyFont="1" applyBorder="1" applyAlignment="1">
      <alignment horizontal="right" vertical="center"/>
    </xf>
    <xf numFmtId="211" fontId="46" fillId="0" borderId="3" xfId="0" applyNumberFormat="1" applyFont="1" applyBorder="1" applyAlignment="1">
      <alignment horizontal="right" vertical="center"/>
    </xf>
    <xf numFmtId="211" fontId="46" fillId="0" borderId="2" xfId="0" applyNumberFormat="1" applyFont="1" applyBorder="1" applyAlignment="1">
      <alignment horizontal="center" vertical="center"/>
    </xf>
    <xf numFmtId="192" fontId="46" fillId="0" borderId="3" xfId="0" applyNumberFormat="1" applyFont="1" applyBorder="1" applyAlignment="1">
      <alignment horizontal="right" vertical="center"/>
    </xf>
    <xf numFmtId="200" fontId="46" fillId="0" borderId="4" xfId="0" applyNumberFormat="1" applyFont="1" applyBorder="1" applyAlignment="1">
      <alignment horizontal="right" vertical="center"/>
    </xf>
    <xf numFmtId="0" fontId="46" fillId="0" borderId="6" xfId="0" applyFont="1" applyBorder="1" applyAlignment="1">
      <alignment horizontal="center" vertical="center"/>
    </xf>
    <xf numFmtId="181" fontId="46" fillId="0" borderId="7" xfId="0" applyNumberFormat="1" applyFont="1" applyBorder="1" applyAlignment="1">
      <alignment horizontal="right" vertical="center"/>
    </xf>
    <xf numFmtId="211" fontId="46" fillId="0" borderId="6" xfId="0" applyNumberFormat="1" applyFont="1" applyBorder="1" applyAlignment="1">
      <alignment horizontal="right" vertical="center"/>
    </xf>
    <xf numFmtId="211" fontId="46" fillId="0" borderId="0" xfId="0" applyNumberFormat="1" applyFont="1" applyAlignment="1">
      <alignment horizontal="right" vertical="center"/>
    </xf>
    <xf numFmtId="211" fontId="46" fillId="0" borderId="6" xfId="0" applyNumberFormat="1" applyFont="1" applyBorder="1" applyAlignment="1">
      <alignment horizontal="center" vertical="center"/>
    </xf>
    <xf numFmtId="192" fontId="46" fillId="0" borderId="0" xfId="0" applyNumberFormat="1" applyFont="1" applyAlignment="1">
      <alignment horizontal="right" vertical="center"/>
    </xf>
    <xf numFmtId="200" fontId="46" fillId="0" borderId="7" xfId="0" applyNumberFormat="1" applyFont="1" applyBorder="1" applyAlignment="1">
      <alignment horizontal="right" vertical="center"/>
    </xf>
    <xf numFmtId="0" fontId="46" fillId="0" borderId="9" xfId="0" applyFont="1" applyBorder="1" applyAlignment="1">
      <alignment horizontal="left" vertical="center"/>
    </xf>
    <xf numFmtId="0" fontId="46" fillId="0" borderId="9" xfId="0" applyFont="1" applyBorder="1" applyAlignment="1">
      <alignment horizontal="center" vertical="center"/>
    </xf>
    <xf numFmtId="181" fontId="46" fillId="0" borderId="12" xfId="0" applyNumberFormat="1" applyFont="1" applyBorder="1" applyAlignment="1">
      <alignment horizontal="right" vertical="center"/>
    </xf>
    <xf numFmtId="211" fontId="46" fillId="0" borderId="9" xfId="0" applyNumberFormat="1" applyFont="1" applyBorder="1" applyAlignment="1">
      <alignment horizontal="right" vertical="center"/>
    </xf>
    <xf numFmtId="211" fontId="46" fillId="0" borderId="11" xfId="0" applyNumberFormat="1" applyFont="1" applyBorder="1" applyAlignment="1">
      <alignment horizontal="right" vertical="center"/>
    </xf>
    <xf numFmtId="211" fontId="46" fillId="0" borderId="9" xfId="0" applyNumberFormat="1" applyFont="1" applyBorder="1" applyAlignment="1">
      <alignment horizontal="center" vertical="center"/>
    </xf>
    <xf numFmtId="192" fontId="46" fillId="0" borderId="11" xfId="0" applyNumberFormat="1" applyFont="1" applyBorder="1" applyAlignment="1">
      <alignment horizontal="right" vertical="center"/>
    </xf>
    <xf numFmtId="200" fontId="46" fillId="0" borderId="12" xfId="0" applyNumberFormat="1" applyFont="1" applyBorder="1" applyAlignment="1">
      <alignment horizontal="right" vertical="center"/>
    </xf>
    <xf numFmtId="4" fontId="71" fillId="6" borderId="4" xfId="0" applyNumberFormat="1" applyFont="1" applyFill="1" applyBorder="1" applyAlignment="1">
      <alignment horizontal="center" vertical="center"/>
    </xf>
    <xf numFmtId="2" fontId="71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 vertical="center"/>
    </xf>
    <xf numFmtId="211" fontId="44" fillId="0" borderId="0" xfId="0" applyNumberFormat="1" applyFont="1" applyAlignment="1">
      <alignment vertical="center"/>
    </xf>
    <xf numFmtId="4" fontId="46" fillId="0" borderId="4" xfId="0" applyNumberFormat="1" applyFont="1" applyBorder="1" applyAlignment="1">
      <alignment horizontal="center" vertical="center"/>
    </xf>
    <xf numFmtId="211" fontId="46" fillId="0" borderId="3" xfId="0" applyNumberFormat="1" applyFont="1" applyBorder="1" applyAlignment="1">
      <alignment horizontal="center" vertical="center"/>
    </xf>
    <xf numFmtId="4" fontId="46" fillId="0" borderId="7" xfId="0" applyNumberFormat="1" applyFont="1" applyBorder="1" applyAlignment="1">
      <alignment horizontal="center" vertical="center"/>
    </xf>
    <xf numFmtId="211" fontId="46" fillId="0" borderId="0" xfId="0" applyNumberFormat="1" applyFont="1" applyAlignment="1">
      <alignment horizontal="center" vertical="center"/>
    </xf>
    <xf numFmtId="4" fontId="46" fillId="0" borderId="12" xfId="0" applyNumberFormat="1" applyFont="1" applyBorder="1" applyAlignment="1">
      <alignment horizontal="center" vertical="center"/>
    </xf>
    <xf numFmtId="211" fontId="46" fillId="0" borderId="11" xfId="0" applyNumberFormat="1" applyFont="1" applyBorder="1" applyAlignment="1">
      <alignment horizontal="center" vertical="center"/>
    </xf>
    <xf numFmtId="184" fontId="46" fillId="0" borderId="4" xfId="0" quotePrefix="1" applyNumberFormat="1" applyFont="1" applyBorder="1" applyAlignment="1">
      <alignment horizontal="right" vertical="center"/>
    </xf>
    <xf numFmtId="184" fontId="46" fillId="0" borderId="7" xfId="0" applyNumberFormat="1" applyFont="1" applyBorder="1" applyAlignment="1">
      <alignment horizontal="right" vertical="center"/>
    </xf>
    <xf numFmtId="184" fontId="46" fillId="0" borderId="12" xfId="0" applyNumberFormat="1" applyFont="1" applyBorder="1" applyAlignment="1">
      <alignment horizontal="right" vertical="center"/>
    </xf>
    <xf numFmtId="184" fontId="46" fillId="0" borderId="4" xfId="0" quotePrefix="1" applyNumberFormat="1" applyFont="1" applyBorder="1" applyAlignment="1">
      <alignment vertical="center"/>
    </xf>
    <xf numFmtId="212" fontId="46" fillId="0" borderId="2" xfId="0" applyNumberFormat="1" applyFont="1" applyBorder="1" applyAlignment="1">
      <alignment horizontal="right" vertical="center"/>
    </xf>
    <xf numFmtId="184" fontId="46" fillId="0" borderId="7" xfId="0" applyNumberFormat="1" applyFont="1" applyBorder="1" applyAlignment="1">
      <alignment vertical="center"/>
    </xf>
    <xf numFmtId="212" fontId="46" fillId="0" borderId="6" xfId="0" applyNumberFormat="1" applyFont="1" applyBorder="1" applyAlignment="1">
      <alignment horizontal="right" vertical="center"/>
    </xf>
    <xf numFmtId="212" fontId="46" fillId="0" borderId="9" xfId="0" applyNumberFormat="1" applyFont="1" applyBorder="1" applyAlignment="1">
      <alignment horizontal="right" vertical="center"/>
    </xf>
    <xf numFmtId="184" fontId="46" fillId="0" borderId="4" xfId="0" applyNumberFormat="1" applyFont="1" applyBorder="1" applyAlignment="1">
      <alignment horizontal="right" vertical="center"/>
    </xf>
    <xf numFmtId="9" fontId="46" fillId="0" borderId="4" xfId="81" applyFont="1" applyBorder="1" applyAlignment="1">
      <alignment horizontal="right" vertical="center"/>
    </xf>
    <xf numFmtId="211" fontId="46" fillId="0" borderId="5" xfId="0" applyNumberFormat="1" applyFont="1" applyBorder="1" applyAlignment="1">
      <alignment vertical="center"/>
    </xf>
    <xf numFmtId="4" fontId="46" fillId="0" borderId="4" xfId="0" applyNumberFormat="1" applyFont="1" applyBorder="1" applyAlignment="1">
      <alignment horizontal="right" vertical="center"/>
    </xf>
    <xf numFmtId="9" fontId="46" fillId="0" borderId="12" xfId="81" applyFont="1" applyBorder="1" applyAlignment="1">
      <alignment horizontal="right" vertical="center"/>
    </xf>
    <xf numFmtId="211" fontId="46" fillId="0" borderId="10" xfId="0" applyNumberFormat="1" applyFont="1" applyBorder="1" applyAlignment="1">
      <alignment vertical="center"/>
    </xf>
    <xf numFmtId="9" fontId="46" fillId="0" borderId="7" xfId="81" applyFont="1" applyBorder="1" applyAlignment="1">
      <alignment horizontal="right" vertical="center"/>
    </xf>
    <xf numFmtId="211" fontId="46" fillId="0" borderId="8" xfId="0" applyNumberFormat="1" applyFont="1" applyBorder="1" applyAlignment="1">
      <alignment vertical="center"/>
    </xf>
    <xf numFmtId="0" fontId="46" fillId="0" borderId="9" xfId="0" quotePrefix="1" applyFont="1" applyBorder="1" applyAlignment="1">
      <alignment horizontal="center" vertical="center"/>
    </xf>
    <xf numFmtId="0" fontId="46" fillId="0" borderId="9" xfId="0" quotePrefix="1" applyFont="1" applyBorder="1" applyAlignment="1">
      <alignment horizontal="left" vertical="center"/>
    </xf>
    <xf numFmtId="200" fontId="46" fillId="0" borderId="8" xfId="0" applyNumberFormat="1" applyFont="1" applyBorder="1" applyAlignment="1">
      <alignment horizontal="right" vertical="center"/>
    </xf>
    <xf numFmtId="200" fontId="46" fillId="0" borderId="10" xfId="0" applyNumberFormat="1" applyFont="1" applyBorder="1" applyAlignment="1">
      <alignment horizontal="right" vertical="center"/>
    </xf>
    <xf numFmtId="0" fontId="46" fillId="0" borderId="5" xfId="0" applyFont="1" applyBorder="1" applyAlignment="1">
      <alignment horizontal="left" vertical="center"/>
    </xf>
    <xf numFmtId="177" fontId="46" fillId="0" borderId="5" xfId="0" applyNumberFormat="1" applyFont="1" applyBorder="1" applyAlignment="1">
      <alignment horizontal="right" vertical="center"/>
    </xf>
    <xf numFmtId="200" fontId="46" fillId="0" borderId="5" xfId="0" applyNumberFormat="1" applyFont="1" applyBorder="1" applyAlignment="1">
      <alignment horizontal="right" vertical="center"/>
    </xf>
    <xf numFmtId="177" fontId="46" fillId="0" borderId="8" xfId="0" applyNumberFormat="1" applyFont="1" applyBorder="1" applyAlignment="1">
      <alignment horizontal="right" vertical="center"/>
    </xf>
    <xf numFmtId="177" fontId="46" fillId="0" borderId="10" xfId="0" applyNumberFormat="1" applyFont="1" applyBorder="1" applyAlignment="1">
      <alignment horizontal="right" vertical="center"/>
    </xf>
    <xf numFmtId="0" fontId="43" fillId="0" borderId="0" xfId="0" applyFont="1" applyAlignment="1">
      <alignment horizontal="center" vertical="center"/>
    </xf>
    <xf numFmtId="192" fontId="43" fillId="0" borderId="0" xfId="0" applyNumberFormat="1" applyFont="1" applyAlignment="1">
      <alignment horizontal="left" vertical="center"/>
    </xf>
    <xf numFmtId="0" fontId="43" fillId="0" borderId="0" xfId="0" applyFont="1" applyAlignment="1">
      <alignment vertical="center"/>
    </xf>
    <xf numFmtId="211" fontId="43" fillId="0" borderId="0" xfId="0" applyNumberFormat="1" applyFont="1" applyAlignment="1">
      <alignment vertical="center"/>
    </xf>
    <xf numFmtId="195" fontId="72" fillId="0" borderId="11" xfId="0" applyNumberFormat="1" applyFont="1" applyBorder="1" applyAlignment="1">
      <alignment horizontal="right" vertical="center"/>
    </xf>
    <xf numFmtId="195" fontId="72" fillId="0" borderId="0" xfId="0" applyNumberFormat="1" applyFont="1" applyAlignment="1">
      <alignment horizontal="right" vertical="center"/>
    </xf>
    <xf numFmtId="192" fontId="31" fillId="0" borderId="0" xfId="0" applyNumberFormat="1" applyFont="1" applyAlignment="1">
      <alignment vertical="center"/>
    </xf>
    <xf numFmtId="192" fontId="71" fillId="0" borderId="0" xfId="0" applyNumberFormat="1" applyFont="1" applyAlignment="1">
      <alignment vertical="center"/>
    </xf>
    <xf numFmtId="0" fontId="31" fillId="21" borderId="1" xfId="0" applyFont="1" applyFill="1" applyBorder="1" applyAlignment="1">
      <alignment horizontal="center" vertical="center"/>
    </xf>
    <xf numFmtId="4" fontId="31" fillId="21" borderId="1" xfId="0" applyNumberFormat="1" applyFont="1" applyFill="1" applyBorder="1" applyAlignment="1">
      <alignment horizontal="center" vertical="center"/>
    </xf>
    <xf numFmtId="0" fontId="31" fillId="21" borderId="13" xfId="0" applyFont="1" applyFill="1" applyBorder="1" applyAlignment="1">
      <alignment horizontal="center" vertical="center"/>
    </xf>
    <xf numFmtId="0" fontId="31" fillId="6" borderId="14" xfId="0" applyFont="1" applyFill="1" applyBorder="1" applyAlignment="1">
      <alignment horizontal="left" vertical="center"/>
    </xf>
    <xf numFmtId="0" fontId="46" fillId="5" borderId="5" xfId="0" applyFont="1" applyFill="1" applyBorder="1" applyAlignment="1">
      <alignment horizontal="left" vertical="center"/>
    </xf>
    <xf numFmtId="0" fontId="46" fillId="5" borderId="0" xfId="0" applyFont="1" applyFill="1" applyAlignment="1">
      <alignment horizontal="center" vertical="center"/>
    </xf>
    <xf numFmtId="0" fontId="46" fillId="5" borderId="20" xfId="0" applyFont="1" applyFill="1" applyBorder="1" applyAlignment="1">
      <alignment horizontal="center" vertical="center"/>
    </xf>
    <xf numFmtId="0" fontId="46" fillId="5" borderId="68" xfId="0" applyFont="1" applyFill="1" applyBorder="1" applyAlignment="1">
      <alignment horizontal="center" vertical="center"/>
    </xf>
    <xf numFmtId="0" fontId="46" fillId="5" borderId="1" xfId="0" applyFont="1" applyFill="1" applyBorder="1" applyAlignment="1">
      <alignment horizontal="center" vertical="center"/>
    </xf>
    <xf numFmtId="12" fontId="46" fillId="5" borderId="1" xfId="0" quotePrefix="1" applyNumberFormat="1" applyFont="1" applyFill="1" applyBorder="1" applyAlignment="1">
      <alignment horizontal="center" vertical="center"/>
    </xf>
    <xf numFmtId="12" fontId="46" fillId="5" borderId="1" xfId="0" applyNumberFormat="1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left" vertical="center"/>
    </xf>
    <xf numFmtId="179" fontId="72" fillId="22" borderId="5" xfId="0" applyNumberFormat="1" applyFont="1" applyFill="1" applyBorder="1" applyAlignment="1">
      <alignment horizontal="left" vertical="center"/>
    </xf>
    <xf numFmtId="0" fontId="31" fillId="6" borderId="1" xfId="0" applyFont="1" applyFill="1" applyBorder="1" applyAlignment="1">
      <alignment horizontal="left" vertical="center"/>
    </xf>
    <xf numFmtId="179" fontId="72" fillId="22" borderId="1" xfId="0" applyNumberFormat="1" applyFont="1" applyFill="1" applyBorder="1" applyAlignment="1">
      <alignment horizontal="left" vertical="center"/>
    </xf>
    <xf numFmtId="179" fontId="72" fillId="22" borderId="1" xfId="0" applyNumberFormat="1" applyFont="1" applyFill="1" applyBorder="1" applyAlignment="1">
      <alignment horizontal="center" vertical="center"/>
    </xf>
    <xf numFmtId="0" fontId="72" fillId="22" borderId="1" xfId="0" applyFont="1" applyFill="1" applyBorder="1" applyAlignment="1">
      <alignment horizontal="center" vertical="center"/>
    </xf>
    <xf numFmtId="1" fontId="72" fillId="22" borderId="1" xfId="0" applyNumberFormat="1" applyFont="1" applyFill="1" applyBorder="1" applyAlignment="1">
      <alignment horizontal="center" vertical="center"/>
    </xf>
    <xf numFmtId="0" fontId="72" fillId="22" borderId="13" xfId="0" applyFont="1" applyFill="1" applyBorder="1" applyAlignment="1">
      <alignment horizontal="center" vertical="center"/>
    </xf>
    <xf numFmtId="0" fontId="46" fillId="5" borderId="1" xfId="0" applyFont="1" applyFill="1" applyBorder="1" applyAlignment="1">
      <alignment horizontal="left" vertical="center"/>
    </xf>
    <xf numFmtId="213" fontId="46" fillId="5" borderId="1" xfId="0" applyNumberFormat="1" applyFont="1" applyFill="1" applyBorder="1" applyAlignment="1">
      <alignment horizontal="center" vertical="center"/>
    </xf>
    <xf numFmtId="192" fontId="46" fillId="5" borderId="1" xfId="0" applyNumberFormat="1" applyFont="1" applyFill="1" applyBorder="1" applyAlignment="1">
      <alignment horizontal="center" vertical="center"/>
    </xf>
    <xf numFmtId="192" fontId="72" fillId="22" borderId="1" xfId="0" applyNumberFormat="1" applyFont="1" applyFill="1" applyBorder="1" applyAlignment="1">
      <alignment horizontal="center" vertical="center"/>
    </xf>
    <xf numFmtId="179" fontId="72" fillId="22" borderId="13" xfId="0" applyNumberFormat="1" applyFont="1" applyFill="1" applyBorder="1" applyAlignment="1">
      <alignment horizontal="center" vertical="center"/>
    </xf>
    <xf numFmtId="4" fontId="31" fillId="6" borderId="1" xfId="0" applyNumberFormat="1" applyFont="1" applyFill="1" applyBorder="1" applyAlignment="1">
      <alignment horizontal="center" vertical="center"/>
    </xf>
    <xf numFmtId="2" fontId="72" fillId="22" borderId="1" xfId="0" applyNumberFormat="1" applyFont="1" applyFill="1" applyBorder="1" applyAlignment="1">
      <alignment horizontal="center" vertical="center"/>
    </xf>
    <xf numFmtId="1" fontId="46" fillId="5" borderId="1" xfId="0" applyNumberFormat="1" applyFont="1" applyFill="1" applyBorder="1" applyAlignment="1">
      <alignment horizontal="center" vertical="center"/>
    </xf>
    <xf numFmtId="0" fontId="64" fillId="5" borderId="1" xfId="0" applyFont="1" applyFill="1" applyBorder="1" applyAlignment="1">
      <alignment horizontal="center" vertical="center"/>
    </xf>
    <xf numFmtId="0" fontId="46" fillId="5" borderId="1" xfId="0" applyFont="1" applyFill="1" applyBorder="1" applyAlignment="1">
      <alignment vertical="center"/>
    </xf>
    <xf numFmtId="0" fontId="31" fillId="0" borderId="0" xfId="0" applyFont="1" applyAlignment="1">
      <alignment vertical="center" textRotation="90"/>
    </xf>
    <xf numFmtId="192" fontId="64" fillId="0" borderId="0" xfId="0" applyNumberFormat="1" applyFont="1" applyAlignment="1">
      <alignment horizontal="left" vertical="center" textRotation="90"/>
    </xf>
    <xf numFmtId="179" fontId="44" fillId="6" borderId="13" xfId="0" applyNumberFormat="1" applyFont="1" applyFill="1" applyBorder="1" applyAlignment="1">
      <alignment horizontal="center" vertical="center"/>
    </xf>
    <xf numFmtId="2" fontId="44" fillId="6" borderId="18" xfId="0" applyNumberFormat="1" applyFont="1" applyFill="1" applyBorder="1" applyAlignment="1">
      <alignment horizontal="center" vertical="center"/>
    </xf>
    <xf numFmtId="1" fontId="44" fillId="6" borderId="18" xfId="0" applyNumberFormat="1" applyFont="1" applyFill="1" applyBorder="1" applyAlignment="1">
      <alignment horizontal="center" vertical="center"/>
    </xf>
    <xf numFmtId="1" fontId="44" fillId="6" borderId="14" xfId="0" applyNumberFormat="1" applyFont="1" applyFill="1" applyBorder="1" applyAlignment="1">
      <alignment horizontal="center" vertical="center"/>
    </xf>
    <xf numFmtId="1" fontId="44" fillId="6" borderId="13" xfId="0" applyNumberFormat="1" applyFont="1" applyFill="1" applyBorder="1" applyAlignment="1">
      <alignment horizontal="center" vertical="center"/>
    </xf>
    <xf numFmtId="2" fontId="31" fillId="6" borderId="18" xfId="0" applyNumberFormat="1" applyFont="1" applyFill="1" applyBorder="1" applyAlignment="1">
      <alignment horizontal="center" vertical="center"/>
    </xf>
    <xf numFmtId="0" fontId="43" fillId="10" borderId="1" xfId="0" applyFont="1" applyFill="1" applyBorder="1" applyAlignment="1">
      <alignment vertical="center"/>
    </xf>
    <xf numFmtId="0" fontId="43" fillId="10" borderId="13" xfId="0" applyFont="1" applyFill="1" applyBorder="1" applyAlignment="1">
      <alignment horizontal="right" vertical="center"/>
    </xf>
    <xf numFmtId="0" fontId="43" fillId="10" borderId="18" xfId="0" applyFont="1" applyFill="1" applyBorder="1" applyAlignment="1">
      <alignment horizontal="right" vertical="center"/>
    </xf>
    <xf numFmtId="0" fontId="43" fillId="10" borderId="14" xfId="0" applyFont="1" applyFill="1" applyBorder="1" applyAlignment="1">
      <alignment horizontal="right" vertical="center"/>
    </xf>
    <xf numFmtId="181" fontId="72" fillId="10" borderId="13" xfId="0" applyNumberFormat="1" applyFont="1" applyFill="1" applyBorder="1" applyAlignment="1">
      <alignment horizontal="right" vertical="center"/>
    </xf>
    <xf numFmtId="2" fontId="43" fillId="10" borderId="18" xfId="0" applyNumberFormat="1" applyFont="1" applyFill="1" applyBorder="1" applyAlignment="1">
      <alignment horizontal="right" vertical="center"/>
    </xf>
    <xf numFmtId="207" fontId="64" fillId="10" borderId="13" xfId="0" applyNumberFormat="1" applyFont="1" applyFill="1" applyBorder="1" applyAlignment="1">
      <alignment horizontal="left" vertical="center"/>
    </xf>
    <xf numFmtId="192" fontId="64" fillId="10" borderId="18" xfId="0" applyNumberFormat="1" applyFont="1" applyFill="1" applyBorder="1" applyAlignment="1">
      <alignment horizontal="left" vertical="center"/>
    </xf>
    <xf numFmtId="184" fontId="43" fillId="10" borderId="13" xfId="0" applyNumberFormat="1" applyFont="1" applyFill="1" applyBorder="1" applyAlignment="1">
      <alignment horizontal="right" vertical="center"/>
    </xf>
    <xf numFmtId="2" fontId="43" fillId="10" borderId="14" xfId="0" applyNumberFormat="1" applyFont="1" applyFill="1" applyBorder="1" applyAlignment="1">
      <alignment horizontal="right" vertical="center"/>
    </xf>
    <xf numFmtId="2" fontId="43" fillId="0" borderId="0" xfId="0" applyNumberFormat="1" applyFont="1" applyAlignment="1">
      <alignment horizontal="left" vertical="center"/>
    </xf>
    <xf numFmtId="192" fontId="43" fillId="0" borderId="0" xfId="0" applyNumberFormat="1" applyFont="1" applyAlignment="1">
      <alignment vertical="center"/>
    </xf>
    <xf numFmtId="181" fontId="64" fillId="0" borderId="7" xfId="0" applyNumberFormat="1" applyFont="1" applyBorder="1" applyAlignment="1">
      <alignment horizontal="right" vertical="center"/>
    </xf>
    <xf numFmtId="207" fontId="46" fillId="22" borderId="6" xfId="0" applyNumberFormat="1" applyFont="1" applyFill="1" applyBorder="1" applyAlignment="1">
      <alignment horizontal="left" vertical="center"/>
    </xf>
    <xf numFmtId="192" fontId="64" fillId="22" borderId="0" xfId="0" applyNumberFormat="1" applyFont="1" applyFill="1" applyAlignment="1">
      <alignment horizontal="left" vertical="center"/>
    </xf>
    <xf numFmtId="184" fontId="64" fillId="21" borderId="6" xfId="0" applyNumberFormat="1" applyFont="1" applyFill="1" applyBorder="1" applyAlignment="1">
      <alignment horizontal="right" vertical="center"/>
    </xf>
    <xf numFmtId="2" fontId="64" fillId="21" borderId="7" xfId="0" applyNumberFormat="1" applyFont="1" applyFill="1" applyBorder="1" applyAlignment="1">
      <alignment horizontal="right" vertical="center"/>
    </xf>
    <xf numFmtId="192" fontId="64" fillId="0" borderId="0" xfId="0" applyNumberFormat="1" applyFont="1" applyAlignment="1">
      <alignment vertical="center"/>
    </xf>
    <xf numFmtId="0" fontId="64" fillId="0" borderId="7" xfId="0" applyFont="1" applyBorder="1" applyAlignment="1">
      <alignment horizontal="right" vertical="center"/>
    </xf>
    <xf numFmtId="0" fontId="72" fillId="10" borderId="1" xfId="0" applyFont="1" applyFill="1" applyBorder="1" applyAlignment="1">
      <alignment horizontal="center" vertical="center"/>
    </xf>
    <xf numFmtId="0" fontId="72" fillId="10" borderId="13" xfId="0" applyFont="1" applyFill="1" applyBorder="1" applyAlignment="1">
      <alignment horizontal="right" vertical="center"/>
    </xf>
    <xf numFmtId="2" fontId="72" fillId="10" borderId="18" xfId="0" applyNumberFormat="1" applyFont="1" applyFill="1" applyBorder="1" applyAlignment="1">
      <alignment horizontal="right" vertical="center"/>
    </xf>
    <xf numFmtId="0" fontId="72" fillId="10" borderId="14" xfId="0" applyFont="1" applyFill="1" applyBorder="1" applyAlignment="1">
      <alignment horizontal="right" vertical="center"/>
    </xf>
    <xf numFmtId="0" fontId="72" fillId="10" borderId="18" xfId="0" applyFont="1" applyFill="1" applyBorder="1" applyAlignment="1">
      <alignment horizontal="right" vertical="center"/>
    </xf>
    <xf numFmtId="181" fontId="72" fillId="10" borderId="18" xfId="0" applyNumberFormat="1" applyFont="1" applyFill="1" applyBorder="1" applyAlignment="1">
      <alignment horizontal="right" vertical="center"/>
    </xf>
    <xf numFmtId="181" fontId="72" fillId="10" borderId="14" xfId="0" applyNumberFormat="1" applyFont="1" applyFill="1" applyBorder="1" applyAlignment="1">
      <alignment horizontal="right" vertical="center"/>
    </xf>
    <xf numFmtId="2" fontId="72" fillId="10" borderId="13" xfId="0" applyNumberFormat="1" applyFont="1" applyFill="1" applyBorder="1" applyAlignment="1">
      <alignment horizontal="right" vertical="center"/>
    </xf>
    <xf numFmtId="0" fontId="64" fillId="0" borderId="0" xfId="0" quotePrefix="1" applyFont="1" applyAlignment="1">
      <alignment vertical="center"/>
    </xf>
    <xf numFmtId="207" fontId="64" fillId="22" borderId="6" xfId="0" applyNumberFormat="1" applyFont="1" applyFill="1" applyBorder="1" applyAlignment="1">
      <alignment horizontal="left" vertical="center"/>
    </xf>
    <xf numFmtId="4" fontId="72" fillId="10" borderId="18" xfId="0" applyNumberFormat="1" applyFont="1" applyFill="1" applyBorder="1" applyAlignment="1">
      <alignment horizontal="right" vertical="center"/>
    </xf>
    <xf numFmtId="1" fontId="72" fillId="10" borderId="14" xfId="0" applyNumberFormat="1" applyFont="1" applyFill="1" applyBorder="1" applyAlignment="1">
      <alignment horizontal="right" vertical="center"/>
    </xf>
    <xf numFmtId="210" fontId="64" fillId="0" borderId="0" xfId="0" applyNumberFormat="1" applyFont="1" applyAlignment="1">
      <alignment horizontal="right" vertical="center"/>
    </xf>
    <xf numFmtId="214" fontId="72" fillId="10" borderId="14" xfId="0" applyNumberFormat="1" applyFont="1" applyFill="1" applyBorder="1" applyAlignment="1">
      <alignment horizontal="right" vertical="center"/>
    </xf>
    <xf numFmtId="0" fontId="64" fillId="0" borderId="0" xfId="0" quotePrefix="1" applyFont="1" applyAlignment="1">
      <alignment horizontal="left" vertical="center"/>
    </xf>
    <xf numFmtId="0" fontId="64" fillId="0" borderId="11" xfId="0" quotePrefix="1" applyFont="1" applyBorder="1" applyAlignment="1">
      <alignment horizontal="left" vertical="center"/>
    </xf>
    <xf numFmtId="180" fontId="64" fillId="0" borderId="12" xfId="0" applyNumberFormat="1" applyFont="1" applyBorder="1" applyAlignment="1">
      <alignment horizontal="right" vertical="center"/>
    </xf>
    <xf numFmtId="210" fontId="64" fillId="0" borderId="9" xfId="0" applyNumberFormat="1" applyFont="1" applyBorder="1" applyAlignment="1">
      <alignment horizontal="right" vertical="center"/>
    </xf>
    <xf numFmtId="181" fontId="64" fillId="0" borderId="12" xfId="0" applyNumberFormat="1" applyFont="1" applyBorder="1" applyAlignment="1">
      <alignment horizontal="right" vertical="center"/>
    </xf>
    <xf numFmtId="207" fontId="64" fillId="22" borderId="9" xfId="0" applyNumberFormat="1" applyFont="1" applyFill="1" applyBorder="1" applyAlignment="1">
      <alignment horizontal="left" vertical="center"/>
    </xf>
    <xf numFmtId="192" fontId="64" fillId="22" borderId="11" xfId="0" applyNumberFormat="1" applyFont="1" applyFill="1" applyBorder="1" applyAlignment="1">
      <alignment horizontal="left" vertical="center"/>
    </xf>
    <xf numFmtId="184" fontId="64" fillId="21" borderId="9" xfId="0" applyNumberFormat="1" applyFont="1" applyFill="1" applyBorder="1" applyAlignment="1">
      <alignment horizontal="right" vertical="center"/>
    </xf>
    <xf numFmtId="2" fontId="64" fillId="21" borderId="12" xfId="0" applyNumberFormat="1" applyFont="1" applyFill="1" applyBorder="1" applyAlignment="1">
      <alignment horizontal="right" vertical="center"/>
    </xf>
    <xf numFmtId="180" fontId="64" fillId="0" borderId="7" xfId="0" applyNumberFormat="1" applyFont="1" applyBorder="1" applyAlignment="1">
      <alignment horizontal="right" vertical="center"/>
    </xf>
    <xf numFmtId="210" fontId="64" fillId="0" borderId="6" xfId="0" applyNumberFormat="1" applyFont="1" applyBorder="1" applyAlignment="1">
      <alignment horizontal="right" vertical="center"/>
    </xf>
    <xf numFmtId="4" fontId="72" fillId="10" borderId="14" xfId="0" applyNumberFormat="1" applyFont="1" applyFill="1" applyBorder="1" applyAlignment="1">
      <alignment horizontal="right" vertical="center"/>
    </xf>
    <xf numFmtId="214" fontId="72" fillId="10" borderId="18" xfId="0" applyNumberFormat="1" applyFont="1" applyFill="1" applyBorder="1" applyAlignment="1">
      <alignment horizontal="right" vertical="center"/>
    </xf>
    <xf numFmtId="2" fontId="72" fillId="10" borderId="14" xfId="0" applyNumberFormat="1" applyFont="1" applyFill="1" applyBorder="1" applyAlignment="1">
      <alignment horizontal="right" vertical="center"/>
    </xf>
    <xf numFmtId="184" fontId="72" fillId="10" borderId="13" xfId="0" applyNumberFormat="1" applyFont="1" applyFill="1" applyBorder="1" applyAlignment="1">
      <alignment horizontal="right" vertical="center"/>
    </xf>
    <xf numFmtId="184" fontId="72" fillId="10" borderId="18" xfId="0" applyNumberFormat="1" applyFont="1" applyFill="1" applyBorder="1" applyAlignment="1">
      <alignment horizontal="right" vertical="center"/>
    </xf>
    <xf numFmtId="184" fontId="72" fillId="10" borderId="14" xfId="0" applyNumberFormat="1" applyFont="1" applyFill="1" applyBorder="1" applyAlignment="1">
      <alignment horizontal="right" vertical="center"/>
    </xf>
    <xf numFmtId="207" fontId="64" fillId="10" borderId="18" xfId="0" applyNumberFormat="1" applyFont="1" applyFill="1" applyBorder="1" applyAlignment="1">
      <alignment horizontal="left" vertical="center"/>
    </xf>
    <xf numFmtId="2" fontId="64" fillId="0" borderId="8" xfId="0" applyNumberFormat="1" applyFont="1" applyBorder="1" applyAlignment="1">
      <alignment horizontal="center" vertical="center"/>
    </xf>
    <xf numFmtId="200" fontId="64" fillId="0" borderId="0" xfId="0" applyNumberFormat="1" applyFont="1" applyAlignment="1">
      <alignment horizontal="right" vertical="center"/>
    </xf>
    <xf numFmtId="2" fontId="64" fillId="0" borderId="10" xfId="0" applyNumberFormat="1" applyFont="1" applyBorder="1" applyAlignment="1">
      <alignment horizontal="center" vertical="center"/>
    </xf>
    <xf numFmtId="0" fontId="64" fillId="0" borderId="9" xfId="0" quotePrefix="1" applyFont="1" applyBorder="1" applyAlignment="1">
      <alignment horizontal="right" vertical="center"/>
    </xf>
    <xf numFmtId="4" fontId="64" fillId="0" borderId="11" xfId="0" quotePrefix="1" applyNumberFormat="1" applyFont="1" applyBorder="1" applyAlignment="1">
      <alignment horizontal="right" vertical="center"/>
    </xf>
    <xf numFmtId="210" fontId="64" fillId="0" borderId="11" xfId="0" applyNumberFormat="1" applyFont="1" applyBorder="1" applyAlignment="1">
      <alignment horizontal="right" vertical="center"/>
    </xf>
    <xf numFmtId="200" fontId="64" fillId="0" borderId="11" xfId="0" applyNumberFormat="1" applyFont="1" applyBorder="1" applyAlignment="1">
      <alignment horizontal="right" vertical="center"/>
    </xf>
    <xf numFmtId="214" fontId="64" fillId="0" borderId="0" xfId="0" applyNumberFormat="1" applyFont="1" applyAlignment="1">
      <alignment horizontal="center" vertical="center"/>
    </xf>
    <xf numFmtId="211" fontId="64" fillId="0" borderId="0" xfId="0" applyNumberFormat="1" applyFont="1" applyAlignment="1">
      <alignment vertical="center"/>
    </xf>
    <xf numFmtId="0" fontId="64" fillId="0" borderId="0" xfId="0" quotePrefix="1" applyFont="1" applyAlignment="1">
      <alignment horizontal="right" vertical="center"/>
    </xf>
    <xf numFmtId="4" fontId="64" fillId="0" borderId="0" xfId="0" quotePrefix="1" applyNumberFormat="1" applyFont="1" applyAlignment="1">
      <alignment horizontal="right" vertical="center"/>
    </xf>
    <xf numFmtId="0" fontId="64" fillId="0" borderId="11" xfId="0" quotePrefix="1" applyFont="1" applyBorder="1" applyAlignment="1">
      <alignment horizontal="right" vertical="center"/>
    </xf>
    <xf numFmtId="183" fontId="64" fillId="0" borderId="0" xfId="0" applyNumberFormat="1" applyFont="1" applyAlignment="1">
      <alignment horizontal="right" vertical="center"/>
    </xf>
    <xf numFmtId="183" fontId="64" fillId="0" borderId="11" xfId="0" applyNumberFormat="1" applyFont="1" applyBorder="1" applyAlignment="1">
      <alignment horizontal="right" vertical="center"/>
    </xf>
    <xf numFmtId="179" fontId="64" fillId="0" borderId="0" xfId="0" quotePrefix="1" applyNumberFormat="1" applyFont="1" applyAlignment="1">
      <alignment horizontal="right" vertical="center"/>
    </xf>
    <xf numFmtId="180" fontId="64" fillId="0" borderId="0" xfId="0" quotePrefix="1" applyNumberFormat="1" applyFont="1" applyAlignment="1">
      <alignment horizontal="right" vertical="center"/>
    </xf>
    <xf numFmtId="179" fontId="64" fillId="0" borderId="11" xfId="0" quotePrefix="1" applyNumberFormat="1" applyFont="1" applyBorder="1" applyAlignment="1">
      <alignment horizontal="right" vertical="center"/>
    </xf>
    <xf numFmtId="180" fontId="64" fillId="0" borderId="11" xfId="0" quotePrefix="1" applyNumberFormat="1" applyFont="1" applyBorder="1" applyAlignment="1">
      <alignment horizontal="right" vertical="center"/>
    </xf>
    <xf numFmtId="0" fontId="64" fillId="10" borderId="1" xfId="0" applyFont="1" applyFill="1" applyBorder="1" applyAlignment="1">
      <alignment horizontal="center" vertical="center"/>
    </xf>
    <xf numFmtId="0" fontId="64" fillId="10" borderId="13" xfId="0" applyFont="1" applyFill="1" applyBorder="1" applyAlignment="1">
      <alignment horizontal="right" vertical="center"/>
    </xf>
    <xf numFmtId="4" fontId="64" fillId="10" borderId="18" xfId="0" applyNumberFormat="1" applyFont="1" applyFill="1" applyBorder="1" applyAlignment="1">
      <alignment horizontal="right" vertical="center"/>
    </xf>
    <xf numFmtId="4" fontId="64" fillId="10" borderId="14" xfId="0" applyNumberFormat="1" applyFont="1" applyFill="1" applyBorder="1" applyAlignment="1">
      <alignment horizontal="right" vertical="center"/>
    </xf>
    <xf numFmtId="4" fontId="64" fillId="10" borderId="13" xfId="0" applyNumberFormat="1" applyFont="1" applyFill="1" applyBorder="1" applyAlignment="1">
      <alignment horizontal="right" vertical="center"/>
    </xf>
    <xf numFmtId="195" fontId="64" fillId="10" borderId="18" xfId="0" applyNumberFormat="1" applyFont="1" applyFill="1" applyBorder="1" applyAlignment="1">
      <alignment horizontal="right" vertical="center"/>
    </xf>
    <xf numFmtId="195" fontId="64" fillId="10" borderId="14" xfId="0" applyNumberFormat="1" applyFont="1" applyFill="1" applyBorder="1" applyAlignment="1">
      <alignment horizontal="right" vertical="center"/>
    </xf>
    <xf numFmtId="2" fontId="64" fillId="10" borderId="18" xfId="0" applyNumberFormat="1" applyFont="1" applyFill="1" applyBorder="1" applyAlignment="1">
      <alignment horizontal="right" vertical="center"/>
    </xf>
    <xf numFmtId="211" fontId="64" fillId="10" borderId="18" xfId="0" applyNumberFormat="1" applyFont="1" applyFill="1" applyBorder="1" applyAlignment="1">
      <alignment horizontal="right" vertical="center"/>
    </xf>
    <xf numFmtId="211" fontId="64" fillId="10" borderId="14" xfId="0" applyNumberFormat="1" applyFont="1" applyFill="1" applyBorder="1" applyAlignment="1">
      <alignment horizontal="right" vertical="center"/>
    </xf>
    <xf numFmtId="192" fontId="64" fillId="10" borderId="14" xfId="0" applyNumberFormat="1" applyFont="1" applyFill="1" applyBorder="1" applyAlignment="1">
      <alignment horizontal="left" vertical="center"/>
    </xf>
    <xf numFmtId="184" fontId="64" fillId="10" borderId="18" xfId="0" applyNumberFormat="1" applyFont="1" applyFill="1" applyBorder="1" applyAlignment="1">
      <alignment horizontal="right" vertical="center"/>
    </xf>
    <xf numFmtId="2" fontId="64" fillId="10" borderId="14" xfId="0" applyNumberFormat="1" applyFont="1" applyFill="1" applyBorder="1" applyAlignment="1">
      <alignment horizontal="right" vertical="center"/>
    </xf>
    <xf numFmtId="0" fontId="64" fillId="0" borderId="3" xfId="0" quotePrefix="1" applyFont="1" applyBorder="1" applyAlignment="1">
      <alignment vertical="center"/>
    </xf>
    <xf numFmtId="200" fontId="64" fillId="0" borderId="6" xfId="0" applyNumberFormat="1" applyFont="1" applyBorder="1" applyAlignment="1">
      <alignment horizontal="right" vertical="center"/>
    </xf>
    <xf numFmtId="192" fontId="64" fillId="22" borderId="7" xfId="0" applyNumberFormat="1" applyFont="1" applyFill="1" applyBorder="1" applyAlignment="1">
      <alignment horizontal="left" vertical="center"/>
    </xf>
    <xf numFmtId="184" fontId="64" fillId="21" borderId="0" xfId="0" applyNumberFormat="1" applyFont="1" applyFill="1" applyAlignment="1">
      <alignment horizontal="right" vertical="center"/>
    </xf>
    <xf numFmtId="0" fontId="64" fillId="0" borderId="11" xfId="0" quotePrefix="1" applyFont="1" applyBorder="1" applyAlignment="1">
      <alignment vertical="center"/>
    </xf>
    <xf numFmtId="180" fontId="64" fillId="0" borderId="11" xfId="0" applyNumberFormat="1" applyFont="1" applyBorder="1" applyAlignment="1">
      <alignment horizontal="right" vertical="center"/>
    </xf>
    <xf numFmtId="200" fontId="64" fillId="0" borderId="9" xfId="0" applyNumberFormat="1" applyFont="1" applyBorder="1" applyAlignment="1">
      <alignment horizontal="right" vertical="center"/>
    </xf>
    <xf numFmtId="192" fontId="64" fillId="22" borderId="12" xfId="0" applyNumberFormat="1" applyFont="1" applyFill="1" applyBorder="1" applyAlignment="1">
      <alignment horizontal="left" vertical="center"/>
    </xf>
    <xf numFmtId="184" fontId="64" fillId="21" borderId="11" xfId="0" applyNumberFormat="1" applyFont="1" applyFill="1" applyBorder="1" applyAlignment="1">
      <alignment horizontal="right" vertical="center"/>
    </xf>
    <xf numFmtId="0" fontId="64" fillId="0" borderId="2" xfId="0" applyFont="1" applyBorder="1" applyAlignment="1">
      <alignment horizontal="right" vertical="center"/>
    </xf>
    <xf numFmtId="180" fontId="64" fillId="0" borderId="3" xfId="0" applyNumberFormat="1" applyFont="1" applyBorder="1" applyAlignment="1">
      <alignment horizontal="right" vertical="center"/>
    </xf>
    <xf numFmtId="180" fontId="64" fillId="0" borderId="4" xfId="0" applyNumberFormat="1" applyFont="1" applyBorder="1" applyAlignment="1">
      <alignment horizontal="right" vertical="center"/>
    </xf>
    <xf numFmtId="210" fontId="64" fillId="0" borderId="2" xfId="0" applyNumberFormat="1" applyFont="1" applyBorder="1" applyAlignment="1">
      <alignment horizontal="right" vertical="center"/>
    </xf>
    <xf numFmtId="200" fontId="64" fillId="0" borderId="3" xfId="0" applyNumberFormat="1" applyFont="1" applyBorder="1" applyAlignment="1">
      <alignment horizontal="right" vertical="center"/>
    </xf>
    <xf numFmtId="181" fontId="64" fillId="0" borderId="4" xfId="0" applyNumberFormat="1" applyFont="1" applyBorder="1" applyAlignment="1">
      <alignment horizontal="right" vertical="center"/>
    </xf>
    <xf numFmtId="200" fontId="64" fillId="0" borderId="2" xfId="0" applyNumberFormat="1" applyFont="1" applyBorder="1" applyAlignment="1">
      <alignment horizontal="right" vertical="center"/>
    </xf>
    <xf numFmtId="184" fontId="64" fillId="0" borderId="0" xfId="0" applyNumberFormat="1" applyFont="1" applyAlignment="1">
      <alignment horizontal="center" vertical="center"/>
    </xf>
    <xf numFmtId="0" fontId="64" fillId="0" borderId="2" xfId="0" applyFont="1" applyBorder="1" applyAlignment="1">
      <alignment horizontal="left" vertical="center"/>
    </xf>
    <xf numFmtId="2" fontId="64" fillId="0" borderId="4" xfId="0" applyNumberFormat="1" applyFont="1" applyBorder="1" applyAlignment="1">
      <alignment horizontal="right" vertical="center"/>
    </xf>
    <xf numFmtId="207" fontId="64" fillId="22" borderId="2" xfId="0" applyNumberFormat="1" applyFont="1" applyFill="1" applyBorder="1" applyAlignment="1">
      <alignment horizontal="left" vertical="center"/>
    </xf>
    <xf numFmtId="192" fontId="64" fillId="22" borderId="4" xfId="0" applyNumberFormat="1" applyFont="1" applyFill="1" applyBorder="1" applyAlignment="1">
      <alignment horizontal="left" vertical="center"/>
    </xf>
    <xf numFmtId="184" fontId="64" fillId="21" borderId="3" xfId="0" applyNumberFormat="1" applyFont="1" applyFill="1" applyBorder="1" applyAlignment="1">
      <alignment horizontal="right" vertical="center"/>
    </xf>
    <xf numFmtId="2" fontId="64" fillId="21" borderId="4" xfId="0" applyNumberFormat="1" applyFont="1" applyFill="1" applyBorder="1" applyAlignment="1">
      <alignment horizontal="right" vertical="center"/>
    </xf>
    <xf numFmtId="0" fontId="31" fillId="0" borderId="0" xfId="0" applyFont="1" applyAlignment="1">
      <alignment horizontal="right" vertical="center"/>
    </xf>
    <xf numFmtId="195" fontId="31" fillId="0" borderId="0" xfId="0" applyNumberFormat="1" applyFont="1" applyAlignment="1">
      <alignment horizontal="right" vertical="center"/>
    </xf>
    <xf numFmtId="192" fontId="31" fillId="0" borderId="0" xfId="0" applyNumberFormat="1" applyFont="1" applyAlignment="1">
      <alignment horizontal="right" vertical="center"/>
    </xf>
    <xf numFmtId="207" fontId="31" fillId="0" borderId="0" xfId="0" applyNumberFormat="1" applyFont="1" applyAlignment="1">
      <alignment horizontal="left" vertical="center"/>
    </xf>
    <xf numFmtId="192" fontId="31" fillId="0" borderId="0" xfId="0" applyNumberFormat="1" applyFont="1" applyAlignment="1">
      <alignment horizontal="left" vertical="center"/>
    </xf>
    <xf numFmtId="192" fontId="64" fillId="0" borderId="0" xfId="0" applyNumberFormat="1" applyFont="1" applyAlignment="1">
      <alignment horizontal="right" vertical="center"/>
    </xf>
    <xf numFmtId="211" fontId="31" fillId="0" borderId="0" xfId="0" applyNumberFormat="1" applyFont="1" applyAlignment="1">
      <alignment vertical="center"/>
    </xf>
    <xf numFmtId="192" fontId="72" fillId="0" borderId="0" xfId="0" applyNumberFormat="1" applyFont="1" applyAlignment="1">
      <alignment horizontal="center" vertical="center"/>
    </xf>
    <xf numFmtId="211" fontId="72" fillId="0" borderId="0" xfId="0" applyNumberFormat="1" applyFont="1" applyAlignment="1">
      <alignment horizontal="right" vertical="center"/>
    </xf>
    <xf numFmtId="42" fontId="20" fillId="5" borderId="0" xfId="0" applyNumberFormat="1" applyFont="1" applyFill="1" applyAlignment="1">
      <alignment horizontal="center" vertical="center"/>
    </xf>
    <xf numFmtId="167" fontId="17" fillId="12" borderId="1" xfId="82" applyNumberFormat="1" applyFont="1" applyFill="1" applyBorder="1" applyAlignment="1">
      <alignment horizontal="right"/>
    </xf>
    <xf numFmtId="0" fontId="38" fillId="0" borderId="13" xfId="0" applyFont="1" applyBorder="1"/>
    <xf numFmtId="0" fontId="81" fillId="0" borderId="0" xfId="0" applyFont="1" applyAlignment="1">
      <alignment horizontal="center"/>
    </xf>
    <xf numFmtId="0" fontId="81" fillId="0" borderId="0" xfId="0" applyFont="1"/>
    <xf numFmtId="0" fontId="43" fillId="0" borderId="0" xfId="0" applyFont="1" applyAlignment="1">
      <alignment horizontal="center"/>
    </xf>
    <xf numFmtId="0" fontId="44" fillId="15" borderId="1" xfId="0" applyFont="1" applyFill="1" applyBorder="1" applyAlignment="1">
      <alignment horizontal="center"/>
    </xf>
    <xf numFmtId="0" fontId="44" fillId="15" borderId="13" xfId="0" applyFont="1" applyFill="1" applyBorder="1" applyAlignment="1">
      <alignment horizontal="center"/>
    </xf>
    <xf numFmtId="0" fontId="44" fillId="15" borderId="18" xfId="0" applyFont="1" applyFill="1" applyBorder="1" applyAlignment="1">
      <alignment horizontal="center"/>
    </xf>
    <xf numFmtId="0" fontId="64" fillId="0" borderId="1" xfId="0" applyFont="1" applyBorder="1" applyAlignment="1">
      <alignment horizontal="center"/>
    </xf>
    <xf numFmtId="215" fontId="64" fillId="5" borderId="1" xfId="0" applyNumberFormat="1" applyFont="1" applyFill="1" applyBorder="1" applyAlignment="1">
      <alignment horizontal="center"/>
    </xf>
    <xf numFmtId="168" fontId="64" fillId="0" borderId="1" xfId="2" applyFont="1" applyBorder="1"/>
    <xf numFmtId="0" fontId="0" fillId="20" borderId="75" xfId="0" applyFill="1" applyBorder="1" applyAlignment="1">
      <alignment horizontal="center"/>
    </xf>
    <xf numFmtId="0" fontId="0" fillId="25" borderId="75" xfId="0" applyFill="1" applyBorder="1" applyAlignment="1">
      <alignment horizontal="center"/>
    </xf>
    <xf numFmtId="0" fontId="0" fillId="8" borderId="75" xfId="0" applyFill="1" applyBorder="1" applyAlignment="1">
      <alignment horizontal="center"/>
    </xf>
    <xf numFmtId="0" fontId="0" fillId="8" borderId="70" xfId="0" applyFill="1" applyBorder="1" applyAlignment="1">
      <alignment horizontal="center"/>
    </xf>
    <xf numFmtId="0" fontId="0" fillId="0" borderId="76" xfId="0" applyBorder="1" applyAlignment="1">
      <alignment horizontal="center"/>
    </xf>
    <xf numFmtId="0" fontId="0" fillId="26" borderId="77" xfId="0" applyFill="1" applyBorder="1" applyAlignment="1">
      <alignment horizontal="center"/>
    </xf>
    <xf numFmtId="0" fontId="0" fillId="0" borderId="75" xfId="0" applyBorder="1" applyAlignment="1">
      <alignment horizontal="center"/>
    </xf>
    <xf numFmtId="42" fontId="0" fillId="25" borderId="75" xfId="93" applyFont="1" applyFill="1" applyBorder="1"/>
    <xf numFmtId="0" fontId="0" fillId="26" borderId="77" xfId="0" applyFill="1" applyBorder="1"/>
    <xf numFmtId="42" fontId="0" fillId="20" borderId="75" xfId="93" applyFont="1" applyFill="1" applyBorder="1"/>
    <xf numFmtId="42" fontId="0" fillId="8" borderId="75" xfId="93" applyFont="1" applyFill="1" applyBorder="1"/>
    <xf numFmtId="42" fontId="0" fillId="20" borderId="75" xfId="93" applyFont="1" applyFill="1" applyBorder="1" applyAlignment="1">
      <alignment horizontal="center"/>
    </xf>
    <xf numFmtId="42" fontId="0" fillId="25" borderId="75" xfId="93" applyFont="1" applyFill="1" applyBorder="1" applyAlignment="1">
      <alignment horizontal="center"/>
    </xf>
    <xf numFmtId="42" fontId="0" fillId="8" borderId="70" xfId="93" applyFont="1" applyFill="1" applyBorder="1" applyAlignment="1">
      <alignment horizontal="center"/>
    </xf>
    <xf numFmtId="42" fontId="0" fillId="26" borderId="77" xfId="93" applyFont="1" applyFill="1" applyBorder="1"/>
    <xf numFmtId="0" fontId="0" fillId="0" borderId="78" xfId="0" applyBorder="1" applyAlignment="1">
      <alignment horizontal="center"/>
    </xf>
    <xf numFmtId="0" fontId="0" fillId="0" borderId="79" xfId="0" applyBorder="1"/>
    <xf numFmtId="0" fontId="0" fillId="20" borderId="75" xfId="0" applyFill="1" applyBorder="1"/>
    <xf numFmtId="0" fontId="0" fillId="25" borderId="75" xfId="0" applyFill="1" applyBorder="1"/>
    <xf numFmtId="0" fontId="0" fillId="8" borderId="75" xfId="0" applyFill="1" applyBorder="1"/>
    <xf numFmtId="0" fontId="0" fillId="8" borderId="70" xfId="0" applyFill="1" applyBorder="1"/>
    <xf numFmtId="0" fontId="0" fillId="0" borderId="78" xfId="0" applyBorder="1"/>
    <xf numFmtId="0" fontId="0" fillId="26" borderId="80" xfId="0" applyFill="1" applyBorder="1"/>
    <xf numFmtId="0" fontId="68" fillId="0" borderId="0" xfId="0" applyFont="1"/>
    <xf numFmtId="9" fontId="0" fillId="0" borderId="0" xfId="81" applyFont="1"/>
    <xf numFmtId="0" fontId="0" fillId="20" borderId="76" xfId="0" applyFill="1" applyBorder="1"/>
    <xf numFmtId="0" fontId="0" fillId="25" borderId="76" xfId="0" applyFill="1" applyBorder="1"/>
    <xf numFmtId="0" fontId="0" fillId="8" borderId="76" xfId="0" applyFill="1" applyBorder="1"/>
    <xf numFmtId="42" fontId="0" fillId="20" borderId="76" xfId="0" applyNumberFormat="1" applyFill="1" applyBorder="1"/>
    <xf numFmtId="9" fontId="0" fillId="20" borderId="76" xfId="81" applyFont="1" applyFill="1" applyBorder="1" applyAlignment="1">
      <alignment horizontal="center"/>
    </xf>
    <xf numFmtId="42" fontId="0" fillId="25" borderId="76" xfId="0" applyNumberFormat="1" applyFill="1" applyBorder="1"/>
    <xf numFmtId="9" fontId="0" fillId="25" borderId="76" xfId="81" applyFont="1" applyFill="1" applyBorder="1" applyAlignment="1">
      <alignment horizontal="center"/>
    </xf>
    <xf numFmtId="42" fontId="0" fillId="8" borderId="76" xfId="0" applyNumberFormat="1" applyFill="1" applyBorder="1"/>
    <xf numFmtId="9" fontId="0" fillId="8" borderId="76" xfId="81" applyFont="1" applyFill="1" applyBorder="1" applyAlignment="1">
      <alignment horizontal="center"/>
    </xf>
    <xf numFmtId="181" fontId="46" fillId="0" borderId="3" xfId="0" applyNumberFormat="1" applyFont="1" applyBorder="1" applyAlignment="1">
      <alignment horizontal="right" vertical="center"/>
    </xf>
    <xf numFmtId="181" fontId="46" fillId="0" borderId="0" xfId="0" applyNumberFormat="1" applyFont="1" applyAlignment="1">
      <alignment horizontal="right" vertical="center"/>
    </xf>
    <xf numFmtId="181" fontId="46" fillId="0" borderId="11" xfId="0" applyNumberFormat="1" applyFont="1" applyBorder="1" applyAlignment="1">
      <alignment horizontal="right" vertical="center"/>
    </xf>
    <xf numFmtId="0" fontId="31" fillId="6" borderId="7" xfId="0" applyFont="1" applyFill="1" applyBorder="1" applyAlignment="1">
      <alignment horizontal="left" vertical="center"/>
    </xf>
    <xf numFmtId="9" fontId="64" fillId="0" borderId="0" xfId="81" applyFont="1" applyAlignment="1">
      <alignment vertical="center"/>
    </xf>
    <xf numFmtId="0" fontId="64" fillId="0" borderId="3" xfId="0" quotePrefix="1" applyFont="1" applyBorder="1" applyAlignment="1">
      <alignment horizontal="left" vertical="center"/>
    </xf>
    <xf numFmtId="2" fontId="64" fillId="0" borderId="3" xfId="0" applyNumberFormat="1" applyFont="1" applyBorder="1" applyAlignment="1">
      <alignment horizontal="left" vertical="center"/>
    </xf>
    <xf numFmtId="179" fontId="64" fillId="0" borderId="5" xfId="0" applyNumberFormat="1" applyFont="1" applyBorder="1" applyAlignment="1">
      <alignment horizontal="center" vertical="center"/>
    </xf>
    <xf numFmtId="179" fontId="64" fillId="0" borderId="3" xfId="0" quotePrefix="1" applyNumberFormat="1" applyFont="1" applyBorder="1" applyAlignment="1">
      <alignment horizontal="right" vertical="center"/>
    </xf>
    <xf numFmtId="4" fontId="64" fillId="0" borderId="3" xfId="0" quotePrefix="1" applyNumberFormat="1" applyFont="1" applyBorder="1" applyAlignment="1">
      <alignment horizontal="right" vertical="center"/>
    </xf>
    <xf numFmtId="180" fontId="64" fillId="0" borderId="3" xfId="0" quotePrefix="1" applyNumberFormat="1" applyFont="1" applyBorder="1" applyAlignment="1">
      <alignment horizontal="right" vertical="center"/>
    </xf>
    <xf numFmtId="4" fontId="64" fillId="0" borderId="4" xfId="0" applyNumberFormat="1" applyFont="1" applyBorder="1" applyAlignment="1">
      <alignment horizontal="right" vertical="center"/>
    </xf>
    <xf numFmtId="210" fontId="64" fillId="0" borderId="3" xfId="0" applyNumberFormat="1" applyFont="1" applyBorder="1" applyAlignment="1">
      <alignment horizontal="right" vertical="center"/>
    </xf>
    <xf numFmtId="184" fontId="64" fillId="0" borderId="3" xfId="0" applyNumberFormat="1" applyFont="1" applyBorder="1" applyAlignment="1">
      <alignment horizontal="right" vertical="center"/>
    </xf>
    <xf numFmtId="192" fontId="64" fillId="22" borderId="3" xfId="0" applyNumberFormat="1" applyFont="1" applyFill="1" applyBorder="1" applyAlignment="1">
      <alignment horizontal="left" vertical="center"/>
    </xf>
    <xf numFmtId="184" fontId="64" fillId="21" borderId="2" xfId="0" applyNumberFormat="1" applyFont="1" applyFill="1" applyBorder="1" applyAlignment="1">
      <alignment horizontal="right" vertical="center"/>
    </xf>
    <xf numFmtId="42" fontId="72" fillId="0" borderId="0" xfId="93" applyFont="1" applyAlignment="1">
      <alignment horizontal="right" vertical="center"/>
    </xf>
    <xf numFmtId="0" fontId="31" fillId="0" borderId="0" xfId="0" applyFont="1" applyAlignment="1">
      <alignment horizontal="left" vertical="center"/>
    </xf>
    <xf numFmtId="2" fontId="43" fillId="0" borderId="0" xfId="0" applyNumberFormat="1" applyFont="1" applyAlignment="1">
      <alignment horizontal="center"/>
    </xf>
    <xf numFmtId="2" fontId="43" fillId="0" borderId="0" xfId="0" applyNumberFormat="1" applyFont="1"/>
    <xf numFmtId="3" fontId="43" fillId="0" borderId="0" xfId="0" applyNumberFormat="1" applyFont="1"/>
    <xf numFmtId="16" fontId="43" fillId="0" borderId="0" xfId="0" applyNumberFormat="1" applyFont="1"/>
    <xf numFmtId="1" fontId="43" fillId="0" borderId="0" xfId="0" applyNumberFormat="1" applyFont="1"/>
    <xf numFmtId="3" fontId="43" fillId="0" borderId="0" xfId="1" applyNumberFormat="1" applyFont="1" applyAlignment="1">
      <alignment horizontal="right"/>
    </xf>
    <xf numFmtId="0" fontId="43" fillId="0" borderId="11" xfId="0" applyFont="1" applyBorder="1"/>
    <xf numFmtId="1" fontId="43" fillId="0" borderId="11" xfId="0" applyNumberFormat="1" applyFont="1" applyBorder="1"/>
    <xf numFmtId="3" fontId="43" fillId="0" borderId="0" xfId="0" applyNumberFormat="1" applyFont="1" applyAlignment="1">
      <alignment horizontal="center"/>
    </xf>
    <xf numFmtId="4" fontId="43" fillId="0" borderId="0" xfId="0" applyNumberFormat="1" applyFont="1" applyAlignment="1">
      <alignment horizontal="center"/>
    </xf>
    <xf numFmtId="16" fontId="46" fillId="0" borderId="0" xfId="0" applyNumberFormat="1" applyFont="1"/>
    <xf numFmtId="181" fontId="46" fillId="0" borderId="0" xfId="0" applyNumberFormat="1" applyFont="1"/>
    <xf numFmtId="3" fontId="46" fillId="0" borderId="0" xfId="0" applyNumberFormat="1" applyFont="1"/>
    <xf numFmtId="4" fontId="46" fillId="0" borderId="0" xfId="0" applyNumberFormat="1" applyFont="1"/>
    <xf numFmtId="0" fontId="46" fillId="0" borderId="11" xfId="0" applyFont="1" applyBorder="1"/>
    <xf numFmtId="2" fontId="46" fillId="0" borderId="11" xfId="0" applyNumberFormat="1" applyFont="1" applyBorder="1"/>
    <xf numFmtId="1" fontId="46" fillId="0" borderId="11" xfId="0" applyNumberFormat="1" applyFont="1" applyBorder="1"/>
    <xf numFmtId="181" fontId="46" fillId="0" borderId="11" xfId="0" applyNumberFormat="1" applyFont="1" applyBorder="1"/>
    <xf numFmtId="3" fontId="46" fillId="0" borderId="11" xfId="0" applyNumberFormat="1" applyFont="1" applyBorder="1"/>
    <xf numFmtId="4" fontId="46" fillId="0" borderId="11" xfId="0" applyNumberFormat="1" applyFont="1" applyBorder="1"/>
    <xf numFmtId="4" fontId="46" fillId="5" borderId="0" xfId="0" applyNumberFormat="1" applyFont="1" applyFill="1"/>
    <xf numFmtId="3" fontId="46" fillId="5" borderId="0" xfId="0" applyNumberFormat="1" applyFont="1" applyFill="1"/>
    <xf numFmtId="2" fontId="46" fillId="0" borderId="0" xfId="0" applyNumberFormat="1" applyFont="1" applyAlignment="1">
      <alignment horizontal="center"/>
    </xf>
    <xf numFmtId="0" fontId="46" fillId="0" borderId="0" xfId="0" applyFont="1" applyAlignment="1">
      <alignment horizontal="center"/>
    </xf>
    <xf numFmtId="2" fontId="46" fillId="0" borderId="0" xfId="0" applyNumberFormat="1" applyFont="1" applyAlignment="1">
      <alignment horizontal="right"/>
    </xf>
    <xf numFmtId="0" fontId="46" fillId="0" borderId="0" xfId="0" applyFont="1" applyAlignment="1">
      <alignment horizontal="left"/>
    </xf>
    <xf numFmtId="181" fontId="46" fillId="0" borderId="0" xfId="0" applyNumberFormat="1" applyFont="1" applyAlignment="1">
      <alignment horizontal="center"/>
    </xf>
    <xf numFmtId="3" fontId="46" fillId="0" borderId="0" xfId="0" applyNumberFormat="1" applyFont="1" applyAlignment="1">
      <alignment horizontal="right"/>
    </xf>
    <xf numFmtId="181" fontId="46" fillId="0" borderId="11" xfId="0" applyNumberFormat="1" applyFont="1" applyBorder="1" applyAlignment="1">
      <alignment horizontal="center"/>
    </xf>
    <xf numFmtId="2" fontId="46" fillId="0" borderId="11" xfId="0" applyNumberFormat="1" applyFont="1" applyBorder="1" applyAlignment="1">
      <alignment horizontal="right"/>
    </xf>
    <xf numFmtId="179" fontId="46" fillId="0" borderId="0" xfId="0" applyNumberFormat="1" applyFont="1"/>
    <xf numFmtId="179" fontId="46" fillId="0" borderId="11" xfId="0" applyNumberFormat="1" applyFont="1" applyBorder="1"/>
    <xf numFmtId="2" fontId="46" fillId="5" borderId="0" xfId="0" applyNumberFormat="1" applyFont="1" applyFill="1"/>
    <xf numFmtId="1" fontId="46" fillId="5" borderId="0" xfId="0" applyNumberFormat="1" applyFont="1" applyFill="1"/>
    <xf numFmtId="192" fontId="43" fillId="0" borderId="0" xfId="0" applyNumberFormat="1" applyFont="1"/>
    <xf numFmtId="192" fontId="46" fillId="0" borderId="0" xfId="0" applyNumberFormat="1" applyFont="1"/>
    <xf numFmtId="208" fontId="46" fillId="0" borderId="0" xfId="0" applyNumberFormat="1" applyFont="1"/>
    <xf numFmtId="42" fontId="2" fillId="0" borderId="0" xfId="93" applyFont="1"/>
    <xf numFmtId="4" fontId="43" fillId="0" borderId="0" xfId="0" applyNumberFormat="1" applyFont="1" applyAlignment="1">
      <alignment horizontal="center" vertical="center"/>
    </xf>
    <xf numFmtId="180" fontId="43" fillId="0" borderId="0" xfId="0" applyNumberFormat="1" applyFont="1" applyAlignment="1">
      <alignment vertical="center"/>
    </xf>
    <xf numFmtId="42" fontId="31" fillId="0" borderId="0" xfId="93" applyFont="1" applyAlignment="1">
      <alignment horizontal="right" vertical="center"/>
    </xf>
    <xf numFmtId="9" fontId="64" fillId="5" borderId="0" xfId="0" applyNumberFormat="1" applyFont="1" applyFill="1" applyAlignment="1">
      <alignment horizontal="right" vertical="center"/>
    </xf>
    <xf numFmtId="214" fontId="43" fillId="0" borderId="0" xfId="0" applyNumberFormat="1" applyFont="1" applyAlignment="1">
      <alignment vertical="center"/>
    </xf>
    <xf numFmtId="0" fontId="64" fillId="10" borderId="0" xfId="0" applyFont="1" applyFill="1" applyAlignment="1">
      <alignment horizontal="right" vertical="center"/>
    </xf>
    <xf numFmtId="216" fontId="31" fillId="0" borderId="0" xfId="0" applyNumberFormat="1" applyFont="1" applyAlignment="1">
      <alignment horizontal="right" vertical="center"/>
    </xf>
    <xf numFmtId="197" fontId="31" fillId="0" borderId="0" xfId="0" applyNumberFormat="1" applyFont="1" applyAlignment="1">
      <alignment horizontal="right" vertical="center"/>
    </xf>
    <xf numFmtId="4" fontId="64" fillId="0" borderId="0" xfId="0" applyNumberFormat="1" applyFont="1" applyAlignment="1">
      <alignment vertical="center"/>
    </xf>
    <xf numFmtId="197" fontId="64" fillId="0" borderId="0" xfId="0" applyNumberFormat="1" applyFont="1" applyAlignment="1">
      <alignment vertical="center"/>
    </xf>
    <xf numFmtId="192" fontId="31" fillId="0" borderId="1" xfId="0" applyNumberFormat="1" applyFont="1" applyBorder="1" applyAlignment="1">
      <alignment horizontal="right" vertical="center"/>
    </xf>
    <xf numFmtId="195" fontId="31" fillId="0" borderId="7" xfId="0" applyNumberFormat="1" applyFont="1" applyBorder="1" applyAlignment="1">
      <alignment horizontal="right" vertical="center"/>
    </xf>
    <xf numFmtId="2" fontId="43" fillId="0" borderId="0" xfId="0" applyNumberFormat="1" applyFont="1" applyAlignment="1">
      <alignment horizontal="center" vertical="center"/>
    </xf>
    <xf numFmtId="2" fontId="43" fillId="0" borderId="0" xfId="0" applyNumberFormat="1" applyFont="1" applyAlignment="1">
      <alignment horizontal="right" vertical="center"/>
    </xf>
    <xf numFmtId="207" fontId="43" fillId="22" borderId="12" xfId="0" applyNumberFormat="1" applyFont="1" applyFill="1" applyBorder="1" applyAlignment="1">
      <alignment horizontal="right" vertical="center"/>
    </xf>
    <xf numFmtId="207" fontId="64" fillId="22" borderId="9" xfId="0" applyNumberFormat="1" applyFont="1" applyFill="1" applyBorder="1" applyAlignment="1">
      <alignment horizontal="right" vertical="center"/>
    </xf>
    <xf numFmtId="2" fontId="43" fillId="29" borderId="12" xfId="0" applyNumberFormat="1" applyFont="1" applyFill="1" applyBorder="1" applyAlignment="1">
      <alignment horizontal="right" vertical="center"/>
    </xf>
    <xf numFmtId="2" fontId="64" fillId="29" borderId="9" xfId="0" applyNumberFormat="1" applyFont="1" applyFill="1" applyBorder="1" applyAlignment="1">
      <alignment horizontal="right" vertical="center"/>
    </xf>
    <xf numFmtId="2" fontId="64" fillId="0" borderId="10" xfId="0" applyNumberFormat="1" applyFont="1" applyBorder="1" applyAlignment="1">
      <alignment horizontal="right" vertical="center"/>
    </xf>
    <xf numFmtId="181" fontId="64" fillId="0" borderId="10" xfId="0" applyNumberFormat="1" applyFont="1" applyBorder="1" applyAlignment="1">
      <alignment horizontal="right" vertical="center"/>
    </xf>
    <xf numFmtId="4" fontId="64" fillId="0" borderId="10" xfId="0" applyNumberFormat="1" applyFont="1" applyBorder="1" applyAlignment="1">
      <alignment horizontal="right" vertical="center"/>
    </xf>
    <xf numFmtId="2" fontId="43" fillId="0" borderId="9" xfId="0" applyNumberFormat="1" applyFont="1" applyBorder="1" applyAlignment="1">
      <alignment horizontal="right" vertical="center"/>
    </xf>
    <xf numFmtId="178" fontId="64" fillId="0" borderId="10" xfId="0" applyNumberFormat="1" applyFont="1" applyBorder="1" applyAlignment="1">
      <alignment horizontal="right" vertical="center"/>
    </xf>
    <xf numFmtId="181" fontId="64" fillId="0" borderId="10" xfId="0" applyNumberFormat="1" applyFont="1" applyBorder="1" applyAlignment="1">
      <alignment vertical="center"/>
    </xf>
    <xf numFmtId="181" fontId="43" fillId="0" borderId="9" xfId="0" applyNumberFormat="1" applyFont="1" applyBorder="1" applyAlignment="1">
      <alignment horizontal="right" vertical="center"/>
    </xf>
    <xf numFmtId="180" fontId="64" fillId="0" borderId="10" xfId="0" applyNumberFormat="1" applyFont="1" applyBorder="1" applyAlignment="1">
      <alignment horizontal="right" vertical="center"/>
    </xf>
    <xf numFmtId="0" fontId="43" fillId="0" borderId="10" xfId="0" applyFont="1" applyBorder="1" applyAlignment="1">
      <alignment vertical="center"/>
    </xf>
    <xf numFmtId="0" fontId="64" fillId="0" borderId="10" xfId="0" applyFont="1" applyBorder="1" applyAlignment="1">
      <alignment vertical="center"/>
    </xf>
    <xf numFmtId="0" fontId="64" fillId="0" borderId="10" xfId="0" applyFont="1" applyBorder="1" applyAlignment="1">
      <alignment horizontal="left" vertical="center"/>
    </xf>
    <xf numFmtId="207" fontId="43" fillId="22" borderId="7" xfId="0" applyNumberFormat="1" applyFont="1" applyFill="1" applyBorder="1" applyAlignment="1">
      <alignment horizontal="right" vertical="center"/>
    </xf>
    <xf numFmtId="207" fontId="64" fillId="22" borderId="6" xfId="0" applyNumberFormat="1" applyFont="1" applyFill="1" applyBorder="1" applyAlignment="1">
      <alignment horizontal="right" vertical="center"/>
    </xf>
    <xf numFmtId="2" fontId="43" fillId="29" borderId="7" xfId="0" applyNumberFormat="1" applyFont="1" applyFill="1" applyBorder="1" applyAlignment="1">
      <alignment horizontal="right" vertical="center"/>
    </xf>
    <xf numFmtId="2" fontId="64" fillId="29" borderId="6" xfId="0" applyNumberFormat="1" applyFont="1" applyFill="1" applyBorder="1" applyAlignment="1">
      <alignment horizontal="right" vertical="center"/>
    </xf>
    <xf numFmtId="2" fontId="64" fillId="0" borderId="8" xfId="0" applyNumberFormat="1" applyFont="1" applyBorder="1" applyAlignment="1">
      <alignment horizontal="right" vertical="center"/>
    </xf>
    <xf numFmtId="181" fontId="64" fillId="0" borderId="8" xfId="0" applyNumberFormat="1" applyFont="1" applyBorder="1" applyAlignment="1">
      <alignment horizontal="right" vertical="center"/>
    </xf>
    <xf numFmtId="4" fontId="64" fillId="0" borderId="8" xfId="0" applyNumberFormat="1" applyFont="1" applyBorder="1" applyAlignment="1">
      <alignment horizontal="right" vertical="center"/>
    </xf>
    <xf numFmtId="2" fontId="43" fillId="0" borderId="6" xfId="0" applyNumberFormat="1" applyFont="1" applyBorder="1" applyAlignment="1">
      <alignment horizontal="right" vertical="center"/>
    </xf>
    <xf numFmtId="178" fontId="64" fillId="0" borderId="8" xfId="0" applyNumberFormat="1" applyFont="1" applyBorder="1" applyAlignment="1">
      <alignment horizontal="right" vertical="center"/>
    </xf>
    <xf numFmtId="181" fontId="64" fillId="0" borderId="8" xfId="0" applyNumberFormat="1" applyFont="1" applyBorder="1" applyAlignment="1">
      <alignment vertical="center"/>
    </xf>
    <xf numFmtId="181" fontId="43" fillId="0" borderId="6" xfId="0" applyNumberFormat="1" applyFont="1" applyBorder="1" applyAlignment="1">
      <alignment horizontal="right" vertical="center"/>
    </xf>
    <xf numFmtId="180" fontId="64" fillId="0" borderId="8" xfId="0" applyNumberFormat="1" applyFont="1" applyBorder="1" applyAlignment="1">
      <alignment horizontal="right" vertical="center"/>
    </xf>
    <xf numFmtId="0" fontId="43" fillId="0" borderId="8" xfId="0" applyFont="1" applyBorder="1" applyAlignment="1">
      <alignment vertical="center"/>
    </xf>
    <xf numFmtId="0" fontId="64" fillId="0" borderId="8" xfId="0" applyFont="1" applyBorder="1" applyAlignment="1">
      <alignment vertical="center"/>
    </xf>
    <xf numFmtId="207" fontId="43" fillId="22" borderId="4" xfId="0" applyNumberFormat="1" applyFont="1" applyFill="1" applyBorder="1" applyAlignment="1">
      <alignment horizontal="right" vertical="center"/>
    </xf>
    <xf numFmtId="207" fontId="64" fillId="22" borderId="2" xfId="0" applyNumberFormat="1" applyFont="1" applyFill="1" applyBorder="1" applyAlignment="1">
      <alignment horizontal="right" vertical="center"/>
    </xf>
    <xf numFmtId="2" fontId="43" fillId="29" borderId="4" xfId="0" applyNumberFormat="1" applyFont="1" applyFill="1" applyBorder="1" applyAlignment="1">
      <alignment horizontal="right" vertical="center"/>
    </xf>
    <xf numFmtId="2" fontId="64" fillId="29" borderId="2" xfId="0" applyNumberFormat="1" applyFont="1" applyFill="1" applyBorder="1" applyAlignment="1">
      <alignment horizontal="right" vertical="center"/>
    </xf>
    <xf numFmtId="2" fontId="64" fillId="0" borderId="5" xfId="0" applyNumberFormat="1" applyFont="1" applyBorder="1" applyAlignment="1">
      <alignment horizontal="right" vertical="center"/>
    </xf>
    <xf numFmtId="181" fontId="64" fillId="0" borderId="5" xfId="0" applyNumberFormat="1" applyFont="1" applyBorder="1" applyAlignment="1">
      <alignment horizontal="right" vertical="center"/>
    </xf>
    <xf numFmtId="4" fontId="64" fillId="0" borderId="5" xfId="0" applyNumberFormat="1" applyFont="1" applyBorder="1" applyAlignment="1">
      <alignment horizontal="right" vertical="center"/>
    </xf>
    <xf numFmtId="2" fontId="43" fillId="0" borderId="2" xfId="0" applyNumberFormat="1" applyFont="1" applyBorder="1" applyAlignment="1">
      <alignment horizontal="right" vertical="center"/>
    </xf>
    <xf numFmtId="178" fontId="64" fillId="0" borderId="5" xfId="0" applyNumberFormat="1" applyFont="1" applyBorder="1" applyAlignment="1">
      <alignment horizontal="right" vertical="center"/>
    </xf>
    <xf numFmtId="181" fontId="64" fillId="0" borderId="5" xfId="0" applyNumberFormat="1" applyFont="1" applyBorder="1" applyAlignment="1">
      <alignment vertical="center"/>
    </xf>
    <xf numFmtId="181" fontId="43" fillId="0" borderId="2" xfId="0" applyNumberFormat="1" applyFont="1" applyBorder="1" applyAlignment="1">
      <alignment horizontal="right" vertical="center"/>
    </xf>
    <xf numFmtId="180" fontId="64" fillId="0" borderId="5" xfId="0" applyNumberFormat="1" applyFont="1" applyBorder="1" applyAlignment="1">
      <alignment horizontal="right" vertical="center"/>
    </xf>
    <xf numFmtId="0" fontId="43" fillId="0" borderId="5" xfId="0" applyFont="1" applyBorder="1" applyAlignment="1">
      <alignment vertical="center"/>
    </xf>
    <xf numFmtId="0" fontId="64" fillId="0" borderId="5" xfId="0" applyFont="1" applyBorder="1" applyAlignment="1">
      <alignment vertical="center"/>
    </xf>
    <xf numFmtId="0" fontId="64" fillId="0" borderId="5" xfId="0" applyFont="1" applyBorder="1" applyAlignment="1">
      <alignment horizontal="left" vertical="center"/>
    </xf>
    <xf numFmtId="1" fontId="64" fillId="0" borderId="10" xfId="0" applyNumberFormat="1" applyFont="1" applyBorder="1" applyAlignment="1">
      <alignment vertical="center"/>
    </xf>
    <xf numFmtId="181" fontId="43" fillId="0" borderId="10" xfId="0" applyNumberFormat="1" applyFont="1" applyBorder="1" applyAlignment="1">
      <alignment vertical="center"/>
    </xf>
    <xf numFmtId="1" fontId="64" fillId="0" borderId="8" xfId="0" applyNumberFormat="1" applyFont="1" applyBorder="1" applyAlignment="1">
      <alignment vertical="center"/>
    </xf>
    <xf numFmtId="0" fontId="43" fillId="0" borderId="6" xfId="0" applyFont="1" applyBorder="1" applyAlignment="1">
      <alignment horizontal="right" vertical="center"/>
    </xf>
    <xf numFmtId="180" fontId="43" fillId="0" borderId="6" xfId="0" applyNumberFormat="1" applyFont="1" applyBorder="1" applyAlignment="1">
      <alignment horizontal="right" vertical="center"/>
    </xf>
    <xf numFmtId="1" fontId="64" fillId="0" borderId="5" xfId="0" applyNumberFormat="1" applyFont="1" applyBorder="1" applyAlignment="1">
      <alignment vertical="center"/>
    </xf>
    <xf numFmtId="4" fontId="31" fillId="9" borderId="1" xfId="0" applyNumberFormat="1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184" fontId="31" fillId="9" borderId="1" xfId="0" applyNumberFormat="1" applyFont="1" applyFill="1" applyBorder="1" applyAlignment="1">
      <alignment horizontal="center" vertical="center"/>
    </xf>
    <xf numFmtId="0" fontId="44" fillId="9" borderId="1" xfId="0" applyFont="1" applyFill="1" applyBorder="1" applyAlignment="1">
      <alignment horizontal="center" vertical="center"/>
    </xf>
    <xf numFmtId="0" fontId="70" fillId="9" borderId="13" xfId="0" applyFont="1" applyFill="1" applyBorder="1" applyAlignment="1">
      <alignment horizontal="center" vertical="center"/>
    </xf>
    <xf numFmtId="180" fontId="31" fillId="9" borderId="1" xfId="0" applyNumberFormat="1" applyFont="1" applyFill="1" applyBorder="1" applyAlignment="1">
      <alignment horizontal="center" vertical="center"/>
    </xf>
    <xf numFmtId="3" fontId="43" fillId="9" borderId="1" xfId="0" applyNumberFormat="1" applyFont="1" applyFill="1" applyBorder="1" applyAlignment="1">
      <alignment horizontal="left" vertical="center"/>
    </xf>
    <xf numFmtId="3" fontId="43" fillId="9" borderId="1" xfId="0" applyNumberFormat="1" applyFont="1" applyFill="1" applyBorder="1" applyAlignment="1">
      <alignment horizontal="right" vertical="center"/>
    </xf>
    <xf numFmtId="3" fontId="72" fillId="9" borderId="13" xfId="0" applyNumberFormat="1" applyFont="1" applyFill="1" applyBorder="1" applyAlignment="1">
      <alignment horizontal="center" vertical="center"/>
    </xf>
    <xf numFmtId="0" fontId="46" fillId="9" borderId="1" xfId="0" applyFont="1" applyFill="1" applyBorder="1" applyAlignment="1">
      <alignment vertical="center"/>
    </xf>
    <xf numFmtId="0" fontId="72" fillId="9" borderId="1" xfId="0" quotePrefix="1" applyFont="1" applyFill="1" applyBorder="1" applyAlignment="1">
      <alignment horizontal="center" vertical="center"/>
    </xf>
    <xf numFmtId="2" fontId="72" fillId="9" borderId="1" xfId="0" quotePrefix="1" applyNumberFormat="1" applyFont="1" applyFill="1" applyBorder="1" applyAlignment="1">
      <alignment horizontal="center" vertical="center"/>
    </xf>
    <xf numFmtId="3" fontId="72" fillId="9" borderId="8" xfId="0" applyNumberFormat="1" applyFont="1" applyFill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/>
    </xf>
    <xf numFmtId="3" fontId="72" fillId="9" borderId="1" xfId="0" applyNumberFormat="1" applyFont="1" applyFill="1" applyBorder="1" applyAlignment="1">
      <alignment horizontal="center" vertical="center"/>
    </xf>
    <xf numFmtId="3" fontId="71" fillId="9" borderId="1" xfId="0" applyNumberFormat="1" applyFont="1" applyFill="1" applyBorder="1" applyAlignment="1">
      <alignment horizontal="center" vertical="center"/>
    </xf>
    <xf numFmtId="0" fontId="69" fillId="9" borderId="12" xfId="0" applyFont="1" applyFill="1" applyBorder="1" applyAlignment="1">
      <alignment horizontal="left" vertical="center"/>
    </xf>
    <xf numFmtId="2" fontId="43" fillId="0" borderId="0" xfId="81" applyNumberFormat="1" applyFont="1" applyAlignment="1">
      <alignment horizontal="center" vertical="center"/>
    </xf>
    <xf numFmtId="192" fontId="46" fillId="9" borderId="1" xfId="0" applyNumberFormat="1" applyFont="1" applyFill="1" applyBorder="1" applyAlignment="1">
      <alignment horizontal="right" vertical="center"/>
    </xf>
    <xf numFmtId="195" fontId="69" fillId="9" borderId="0" xfId="0" applyNumberFormat="1" applyFont="1" applyFill="1" applyAlignment="1">
      <alignment horizontal="right" vertical="center"/>
    </xf>
    <xf numFmtId="197" fontId="69" fillId="9" borderId="0" xfId="0" applyNumberFormat="1" applyFont="1" applyFill="1" applyAlignment="1">
      <alignment horizontal="right" vertical="center"/>
    </xf>
    <xf numFmtId="197" fontId="46" fillId="9" borderId="0" xfId="0" applyNumberFormat="1" applyFont="1" applyFill="1" applyAlignment="1">
      <alignment horizontal="center" vertical="center"/>
    </xf>
    <xf numFmtId="2" fontId="46" fillId="9" borderId="0" xfId="0" applyNumberFormat="1" applyFont="1" applyFill="1" applyAlignment="1">
      <alignment horizontal="center" vertical="center"/>
    </xf>
    <xf numFmtId="206" fontId="46" fillId="9" borderId="0" xfId="0" applyNumberFormat="1" applyFont="1" applyFill="1" applyAlignment="1">
      <alignment horizontal="center" vertical="center"/>
    </xf>
    <xf numFmtId="3" fontId="46" fillId="9" borderId="0" xfId="0" applyNumberFormat="1" applyFont="1" applyFill="1" applyAlignment="1">
      <alignment horizontal="center" vertical="center"/>
    </xf>
    <xf numFmtId="0" fontId="69" fillId="9" borderId="0" xfId="0" applyFont="1" applyFill="1" applyAlignment="1">
      <alignment horizontal="left" vertical="center"/>
    </xf>
    <xf numFmtId="192" fontId="46" fillId="9" borderId="0" xfId="0" applyNumberFormat="1" applyFont="1" applyFill="1" applyAlignment="1">
      <alignment horizontal="center" vertical="center"/>
    </xf>
    <xf numFmtId="0" fontId="46" fillId="9" borderId="0" xfId="0" applyFont="1" applyFill="1" applyAlignment="1">
      <alignment vertical="center"/>
    </xf>
    <xf numFmtId="0" fontId="46" fillId="9" borderId="0" xfId="0" applyFont="1" applyFill="1" applyAlignment="1">
      <alignment horizontal="left" vertical="center"/>
    </xf>
    <xf numFmtId="41" fontId="43" fillId="0" borderId="0" xfId="92" applyFont="1" applyAlignment="1">
      <alignment horizontal="center" vertical="center"/>
    </xf>
    <xf numFmtId="39" fontId="43" fillId="0" borderId="0" xfId="0" applyNumberFormat="1" applyFont="1" applyAlignment="1">
      <alignment horizontal="center" vertical="center"/>
    </xf>
    <xf numFmtId="203" fontId="64" fillId="0" borderId="3" xfId="0" applyNumberFormat="1" applyFont="1" applyBorder="1" applyAlignment="1">
      <alignment horizontal="right" vertical="center"/>
    </xf>
    <xf numFmtId="192" fontId="43" fillId="22" borderId="12" xfId="0" applyNumberFormat="1" applyFont="1" applyFill="1" applyBorder="1" applyAlignment="1">
      <alignment horizontal="right" vertical="center"/>
    </xf>
    <xf numFmtId="192" fontId="43" fillId="22" borderId="9" xfId="0" applyNumberFormat="1" applyFont="1" applyFill="1" applyBorder="1" applyAlignment="1">
      <alignment horizontal="right" vertical="center"/>
    </xf>
    <xf numFmtId="2" fontId="43" fillId="29" borderId="12" xfId="0" applyNumberFormat="1" applyFont="1" applyFill="1" applyBorder="1" applyAlignment="1">
      <alignment vertical="center"/>
    </xf>
    <xf numFmtId="2" fontId="64" fillId="29" borderId="9" xfId="0" applyNumberFormat="1" applyFont="1" applyFill="1" applyBorder="1" applyAlignment="1">
      <alignment vertical="center"/>
    </xf>
    <xf numFmtId="2" fontId="43" fillId="0" borderId="10" xfId="0" applyNumberFormat="1" applyFont="1" applyBorder="1" applyAlignment="1">
      <alignment vertical="center"/>
    </xf>
    <xf numFmtId="4" fontId="43" fillId="0" borderId="9" xfId="0" applyNumberFormat="1" applyFont="1" applyBorder="1" applyAlignment="1">
      <alignment horizontal="right" vertical="center"/>
    </xf>
    <xf numFmtId="2" fontId="43" fillId="0" borderId="10" xfId="0" applyNumberFormat="1" applyFont="1" applyBorder="1" applyAlignment="1">
      <alignment horizontal="right" vertical="center"/>
    </xf>
    <xf numFmtId="180" fontId="64" fillId="0" borderId="10" xfId="0" quotePrefix="1" applyNumberFormat="1" applyFont="1" applyBorder="1" applyAlignment="1">
      <alignment horizontal="right" vertical="center"/>
    </xf>
    <xf numFmtId="3" fontId="43" fillId="0" borderId="9" xfId="0" applyNumberFormat="1" applyFont="1" applyBorder="1" applyAlignment="1">
      <alignment horizontal="right" vertical="center"/>
    </xf>
    <xf numFmtId="3" fontId="64" fillId="0" borderId="10" xfId="0" applyNumberFormat="1" applyFont="1" applyBorder="1" applyAlignment="1">
      <alignment horizontal="left" vertical="center"/>
    </xf>
    <xf numFmtId="192" fontId="43" fillId="22" borderId="7" xfId="0" applyNumberFormat="1" applyFont="1" applyFill="1" applyBorder="1" applyAlignment="1">
      <alignment horizontal="right" vertical="center"/>
    </xf>
    <xf numFmtId="192" fontId="43" fillId="22" borderId="6" xfId="0" applyNumberFormat="1" applyFont="1" applyFill="1" applyBorder="1" applyAlignment="1">
      <alignment horizontal="right" vertical="center"/>
    </xf>
    <xf numFmtId="2" fontId="43" fillId="29" borderId="7" xfId="0" applyNumberFormat="1" applyFont="1" applyFill="1" applyBorder="1" applyAlignment="1">
      <alignment vertical="center"/>
    </xf>
    <xf numFmtId="2" fontId="64" fillId="29" borderId="6" xfId="0" applyNumberFormat="1" applyFont="1" applyFill="1" applyBorder="1" applyAlignment="1">
      <alignment vertical="center"/>
    </xf>
    <xf numFmtId="2" fontId="43" fillId="0" borderId="8" xfId="0" applyNumberFormat="1" applyFont="1" applyBorder="1" applyAlignment="1">
      <alignment vertical="center"/>
    </xf>
    <xf numFmtId="4" fontId="43" fillId="0" borderId="6" xfId="0" applyNumberFormat="1" applyFont="1" applyBorder="1" applyAlignment="1">
      <alignment horizontal="right" vertical="center"/>
    </xf>
    <xf numFmtId="181" fontId="43" fillId="0" borderId="8" xfId="0" applyNumberFormat="1" applyFont="1" applyBorder="1" applyAlignment="1">
      <alignment vertical="center"/>
    </xf>
    <xf numFmtId="180" fontId="64" fillId="0" borderId="8" xfId="0" quotePrefix="1" applyNumberFormat="1" applyFont="1" applyBorder="1" applyAlignment="1">
      <alignment horizontal="right" vertical="center"/>
    </xf>
    <xf numFmtId="3" fontId="43" fillId="0" borderId="6" xfId="0" applyNumberFormat="1" applyFont="1" applyBorder="1" applyAlignment="1">
      <alignment horizontal="right" vertical="center"/>
    </xf>
    <xf numFmtId="192" fontId="43" fillId="22" borderId="4" xfId="0" applyNumberFormat="1" applyFont="1" applyFill="1" applyBorder="1" applyAlignment="1">
      <alignment horizontal="right" vertical="center"/>
    </xf>
    <xf numFmtId="192" fontId="43" fillId="22" borderId="2" xfId="0" applyNumberFormat="1" applyFont="1" applyFill="1" applyBorder="1" applyAlignment="1">
      <alignment horizontal="right" vertical="center"/>
    </xf>
    <xf numFmtId="2" fontId="43" fillId="29" borderId="4" xfId="0" applyNumberFormat="1" applyFont="1" applyFill="1" applyBorder="1" applyAlignment="1">
      <alignment vertical="center"/>
    </xf>
    <xf numFmtId="2" fontId="64" fillId="29" borderId="2" xfId="0" applyNumberFormat="1" applyFont="1" applyFill="1" applyBorder="1" applyAlignment="1">
      <alignment vertical="center"/>
    </xf>
    <xf numFmtId="2" fontId="43" fillId="0" borderId="5" xfId="0" applyNumberFormat="1" applyFont="1" applyBorder="1" applyAlignment="1">
      <alignment vertical="center"/>
    </xf>
    <xf numFmtId="4" fontId="43" fillId="0" borderId="2" xfId="0" applyNumberFormat="1" applyFont="1" applyBorder="1" applyAlignment="1">
      <alignment horizontal="right" vertical="center"/>
    </xf>
    <xf numFmtId="181" fontId="43" fillId="0" borderId="5" xfId="0" applyNumberFormat="1" applyFont="1" applyBorder="1" applyAlignment="1">
      <alignment vertical="center"/>
    </xf>
    <xf numFmtId="180" fontId="64" fillId="0" borderId="5" xfId="0" quotePrefix="1" applyNumberFormat="1" applyFont="1" applyBorder="1" applyAlignment="1">
      <alignment horizontal="right" vertical="center"/>
    </xf>
    <xf numFmtId="3" fontId="43" fillId="0" borderId="2" xfId="0" applyNumberFormat="1" applyFont="1" applyBorder="1" applyAlignment="1">
      <alignment horizontal="right" vertical="center"/>
    </xf>
    <xf numFmtId="208" fontId="43" fillId="22" borderId="4" xfId="0" applyNumberFormat="1" applyFont="1" applyFill="1" applyBorder="1" applyAlignment="1">
      <alignment horizontal="right" vertical="center"/>
    </xf>
    <xf numFmtId="3" fontId="71" fillId="9" borderId="12" xfId="0" applyNumberFormat="1" applyFont="1" applyFill="1" applyBorder="1" applyAlignment="1">
      <alignment horizontal="center" vertical="center"/>
    </xf>
    <xf numFmtId="3" fontId="71" fillId="9" borderId="11" xfId="0" applyNumberFormat="1" applyFont="1" applyFill="1" applyBorder="1" applyAlignment="1">
      <alignment horizontal="center" vertical="center"/>
    </xf>
    <xf numFmtId="0" fontId="69" fillId="9" borderId="11" xfId="0" applyFont="1" applyFill="1" applyBorder="1" applyAlignment="1">
      <alignment horizontal="center" vertical="center"/>
    </xf>
    <xf numFmtId="0" fontId="69" fillId="9" borderId="9" xfId="0" applyFont="1" applyFill="1" applyBorder="1" applyAlignment="1">
      <alignment horizontal="center" vertical="center"/>
    </xf>
    <xf numFmtId="3" fontId="46" fillId="9" borderId="9" xfId="0" applyNumberFormat="1" applyFont="1" applyFill="1" applyBorder="1" applyAlignment="1">
      <alignment horizontal="center" vertical="center"/>
    </xf>
    <xf numFmtId="192" fontId="46" fillId="9" borderId="9" xfId="0" applyNumberFormat="1" applyFont="1" applyFill="1" applyBorder="1" applyAlignment="1">
      <alignment horizontal="right" vertical="center"/>
    </xf>
    <xf numFmtId="3" fontId="46" fillId="9" borderId="11" xfId="0" applyNumberFormat="1" applyFont="1" applyFill="1" applyBorder="1" applyAlignment="1">
      <alignment horizontal="right" vertical="center"/>
    </xf>
    <xf numFmtId="3" fontId="46" fillId="9" borderId="11" xfId="0" applyNumberFormat="1" applyFont="1" applyFill="1" applyBorder="1" applyAlignment="1">
      <alignment horizontal="center" vertical="center"/>
    </xf>
    <xf numFmtId="195" fontId="46" fillId="9" borderId="11" xfId="0" applyNumberFormat="1" applyFont="1" applyFill="1" applyBorder="1" applyAlignment="1">
      <alignment horizontal="center" vertical="center"/>
    </xf>
    <xf numFmtId="2" fontId="46" fillId="9" borderId="11" xfId="0" applyNumberFormat="1" applyFont="1" applyFill="1" applyBorder="1" applyAlignment="1">
      <alignment horizontal="center" vertical="center"/>
    </xf>
    <xf numFmtId="192" fontId="64" fillId="9" borderId="9" xfId="0" applyNumberFormat="1" applyFont="1" applyFill="1" applyBorder="1" applyAlignment="1">
      <alignment horizontal="right" vertical="center"/>
    </xf>
    <xf numFmtId="2" fontId="64" fillId="9" borderId="10" xfId="0" applyNumberFormat="1" applyFont="1" applyFill="1" applyBorder="1" applyAlignment="1">
      <alignment horizontal="center" vertical="center"/>
    </xf>
    <xf numFmtId="3" fontId="43" fillId="9" borderId="10" xfId="0" applyNumberFormat="1" applyFont="1" applyFill="1" applyBorder="1" applyAlignment="1">
      <alignment vertical="center"/>
    </xf>
    <xf numFmtId="2" fontId="43" fillId="9" borderId="10" xfId="0" applyNumberFormat="1" applyFont="1" applyFill="1" applyBorder="1" applyAlignment="1">
      <alignment horizontal="center" vertical="center"/>
    </xf>
    <xf numFmtId="0" fontId="43" fillId="9" borderId="10" xfId="0" applyFont="1" applyFill="1" applyBorder="1" applyAlignment="1">
      <alignment horizontal="left" vertical="center"/>
    </xf>
    <xf numFmtId="3" fontId="46" fillId="9" borderId="6" xfId="0" applyNumberFormat="1" applyFont="1" applyFill="1" applyBorder="1" applyAlignment="1">
      <alignment horizontal="center" vertical="center"/>
    </xf>
    <xf numFmtId="192" fontId="46" fillId="9" borderId="6" xfId="0" applyNumberFormat="1" applyFont="1" applyFill="1" applyBorder="1" applyAlignment="1">
      <alignment horizontal="right" vertical="center"/>
    </xf>
    <xf numFmtId="195" fontId="46" fillId="9" borderId="0" xfId="0" applyNumberFormat="1" applyFont="1" applyFill="1" applyAlignment="1">
      <alignment horizontal="center" vertical="center"/>
    </xf>
    <xf numFmtId="192" fontId="64" fillId="9" borderId="6" xfId="0" applyNumberFormat="1" applyFont="1" applyFill="1" applyBorder="1" applyAlignment="1">
      <alignment horizontal="right" vertical="center"/>
    </xf>
    <xf numFmtId="2" fontId="64" fillId="9" borderId="8" xfId="0" applyNumberFormat="1" applyFont="1" applyFill="1" applyBorder="1" applyAlignment="1">
      <alignment horizontal="center" vertical="center"/>
    </xf>
    <xf numFmtId="3" fontId="43" fillId="9" borderId="8" xfId="0" applyNumberFormat="1" applyFont="1" applyFill="1" applyBorder="1" applyAlignment="1">
      <alignment vertical="center"/>
    </xf>
    <xf numFmtId="2" fontId="43" fillId="9" borderId="8" xfId="0" applyNumberFormat="1" applyFont="1" applyFill="1" applyBorder="1" applyAlignment="1">
      <alignment horizontal="center" vertical="center"/>
    </xf>
    <xf numFmtId="0" fontId="43" fillId="9" borderId="8" xfId="0" applyFont="1" applyFill="1" applyBorder="1" applyAlignment="1">
      <alignment horizontal="left" vertical="center"/>
    </xf>
    <xf numFmtId="3" fontId="46" fillId="9" borderId="2" xfId="0" applyNumberFormat="1" applyFont="1" applyFill="1" applyBorder="1" applyAlignment="1">
      <alignment horizontal="center" vertical="center"/>
    </xf>
    <xf numFmtId="192" fontId="46" fillId="9" borderId="2" xfId="0" applyNumberFormat="1" applyFont="1" applyFill="1" applyBorder="1" applyAlignment="1">
      <alignment horizontal="right" vertical="center"/>
    </xf>
    <xf numFmtId="3" fontId="46" fillId="9" borderId="3" xfId="0" applyNumberFormat="1" applyFont="1" applyFill="1" applyBorder="1" applyAlignment="1">
      <alignment horizontal="center" vertical="center"/>
    </xf>
    <xf numFmtId="195" fontId="46" fillId="9" borderId="3" xfId="0" applyNumberFormat="1" applyFont="1" applyFill="1" applyBorder="1" applyAlignment="1">
      <alignment horizontal="center" vertical="center"/>
    </xf>
    <xf numFmtId="2" fontId="46" fillId="9" borderId="3" xfId="0" applyNumberFormat="1" applyFont="1" applyFill="1" applyBorder="1" applyAlignment="1">
      <alignment horizontal="center" vertical="center"/>
    </xf>
    <xf numFmtId="192" fontId="64" fillId="9" borderId="2" xfId="0" applyNumberFormat="1" applyFont="1" applyFill="1" applyBorder="1" applyAlignment="1">
      <alignment horizontal="right" vertical="center"/>
    </xf>
    <xf numFmtId="2" fontId="64" fillId="9" borderId="5" xfId="0" applyNumberFormat="1" applyFont="1" applyFill="1" applyBorder="1" applyAlignment="1">
      <alignment horizontal="center" vertical="center"/>
    </xf>
    <xf numFmtId="3" fontId="43" fillId="9" borderId="5" xfId="0" applyNumberFormat="1" applyFont="1" applyFill="1" applyBorder="1" applyAlignment="1">
      <alignment vertical="center"/>
    </xf>
    <xf numFmtId="2" fontId="43" fillId="9" borderId="5" xfId="0" applyNumberFormat="1" applyFont="1" applyFill="1" applyBorder="1" applyAlignment="1">
      <alignment horizontal="center" vertical="center"/>
    </xf>
    <xf numFmtId="0" fontId="43" fillId="9" borderId="5" xfId="0" applyFont="1" applyFill="1" applyBorder="1" applyAlignment="1">
      <alignment horizontal="left" vertical="center"/>
    </xf>
    <xf numFmtId="4" fontId="46" fillId="9" borderId="0" xfId="0" applyNumberFormat="1" applyFont="1" applyFill="1" applyAlignment="1">
      <alignment vertical="center"/>
    </xf>
    <xf numFmtId="37" fontId="46" fillId="9" borderId="0" xfId="0" applyNumberFormat="1" applyFont="1" applyFill="1" applyAlignment="1">
      <alignment horizontal="right" vertical="center"/>
    </xf>
    <xf numFmtId="179" fontId="43" fillId="9" borderId="8" xfId="0" applyNumberFormat="1" applyFont="1" applyFill="1" applyBorder="1" applyAlignment="1">
      <alignment horizontal="center" vertical="center"/>
    </xf>
    <xf numFmtId="4" fontId="46" fillId="9" borderId="3" xfId="0" applyNumberFormat="1" applyFont="1" applyFill="1" applyBorder="1" applyAlignment="1">
      <alignment vertical="center"/>
    </xf>
    <xf numFmtId="179" fontId="43" fillId="9" borderId="5" xfId="0" applyNumberFormat="1" applyFont="1" applyFill="1" applyBorder="1" applyAlignment="1">
      <alignment horizontal="center" vertical="center"/>
    </xf>
    <xf numFmtId="2" fontId="46" fillId="9" borderId="11" xfId="0" applyNumberFormat="1" applyFont="1" applyFill="1" applyBorder="1" applyAlignment="1">
      <alignment horizontal="right" vertical="center"/>
    </xf>
    <xf numFmtId="179" fontId="64" fillId="9" borderId="10" xfId="0" applyNumberFormat="1" applyFont="1" applyFill="1" applyBorder="1" applyAlignment="1">
      <alignment horizontal="center" vertical="center"/>
    </xf>
    <xf numFmtId="179" fontId="43" fillId="9" borderId="10" xfId="0" applyNumberFormat="1" applyFont="1" applyFill="1" applyBorder="1" applyAlignment="1">
      <alignment horizontal="center" vertical="center"/>
    </xf>
    <xf numFmtId="195" fontId="46" fillId="9" borderId="0" xfId="0" applyNumberFormat="1" applyFont="1" applyFill="1" applyAlignment="1">
      <alignment vertical="center"/>
    </xf>
    <xf numFmtId="179" fontId="64" fillId="9" borderId="8" xfId="0" applyNumberFormat="1" applyFont="1" applyFill="1" applyBorder="1" applyAlignment="1">
      <alignment horizontal="center" vertical="center"/>
    </xf>
    <xf numFmtId="3" fontId="46" fillId="9" borderId="8" xfId="0" applyNumberFormat="1" applyFont="1" applyFill="1" applyBorder="1" applyAlignment="1">
      <alignment vertical="center"/>
    </xf>
    <xf numFmtId="179" fontId="46" fillId="9" borderId="8" xfId="0" applyNumberFormat="1" applyFont="1" applyFill="1" applyBorder="1" applyAlignment="1">
      <alignment horizontal="center" vertical="center"/>
    </xf>
    <xf numFmtId="0" fontId="46" fillId="9" borderId="8" xfId="0" quotePrefix="1" applyFont="1" applyFill="1" applyBorder="1" applyAlignment="1">
      <alignment horizontal="left" vertical="center"/>
    </xf>
    <xf numFmtId="0" fontId="46" fillId="9" borderId="8" xfId="0" applyFont="1" applyFill="1" applyBorder="1" applyAlignment="1">
      <alignment horizontal="left" vertical="center"/>
    </xf>
    <xf numFmtId="2" fontId="46" fillId="9" borderId="3" xfId="0" applyNumberFormat="1" applyFont="1" applyFill="1" applyBorder="1" applyAlignment="1">
      <alignment horizontal="right" vertical="center"/>
    </xf>
    <xf numFmtId="37" fontId="64" fillId="9" borderId="2" xfId="0" applyNumberFormat="1" applyFont="1" applyFill="1" applyBorder="1" applyAlignment="1">
      <alignment horizontal="right" vertical="center"/>
    </xf>
    <xf numFmtId="37" fontId="64" fillId="9" borderId="5" xfId="0" applyNumberFormat="1" applyFont="1" applyFill="1" applyBorder="1" applyAlignment="1">
      <alignment horizontal="right" vertical="center"/>
    </xf>
    <xf numFmtId="39" fontId="64" fillId="9" borderId="2" xfId="0" applyNumberFormat="1" applyFont="1" applyFill="1" applyBorder="1" applyAlignment="1">
      <alignment horizontal="right" vertical="center"/>
    </xf>
    <xf numFmtId="206" fontId="64" fillId="9" borderId="5" xfId="0" applyNumberFormat="1" applyFont="1" applyFill="1" applyBorder="1" applyAlignment="1">
      <alignment vertical="center"/>
    </xf>
    <xf numFmtId="195" fontId="46" fillId="9" borderId="11" xfId="0" applyNumberFormat="1" applyFont="1" applyFill="1" applyBorder="1" applyAlignment="1">
      <alignment vertical="center"/>
    </xf>
    <xf numFmtId="3" fontId="46" fillId="9" borderId="10" xfId="0" applyNumberFormat="1" applyFont="1" applyFill="1" applyBorder="1" applyAlignment="1">
      <alignment vertical="center"/>
    </xf>
    <xf numFmtId="179" fontId="46" fillId="9" borderId="10" xfId="0" applyNumberFormat="1" applyFont="1" applyFill="1" applyBorder="1" applyAlignment="1">
      <alignment horizontal="center" vertical="center"/>
    </xf>
    <xf numFmtId="0" fontId="46" fillId="9" borderId="10" xfId="0" applyFont="1" applyFill="1" applyBorder="1" applyAlignment="1">
      <alignment horizontal="left" vertical="center"/>
    </xf>
    <xf numFmtId="217" fontId="46" fillId="9" borderId="9" xfId="0" applyNumberFormat="1" applyFont="1" applyFill="1" applyBorder="1" applyAlignment="1">
      <alignment horizontal="right" vertical="center"/>
    </xf>
    <xf numFmtId="3" fontId="46" fillId="9" borderId="11" xfId="0" applyNumberFormat="1" applyFont="1" applyFill="1" applyBorder="1" applyAlignment="1">
      <alignment vertical="center"/>
    </xf>
    <xf numFmtId="39" fontId="46" fillId="9" borderId="11" xfId="0" applyNumberFormat="1" applyFont="1" applyFill="1" applyBorder="1" applyAlignment="1">
      <alignment vertical="center"/>
    </xf>
    <xf numFmtId="37" fontId="64" fillId="9" borderId="9" xfId="0" applyNumberFormat="1" applyFont="1" applyFill="1" applyBorder="1" applyAlignment="1">
      <alignment horizontal="right" vertical="center"/>
    </xf>
    <xf numFmtId="37" fontId="64" fillId="9" borderId="10" xfId="0" applyNumberFormat="1" applyFont="1" applyFill="1" applyBorder="1" applyAlignment="1">
      <alignment horizontal="right" vertical="center"/>
    </xf>
    <xf numFmtId="39" fontId="64" fillId="9" borderId="6" xfId="0" applyNumberFormat="1" applyFont="1" applyFill="1" applyBorder="1" applyAlignment="1">
      <alignment horizontal="right" vertical="center"/>
    </xf>
    <xf numFmtId="206" fontId="64" fillId="9" borderId="10" xfId="0" applyNumberFormat="1" applyFont="1" applyFill="1" applyBorder="1" applyAlignment="1">
      <alignment vertical="center"/>
    </xf>
    <xf numFmtId="217" fontId="46" fillId="9" borderId="6" xfId="0" applyNumberFormat="1" applyFont="1" applyFill="1" applyBorder="1" applyAlignment="1">
      <alignment horizontal="right" vertical="center"/>
    </xf>
    <xf numFmtId="37" fontId="64" fillId="9" borderId="6" xfId="0" applyNumberFormat="1" applyFont="1" applyFill="1" applyBorder="1" applyAlignment="1">
      <alignment horizontal="right" vertical="center"/>
    </xf>
    <xf numFmtId="37" fontId="64" fillId="9" borderId="8" xfId="0" applyNumberFormat="1" applyFont="1" applyFill="1" applyBorder="1" applyAlignment="1">
      <alignment horizontal="right" vertical="center"/>
    </xf>
    <xf numFmtId="206" fontId="64" fillId="9" borderId="8" xfId="0" applyNumberFormat="1" applyFont="1" applyFill="1" applyBorder="1" applyAlignment="1">
      <alignment vertical="center"/>
    </xf>
    <xf numFmtId="217" fontId="46" fillId="9" borderId="2" xfId="0" applyNumberFormat="1" applyFont="1" applyFill="1" applyBorder="1" applyAlignment="1">
      <alignment horizontal="right" vertical="center"/>
    </xf>
    <xf numFmtId="37" fontId="46" fillId="9" borderId="3" xfId="0" applyNumberFormat="1" applyFont="1" applyFill="1" applyBorder="1" applyAlignment="1">
      <alignment horizontal="right" vertical="center"/>
    </xf>
    <xf numFmtId="4" fontId="46" fillId="9" borderId="12" xfId="0" applyNumberFormat="1" applyFont="1" applyFill="1" applyBorder="1" applyAlignment="1">
      <alignment horizontal="left" vertical="center"/>
    </xf>
    <xf numFmtId="3" fontId="46" fillId="9" borderId="9" xfId="0" applyNumberFormat="1" applyFont="1" applyFill="1" applyBorder="1" applyAlignment="1">
      <alignment horizontal="right" vertical="center"/>
    </xf>
    <xf numFmtId="4" fontId="46" fillId="9" borderId="11" xfId="0" applyNumberFormat="1" applyFont="1" applyFill="1" applyBorder="1" applyAlignment="1">
      <alignment vertical="center"/>
    </xf>
    <xf numFmtId="37" fontId="46" fillId="9" borderId="11" xfId="0" applyNumberFormat="1" applyFont="1" applyFill="1" applyBorder="1" applyAlignment="1">
      <alignment horizontal="right" vertical="center"/>
    </xf>
    <xf numFmtId="217" fontId="64" fillId="9" borderId="9" xfId="0" applyNumberFormat="1" applyFont="1" applyFill="1" applyBorder="1" applyAlignment="1">
      <alignment horizontal="right" vertical="center"/>
    </xf>
    <xf numFmtId="0" fontId="31" fillId="9" borderId="0" xfId="0" applyFont="1" applyFill="1" applyAlignment="1">
      <alignment vertical="center"/>
    </xf>
    <xf numFmtId="4" fontId="46" fillId="9" borderId="7" xfId="0" applyNumberFormat="1" applyFont="1" applyFill="1" applyBorder="1" applyAlignment="1">
      <alignment horizontal="left" vertical="center"/>
    </xf>
    <xf numFmtId="3" fontId="46" fillId="9" borderId="6" xfId="0" applyNumberFormat="1" applyFont="1" applyFill="1" applyBorder="1" applyAlignment="1">
      <alignment horizontal="right" vertical="center"/>
    </xf>
    <xf numFmtId="217" fontId="64" fillId="9" borderId="6" xfId="0" applyNumberFormat="1" applyFont="1" applyFill="1" applyBorder="1" applyAlignment="1">
      <alignment horizontal="right" vertical="center"/>
    </xf>
    <xf numFmtId="1" fontId="43" fillId="9" borderId="8" xfId="0" applyNumberFormat="1" applyFont="1" applyFill="1" applyBorder="1" applyAlignment="1">
      <alignment horizontal="center" vertical="center"/>
    </xf>
    <xf numFmtId="4" fontId="46" fillId="9" borderId="4" xfId="0" applyNumberFormat="1" applyFont="1" applyFill="1" applyBorder="1" applyAlignment="1">
      <alignment horizontal="left" vertical="center"/>
    </xf>
    <xf numFmtId="3" fontId="46" fillId="9" borderId="2" xfId="0" applyNumberFormat="1" applyFont="1" applyFill="1" applyBorder="1" applyAlignment="1">
      <alignment horizontal="right" vertical="center"/>
    </xf>
    <xf numFmtId="217" fontId="64" fillId="9" borderId="2" xfId="0" applyNumberFormat="1" applyFont="1" applyFill="1" applyBorder="1" applyAlignment="1">
      <alignment horizontal="right" vertical="center"/>
    </xf>
    <xf numFmtId="1" fontId="43" fillId="9" borderId="5" xfId="0" applyNumberFormat="1" applyFont="1" applyFill="1" applyBorder="1" applyAlignment="1">
      <alignment horizontal="center" vertical="center"/>
    </xf>
    <xf numFmtId="4" fontId="46" fillId="15" borderId="14" xfId="0" applyNumberFormat="1" applyFont="1" applyFill="1" applyBorder="1" applyAlignment="1">
      <alignment horizontal="left" vertical="center"/>
    </xf>
    <xf numFmtId="3" fontId="46" fillId="15" borderId="13" xfId="0" applyNumberFormat="1" applyFont="1" applyFill="1" applyBorder="1" applyAlignment="1">
      <alignment horizontal="right" vertical="center"/>
    </xf>
    <xf numFmtId="0" fontId="46" fillId="15" borderId="13" xfId="0" applyFont="1" applyFill="1" applyBorder="1" applyAlignment="1">
      <alignment horizontal="center" vertical="center"/>
    </xf>
    <xf numFmtId="4" fontId="46" fillId="15" borderId="18" xfId="0" applyNumberFormat="1" applyFont="1" applyFill="1" applyBorder="1" applyAlignment="1">
      <alignment horizontal="center" vertical="center"/>
    </xf>
    <xf numFmtId="0" fontId="46" fillId="15" borderId="18" xfId="0" applyFont="1" applyFill="1" applyBorder="1" applyAlignment="1">
      <alignment horizontal="center" vertical="center"/>
    </xf>
    <xf numFmtId="0" fontId="64" fillId="15" borderId="1" xfId="0" applyFont="1" applyFill="1" applyBorder="1" applyAlignment="1">
      <alignment horizontal="center" vertical="center"/>
    </xf>
    <xf numFmtId="0" fontId="44" fillId="15" borderId="1" xfId="0" applyFont="1" applyFill="1" applyBorder="1" applyAlignment="1">
      <alignment horizontal="center" vertical="center"/>
    </xf>
    <xf numFmtId="0" fontId="44" fillId="15" borderId="5" xfId="0" applyFont="1" applyFill="1" applyBorder="1" applyAlignment="1">
      <alignment horizontal="center" vertical="center"/>
    </xf>
    <xf numFmtId="0" fontId="44" fillId="6" borderId="13" xfId="0" applyFont="1" applyFill="1" applyBorder="1" applyAlignment="1">
      <alignment horizontal="left" vertical="center"/>
    </xf>
    <xf numFmtId="0" fontId="81" fillId="0" borderId="0" xfId="0" applyFont="1" applyAlignment="1">
      <alignment vertical="center"/>
    </xf>
    <xf numFmtId="0" fontId="81" fillId="0" borderId="0" xfId="0" applyFont="1" applyAlignment="1">
      <alignment horizontal="center" vertical="center"/>
    </xf>
    <xf numFmtId="43" fontId="10" fillId="0" borderId="0" xfId="82" applyNumberFormat="1" applyFont="1"/>
    <xf numFmtId="211" fontId="49" fillId="0" borderId="49" xfId="0" applyNumberFormat="1" applyFont="1" applyBorder="1" applyAlignment="1">
      <alignment horizontal="left" vertical="top" shrinkToFit="1"/>
    </xf>
    <xf numFmtId="211" fontId="62" fillId="0" borderId="49" xfId="0" applyNumberFormat="1" applyFont="1" applyBorder="1" applyAlignment="1">
      <alignment horizontal="left" vertical="top" shrinkToFit="1"/>
    </xf>
    <xf numFmtId="211" fontId="48" fillId="0" borderId="49" xfId="0" applyNumberFormat="1" applyFont="1" applyBorder="1" applyAlignment="1">
      <alignment horizontal="left" vertical="top" shrinkToFit="1"/>
    </xf>
    <xf numFmtId="211" fontId="48" fillId="5" borderId="49" xfId="0" applyNumberFormat="1" applyFont="1" applyFill="1" applyBorder="1" applyAlignment="1">
      <alignment horizontal="left" vertical="top" shrinkToFit="1"/>
    </xf>
    <xf numFmtId="211" fontId="48" fillId="5" borderId="49" xfId="93" applyNumberFormat="1" applyFont="1" applyFill="1" applyBorder="1" applyAlignment="1">
      <alignment horizontal="left" vertical="top" shrinkToFit="1"/>
    </xf>
    <xf numFmtId="211" fontId="48" fillId="5" borderId="51" xfId="0" applyNumberFormat="1" applyFont="1" applyFill="1" applyBorder="1" applyAlignment="1">
      <alignment horizontal="left" vertical="top" shrinkToFit="1"/>
    </xf>
    <xf numFmtId="211" fontId="48" fillId="5" borderId="1" xfId="91" applyNumberFormat="1" applyFont="1" applyFill="1" applyBorder="1" applyAlignment="1">
      <alignment horizontal="left" vertical="top"/>
    </xf>
    <xf numFmtId="211" fontId="48" fillId="0" borderId="1" xfId="91" applyNumberFormat="1" applyFont="1" applyBorder="1" applyAlignment="1">
      <alignment horizontal="left" vertical="top"/>
    </xf>
    <xf numFmtId="0" fontId="0" fillId="8" borderId="76" xfId="0" applyFill="1" applyBorder="1" applyAlignment="1">
      <alignment horizontal="center" vertical="center"/>
    </xf>
    <xf numFmtId="0" fontId="24" fillId="27" borderId="70" xfId="0" applyFont="1" applyFill="1" applyBorder="1" applyAlignment="1">
      <alignment horizontal="center" vertical="center" textRotation="90"/>
    </xf>
    <xf numFmtId="0" fontId="24" fillId="27" borderId="75" xfId="0" applyFont="1" applyFill="1" applyBorder="1" applyAlignment="1">
      <alignment horizontal="center" vertical="center" textRotation="90"/>
    </xf>
    <xf numFmtId="0" fontId="68" fillId="28" borderId="0" xfId="0" applyFont="1" applyFill="1" applyAlignment="1">
      <alignment horizontal="center"/>
    </xf>
    <xf numFmtId="0" fontId="0" fillId="0" borderId="69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20" borderId="76" xfId="0" applyFill="1" applyBorder="1" applyAlignment="1">
      <alignment horizontal="center" vertical="center"/>
    </xf>
    <xf numFmtId="0" fontId="0" fillId="25" borderId="76" xfId="0" applyFill="1" applyBorder="1" applyAlignment="1">
      <alignment horizontal="center" vertical="center"/>
    </xf>
    <xf numFmtId="0" fontId="83" fillId="0" borderId="0" xfId="0" applyFont="1" applyAlignment="1">
      <alignment horizontal="center"/>
    </xf>
    <xf numFmtId="0" fontId="34" fillId="23" borderId="70" xfId="0" applyFont="1" applyFill="1" applyBorder="1" applyAlignment="1">
      <alignment horizontal="center"/>
    </xf>
    <xf numFmtId="0" fontId="34" fillId="23" borderId="71" xfId="0" applyFont="1" applyFill="1" applyBorder="1" applyAlignment="1">
      <alignment horizontal="center"/>
    </xf>
    <xf numFmtId="0" fontId="34" fillId="23" borderId="72" xfId="0" applyFont="1" applyFill="1" applyBorder="1" applyAlignment="1">
      <alignment horizontal="center"/>
    </xf>
    <xf numFmtId="0" fontId="34" fillId="24" borderId="73" xfId="0" applyFont="1" applyFill="1" applyBorder="1" applyAlignment="1">
      <alignment horizontal="center"/>
    </xf>
    <xf numFmtId="0" fontId="34" fillId="24" borderId="0" xfId="0" applyFont="1" applyFill="1" applyAlignment="1">
      <alignment horizontal="center"/>
    </xf>
    <xf numFmtId="0" fontId="82" fillId="0" borderId="11" xfId="0" applyFont="1" applyBorder="1" applyAlignment="1">
      <alignment horizontal="left"/>
    </xf>
    <xf numFmtId="0" fontId="25" fillId="0" borderId="5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50" fillId="0" borderId="5" xfId="0" applyFont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48" fillId="0" borderId="11" xfId="91" applyFont="1" applyBorder="1" applyAlignment="1">
      <alignment horizontal="center" vertical="top"/>
    </xf>
    <xf numFmtId="1" fontId="48" fillId="0" borderId="0" xfId="91" applyNumberFormat="1" applyFont="1" applyAlignment="1">
      <alignment horizontal="center" vertical="top" shrinkToFit="1"/>
    </xf>
    <xf numFmtId="0" fontId="55" fillId="15" borderId="1" xfId="0" applyFont="1" applyFill="1" applyBorder="1" applyAlignment="1">
      <alignment horizontal="center"/>
    </xf>
    <xf numFmtId="0" fontId="56" fillId="15" borderId="1" xfId="0" applyFont="1" applyFill="1" applyBorder="1" applyAlignment="1">
      <alignment horizontal="center" vertical="center"/>
    </xf>
    <xf numFmtId="0" fontId="57" fillId="15" borderId="1" xfId="0" applyFont="1" applyFill="1" applyBorder="1" applyAlignment="1">
      <alignment horizontal="left" vertical="center"/>
    </xf>
    <xf numFmtId="0" fontId="2" fillId="0" borderId="24" xfId="91" applyFont="1" applyBorder="1" applyAlignment="1">
      <alignment horizontal="left" vertical="center" wrapText="1" indent="2"/>
    </xf>
    <xf numFmtId="0" fontId="2" fillId="0" borderId="27" xfId="91" applyFont="1" applyBorder="1" applyAlignment="1">
      <alignment horizontal="left" vertical="center" wrapText="1" indent="2"/>
    </xf>
    <xf numFmtId="0" fontId="2" fillId="0" borderId="29" xfId="91" applyFont="1" applyBorder="1" applyAlignment="1">
      <alignment horizontal="left" vertical="center" wrapText="1" indent="2"/>
    </xf>
    <xf numFmtId="0" fontId="2" fillId="0" borderId="25" xfId="91" applyFont="1" applyBorder="1" applyAlignment="1">
      <alignment horizontal="center" vertical="top" wrapText="1"/>
    </xf>
    <xf numFmtId="0" fontId="2" fillId="0" borderId="26" xfId="91" applyFont="1" applyBorder="1" applyAlignment="1">
      <alignment horizontal="center" vertical="top" wrapText="1"/>
    </xf>
    <xf numFmtId="192" fontId="64" fillId="0" borderId="0" xfId="0" applyNumberFormat="1" applyFont="1" applyAlignment="1">
      <alignment horizontal="center" vertical="center"/>
    </xf>
    <xf numFmtId="0" fontId="31" fillId="15" borderId="13" xfId="0" applyFont="1" applyFill="1" applyBorder="1" applyAlignment="1">
      <alignment horizontal="left" vertical="center"/>
    </xf>
    <xf numFmtId="0" fontId="31" fillId="15" borderId="18" xfId="0" applyFont="1" applyFill="1" applyBorder="1" applyAlignment="1">
      <alignment horizontal="left" vertical="center"/>
    </xf>
    <xf numFmtId="0" fontId="31" fillId="15" borderId="14" xfId="0" applyFont="1" applyFill="1" applyBorder="1" applyAlignment="1">
      <alignment horizontal="left" vertical="center"/>
    </xf>
    <xf numFmtId="1" fontId="31" fillId="18" borderId="2" xfId="0" applyNumberFormat="1" applyFont="1" applyFill="1" applyBorder="1" applyAlignment="1">
      <alignment horizontal="center" vertical="center"/>
    </xf>
    <xf numFmtId="1" fontId="31" fillId="18" borderId="3" xfId="0" applyNumberFormat="1" applyFont="1" applyFill="1" applyBorder="1" applyAlignment="1">
      <alignment horizontal="center" vertical="center"/>
    </xf>
    <xf numFmtId="1" fontId="31" fillId="18" borderId="4" xfId="0" applyNumberFormat="1" applyFont="1" applyFill="1" applyBorder="1" applyAlignment="1">
      <alignment horizontal="center" vertical="center"/>
    </xf>
    <xf numFmtId="0" fontId="31" fillId="5" borderId="63" xfId="0" applyFont="1" applyFill="1" applyBorder="1" applyAlignment="1">
      <alignment horizontal="center" vertical="center"/>
    </xf>
    <xf numFmtId="0" fontId="31" fillId="5" borderId="3" xfId="0" applyFont="1" applyFill="1" applyBorder="1" applyAlignment="1">
      <alignment horizontal="center" vertical="center"/>
    </xf>
    <xf numFmtId="0" fontId="31" fillId="18" borderId="2" xfId="0" applyFont="1" applyFill="1" applyBorder="1" applyAlignment="1">
      <alignment horizontal="center" vertical="center"/>
    </xf>
    <xf numFmtId="0" fontId="31" fillId="18" borderId="3" xfId="0" applyFont="1" applyFill="1" applyBorder="1" applyAlignment="1">
      <alignment horizontal="center" vertical="center"/>
    </xf>
    <xf numFmtId="0" fontId="31" fillId="18" borderId="4" xfId="0" applyFont="1" applyFill="1" applyBorder="1" applyAlignment="1">
      <alignment horizontal="center" vertical="center"/>
    </xf>
    <xf numFmtId="1" fontId="31" fillId="18" borderId="62" xfId="0" applyNumberFormat="1" applyFont="1" applyFill="1" applyBorder="1" applyAlignment="1">
      <alignment horizontal="center" vertical="center"/>
    </xf>
    <xf numFmtId="1" fontId="31" fillId="18" borderId="63" xfId="0" applyNumberFormat="1" applyFont="1" applyFill="1" applyBorder="1" applyAlignment="1">
      <alignment horizontal="center" vertical="center"/>
    </xf>
    <xf numFmtId="180" fontId="31" fillId="16" borderId="2" xfId="0" applyNumberFormat="1" applyFont="1" applyFill="1" applyBorder="1" applyAlignment="1">
      <alignment horizontal="center" vertical="center"/>
    </xf>
    <xf numFmtId="180" fontId="31" fillId="16" borderId="3" xfId="0" applyNumberFormat="1" applyFont="1" applyFill="1" applyBorder="1" applyAlignment="1">
      <alignment horizontal="center" vertical="center"/>
    </xf>
    <xf numFmtId="4" fontId="31" fillId="16" borderId="3" xfId="0" applyNumberFormat="1" applyFont="1" applyFill="1" applyBorder="1" applyAlignment="1">
      <alignment horizontal="center" vertical="center"/>
    </xf>
    <xf numFmtId="1" fontId="31" fillId="16" borderId="2" xfId="0" applyNumberFormat="1" applyFont="1" applyFill="1" applyBorder="1" applyAlignment="1">
      <alignment horizontal="center" vertical="center"/>
    </xf>
    <xf numFmtId="1" fontId="31" fillId="16" borderId="3" xfId="0" applyNumberFormat="1" applyFont="1" applyFill="1" applyBorder="1" applyAlignment="1">
      <alignment horizontal="center" vertical="center"/>
    </xf>
    <xf numFmtId="0" fontId="31" fillId="16" borderId="3" xfId="0" applyFont="1" applyFill="1" applyBorder="1" applyAlignment="1">
      <alignment horizontal="center" vertical="center"/>
    </xf>
    <xf numFmtId="0" fontId="31" fillId="16" borderId="4" xfId="0" applyFont="1" applyFill="1" applyBorder="1" applyAlignment="1">
      <alignment horizontal="center" vertical="center"/>
    </xf>
    <xf numFmtId="0" fontId="31" fillId="16" borderId="2" xfId="0" applyFont="1" applyFill="1" applyBorder="1" applyAlignment="1">
      <alignment horizontal="center" vertical="center"/>
    </xf>
    <xf numFmtId="0" fontId="31" fillId="18" borderId="62" xfId="0" applyFont="1" applyFill="1" applyBorder="1" applyAlignment="1">
      <alignment horizontal="center" vertical="center"/>
    </xf>
    <xf numFmtId="0" fontId="31" fillId="18" borderId="63" xfId="0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/>
    </xf>
    <xf numFmtId="0" fontId="41" fillId="5" borderId="13" xfId="82" applyFont="1" applyFill="1" applyBorder="1" applyAlignment="1">
      <alignment horizontal="center" vertical="center" wrapText="1"/>
    </xf>
    <xf numFmtId="0" fontId="41" fillId="5" borderId="18" xfId="82" applyFont="1" applyFill="1" applyBorder="1" applyAlignment="1">
      <alignment horizontal="center" vertical="center" wrapText="1"/>
    </xf>
    <xf numFmtId="0" fontId="41" fillId="5" borderId="14" xfId="82" applyFont="1" applyFill="1" applyBorder="1" applyAlignment="1">
      <alignment horizontal="center" vertical="center" wrapText="1"/>
    </xf>
    <xf numFmtId="0" fontId="17" fillId="0" borderId="1" xfId="62" applyFont="1" applyBorder="1" applyAlignment="1">
      <alignment horizontal="center" vertical="center"/>
    </xf>
    <xf numFmtId="0" fontId="17" fillId="0" borderId="5" xfId="62" applyFont="1" applyBorder="1" applyAlignment="1">
      <alignment horizontal="center" vertical="center"/>
    </xf>
    <xf numFmtId="179" fontId="17" fillId="0" borderId="1" xfId="62" applyNumberFormat="1" applyFont="1" applyBorder="1" applyAlignment="1">
      <alignment horizontal="center" vertical="center"/>
    </xf>
    <xf numFmtId="179" fontId="17" fillId="0" borderId="5" xfId="62" applyNumberFormat="1" applyFont="1" applyBorder="1" applyAlignment="1">
      <alignment horizontal="center" vertical="center"/>
    </xf>
    <xf numFmtId="2" fontId="17" fillId="0" borderId="1" xfId="62" applyNumberFormat="1" applyFont="1" applyBorder="1" applyAlignment="1">
      <alignment horizontal="center" vertical="center"/>
    </xf>
    <xf numFmtId="2" fontId="17" fillId="0" borderId="5" xfId="62" applyNumberFormat="1" applyFont="1" applyBorder="1" applyAlignment="1">
      <alignment horizontal="center" vertical="center"/>
    </xf>
    <xf numFmtId="4" fontId="17" fillId="0" borderId="1" xfId="62" applyNumberFormat="1" applyFont="1" applyBorder="1" applyAlignment="1">
      <alignment horizontal="center" vertical="center"/>
    </xf>
    <xf numFmtId="4" fontId="17" fillId="0" borderId="5" xfId="62" applyNumberFormat="1" applyFont="1" applyBorder="1" applyAlignment="1">
      <alignment horizontal="center" vertical="center"/>
    </xf>
    <xf numFmtId="0" fontId="25" fillId="0" borderId="50" xfId="82" applyFont="1" applyBorder="1" applyAlignment="1">
      <alignment horizontal="center"/>
    </xf>
    <xf numFmtId="0" fontId="0" fillId="0" borderId="21" xfId="0" applyBorder="1"/>
    <xf numFmtId="0" fontId="17" fillId="0" borderId="5" xfId="82" applyFont="1" applyBorder="1" applyAlignment="1">
      <alignment horizontal="center" vertical="center" wrapText="1"/>
    </xf>
    <xf numFmtId="0" fontId="17" fillId="0" borderId="8" xfId="82" applyFont="1" applyBorder="1" applyAlignment="1">
      <alignment horizontal="center" vertical="center" wrapText="1"/>
    </xf>
    <xf numFmtId="0" fontId="17" fillId="0" borderId="10" xfId="82" applyFont="1" applyBorder="1" applyAlignment="1">
      <alignment horizontal="center" vertical="center" wrapText="1"/>
    </xf>
    <xf numFmtId="0" fontId="25" fillId="0" borderId="1" xfId="62" applyFont="1" applyBorder="1" applyAlignment="1">
      <alignment horizontal="center"/>
    </xf>
    <xf numFmtId="0" fontId="85" fillId="6" borderId="13" xfId="0" applyFont="1" applyFill="1" applyBorder="1" applyAlignment="1">
      <alignment horizontal="left" vertical="center"/>
    </xf>
    <xf numFmtId="0" fontId="85" fillId="6" borderId="18" xfId="0" applyFont="1" applyFill="1" applyBorder="1" applyAlignment="1">
      <alignment horizontal="left" vertical="center"/>
    </xf>
    <xf numFmtId="0" fontId="85" fillId="6" borderId="14" xfId="0" applyFont="1" applyFill="1" applyBorder="1" applyAlignment="1">
      <alignment horizontal="left" vertical="center"/>
    </xf>
    <xf numFmtId="3" fontId="71" fillId="9" borderId="2" xfId="0" applyNumberFormat="1" applyFont="1" applyFill="1" applyBorder="1" applyAlignment="1">
      <alignment horizontal="right" vertical="center"/>
    </xf>
    <xf numFmtId="3" fontId="71" fillId="9" borderId="3" xfId="0" applyNumberFormat="1" applyFont="1" applyFill="1" applyBorder="1" applyAlignment="1">
      <alignment horizontal="right" vertical="center"/>
    </xf>
    <xf numFmtId="3" fontId="71" fillId="9" borderId="4" xfId="0" applyNumberFormat="1" applyFont="1" applyFill="1" applyBorder="1" applyAlignment="1">
      <alignment horizontal="right" vertical="center"/>
    </xf>
    <xf numFmtId="209" fontId="44" fillId="9" borderId="13" xfId="0" applyNumberFormat="1" applyFont="1" applyFill="1" applyBorder="1" applyAlignment="1">
      <alignment horizontal="center" vertical="center"/>
    </xf>
    <xf numFmtId="209" fontId="44" fillId="9" borderId="14" xfId="0" applyNumberFormat="1" applyFont="1" applyFill="1" applyBorder="1" applyAlignment="1">
      <alignment horizontal="center" vertical="center"/>
    </xf>
    <xf numFmtId="0" fontId="72" fillId="9" borderId="1" xfId="0" applyFont="1" applyFill="1" applyBorder="1" applyAlignment="1">
      <alignment horizontal="left" vertical="center"/>
    </xf>
    <xf numFmtId="3" fontId="46" fillId="5" borderId="1" xfId="0" applyNumberFormat="1" applyFont="1" applyFill="1" applyBorder="1" applyAlignment="1">
      <alignment horizontal="center" vertical="center"/>
    </xf>
    <xf numFmtId="0" fontId="86" fillId="0" borderId="11" xfId="0" applyFont="1" applyBorder="1" applyAlignment="1">
      <alignment horizontal="right" vertical="center"/>
    </xf>
    <xf numFmtId="0" fontId="43" fillId="5" borderId="18" xfId="0" applyFont="1" applyFill="1" applyBorder="1" applyAlignment="1">
      <alignment horizontal="left" vertical="center"/>
    </xf>
    <xf numFmtId="0" fontId="43" fillId="5" borderId="14" xfId="0" applyFont="1" applyFill="1" applyBorder="1" applyAlignment="1">
      <alignment horizontal="left" vertical="center"/>
    </xf>
    <xf numFmtId="186" fontId="43" fillId="5" borderId="18" xfId="0" applyNumberFormat="1" applyFont="1" applyFill="1" applyBorder="1" applyAlignment="1">
      <alignment horizontal="left" vertical="center"/>
    </xf>
    <xf numFmtId="186" fontId="43" fillId="5" borderId="14" xfId="0" applyNumberFormat="1" applyFont="1" applyFill="1" applyBorder="1" applyAlignment="1">
      <alignment horizontal="left" vertical="center"/>
    </xf>
    <xf numFmtId="3" fontId="43" fillId="5" borderId="18" xfId="0" applyNumberFormat="1" applyFont="1" applyFill="1" applyBorder="1" applyAlignment="1">
      <alignment horizontal="left" vertical="center"/>
    </xf>
    <xf numFmtId="0" fontId="44" fillId="6" borderId="13" xfId="0" applyFont="1" applyFill="1" applyBorder="1" applyAlignment="1">
      <alignment horizontal="left" vertical="center"/>
    </xf>
    <xf numFmtId="0" fontId="44" fillId="6" borderId="18" xfId="0" applyFont="1" applyFill="1" applyBorder="1" applyAlignment="1">
      <alignment horizontal="left" vertical="center"/>
    </xf>
    <xf numFmtId="0" fontId="44" fillId="6" borderId="14" xfId="0" applyFont="1" applyFill="1" applyBorder="1" applyAlignment="1">
      <alignment horizontal="left" vertical="center"/>
    </xf>
    <xf numFmtId="180" fontId="31" fillId="9" borderId="13" xfId="0" applyNumberFormat="1" applyFont="1" applyFill="1" applyBorder="1" applyAlignment="1">
      <alignment horizontal="center" vertical="center"/>
    </xf>
    <xf numFmtId="180" fontId="31" fillId="9" borderId="14" xfId="0" applyNumberFormat="1" applyFont="1" applyFill="1" applyBorder="1" applyAlignment="1">
      <alignment horizontal="center" vertical="center"/>
    </xf>
    <xf numFmtId="3" fontId="31" fillId="9" borderId="1" xfId="0" applyNumberFormat="1" applyFont="1" applyFill="1" applyBorder="1" applyAlignment="1">
      <alignment horizontal="center" vertical="center"/>
    </xf>
    <xf numFmtId="0" fontId="64" fillId="0" borderId="3" xfId="0" applyFont="1" applyBorder="1" applyAlignment="1">
      <alignment horizontal="left" vertical="center"/>
    </xf>
    <xf numFmtId="0" fontId="72" fillId="9" borderId="13" xfId="0" applyFont="1" applyFill="1" applyBorder="1" applyAlignment="1">
      <alignment horizontal="left" vertical="center"/>
    </xf>
    <xf numFmtId="0" fontId="72" fillId="9" borderId="18" xfId="0" applyFont="1" applyFill="1" applyBorder="1" applyAlignment="1">
      <alignment horizontal="left" vertical="center"/>
    </xf>
    <xf numFmtId="0" fontId="72" fillId="9" borderId="14" xfId="0" applyFont="1" applyFill="1" applyBorder="1" applyAlignment="1">
      <alignment horizontal="left" vertical="center"/>
    </xf>
    <xf numFmtId="0" fontId="44" fillId="9" borderId="5" xfId="0" applyFont="1" applyFill="1" applyBorder="1" applyAlignment="1">
      <alignment horizontal="center" vertical="center"/>
    </xf>
    <xf numFmtId="0" fontId="44" fillId="9" borderId="10" xfId="0" applyFont="1" applyFill="1" applyBorder="1" applyAlignment="1">
      <alignment horizontal="center" vertical="center"/>
    </xf>
    <xf numFmtId="0" fontId="31" fillId="9" borderId="5" xfId="0" applyFont="1" applyFill="1" applyBorder="1" applyAlignment="1">
      <alignment horizontal="center" vertical="center"/>
    </xf>
    <xf numFmtId="0" fontId="31" fillId="9" borderId="10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4" fontId="46" fillId="5" borderId="13" xfId="0" applyNumberFormat="1" applyFont="1" applyFill="1" applyBorder="1" applyAlignment="1">
      <alignment horizontal="center" vertical="center"/>
    </xf>
    <xf numFmtId="4" fontId="46" fillId="5" borderId="14" xfId="0" applyNumberFormat="1" applyFont="1" applyFill="1" applyBorder="1" applyAlignment="1">
      <alignment horizontal="center" vertical="center"/>
    </xf>
    <xf numFmtId="3" fontId="72" fillId="9" borderId="1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197" fontId="31" fillId="0" borderId="0" xfId="0" applyNumberFormat="1" applyFont="1" applyAlignment="1">
      <alignment horizontal="right" vertical="center"/>
    </xf>
    <xf numFmtId="0" fontId="69" fillId="9" borderId="0" xfId="0" applyFont="1" applyFill="1" applyAlignment="1">
      <alignment horizontal="left" vertical="center"/>
    </xf>
    <xf numFmtId="3" fontId="72" fillId="9" borderId="13" xfId="0" applyNumberFormat="1" applyFont="1" applyFill="1" applyBorder="1" applyAlignment="1">
      <alignment horizontal="center" vertical="center"/>
    </xf>
    <xf numFmtId="3" fontId="72" fillId="9" borderId="14" xfId="0" applyNumberFormat="1" applyFont="1" applyFill="1" applyBorder="1" applyAlignment="1">
      <alignment horizontal="center" vertical="center"/>
    </xf>
    <xf numFmtId="0" fontId="31" fillId="9" borderId="13" xfId="0" applyFont="1" applyFill="1" applyBorder="1" applyAlignment="1">
      <alignment horizontal="center" vertical="center"/>
    </xf>
    <xf numFmtId="0" fontId="31" fillId="9" borderId="18" xfId="0" applyFont="1" applyFill="1" applyBorder="1" applyAlignment="1">
      <alignment horizontal="center" vertical="center"/>
    </xf>
    <xf numFmtId="0" fontId="31" fillId="9" borderId="14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4" fontId="17" fillId="5" borderId="5" xfId="0" applyNumberFormat="1" applyFont="1" applyFill="1" applyBorder="1" applyAlignment="1">
      <alignment horizontal="center" vertical="center"/>
    </xf>
    <xf numFmtId="4" fontId="17" fillId="5" borderId="8" xfId="0" applyNumberFormat="1" applyFont="1" applyFill="1" applyBorder="1" applyAlignment="1">
      <alignment horizontal="center" vertical="center"/>
    </xf>
    <xf numFmtId="4" fontId="17" fillId="5" borderId="10" xfId="0" applyNumberFormat="1" applyFont="1" applyFill="1" applyBorder="1" applyAlignment="1">
      <alignment horizontal="center" vertical="center"/>
    </xf>
    <xf numFmtId="40" fontId="17" fillId="5" borderId="5" xfId="0" applyNumberFormat="1" applyFont="1" applyFill="1" applyBorder="1" applyAlignment="1">
      <alignment horizontal="center" vertical="center"/>
    </xf>
    <xf numFmtId="40" fontId="17" fillId="5" borderId="8" xfId="0" applyNumberFormat="1" applyFont="1" applyFill="1" applyBorder="1" applyAlignment="1">
      <alignment horizontal="center" vertical="center"/>
    </xf>
    <xf numFmtId="40" fontId="17" fillId="5" borderId="10" xfId="0" applyNumberFormat="1" applyFont="1" applyFill="1" applyBorder="1" applyAlignment="1">
      <alignment horizontal="center" vertical="center"/>
    </xf>
    <xf numFmtId="2" fontId="17" fillId="5" borderId="1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/>
    </xf>
    <xf numFmtId="0" fontId="17" fillId="5" borderId="9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181" fontId="17" fillId="5" borderId="1" xfId="0" applyNumberFormat="1" applyFont="1" applyFill="1" applyBorder="1" applyAlignment="1">
      <alignment horizontal="center" vertical="center"/>
    </xf>
    <xf numFmtId="40" fontId="17" fillId="5" borderId="1" xfId="0" applyNumberFormat="1" applyFont="1" applyFill="1" applyBorder="1" applyAlignment="1">
      <alignment horizontal="center" vertical="center"/>
    </xf>
    <xf numFmtId="3" fontId="17" fillId="7" borderId="1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3" fontId="17" fillId="5" borderId="1" xfId="0" applyNumberFormat="1" applyFont="1" applyFill="1" applyBorder="1" applyAlignment="1">
      <alignment horizontal="center" vertical="center"/>
    </xf>
    <xf numFmtId="0" fontId="71" fillId="6" borderId="13" xfId="0" applyFont="1" applyFill="1" applyBorder="1" applyAlignment="1">
      <alignment horizontal="left" vertical="center"/>
    </xf>
    <xf numFmtId="0" fontId="71" fillId="6" borderId="18" xfId="0" applyFont="1" applyFill="1" applyBorder="1" applyAlignment="1">
      <alignment horizontal="left" vertical="center"/>
    </xf>
    <xf numFmtId="0" fontId="76" fillId="0" borderId="11" xfId="0" applyFont="1" applyBorder="1" applyAlignment="1">
      <alignment horizontal="right" vertical="center"/>
    </xf>
    <xf numFmtId="0" fontId="71" fillId="6" borderId="0" xfId="0" applyFont="1" applyFill="1" applyAlignment="1">
      <alignment horizontal="left" vertical="center"/>
    </xf>
    <xf numFmtId="0" fontId="71" fillId="6" borderId="3" xfId="0" applyFont="1" applyFill="1" applyBorder="1" applyAlignment="1">
      <alignment horizontal="left" vertical="center"/>
    </xf>
    <xf numFmtId="0" fontId="31" fillId="6" borderId="1" xfId="0" applyFont="1" applyFill="1" applyBorder="1" applyAlignment="1">
      <alignment horizontal="left" vertical="center"/>
    </xf>
    <xf numFmtId="0" fontId="69" fillId="21" borderId="13" xfId="0" applyFont="1" applyFill="1" applyBorder="1" applyAlignment="1">
      <alignment horizontal="left" vertical="center"/>
    </xf>
    <xf numFmtId="0" fontId="69" fillId="21" borderId="18" xfId="0" applyFont="1" applyFill="1" applyBorder="1" applyAlignment="1">
      <alignment horizontal="left" vertical="center"/>
    </xf>
    <xf numFmtId="0" fontId="69" fillId="21" borderId="14" xfId="0" applyFont="1" applyFill="1" applyBorder="1" applyAlignment="1">
      <alignment horizontal="left" vertical="center"/>
    </xf>
    <xf numFmtId="0" fontId="31" fillId="6" borderId="5" xfId="0" applyFont="1" applyFill="1" applyBorder="1" applyAlignment="1">
      <alignment horizontal="left" vertical="center"/>
    </xf>
    <xf numFmtId="0" fontId="31" fillId="6" borderId="8" xfId="0" applyFont="1" applyFill="1" applyBorder="1" applyAlignment="1">
      <alignment horizontal="left" vertical="center"/>
    </xf>
    <xf numFmtId="0" fontId="31" fillId="6" borderId="10" xfId="0" applyFont="1" applyFill="1" applyBorder="1" applyAlignment="1">
      <alignment horizontal="left" vertical="center"/>
    </xf>
    <xf numFmtId="0" fontId="31" fillId="10" borderId="13" xfId="0" applyFont="1" applyFill="1" applyBorder="1" applyAlignment="1">
      <alignment horizontal="left" vertical="center"/>
    </xf>
    <xf numFmtId="0" fontId="31" fillId="10" borderId="18" xfId="0" applyFont="1" applyFill="1" applyBorder="1" applyAlignment="1">
      <alignment horizontal="left" vertical="center"/>
    </xf>
    <xf numFmtId="0" fontId="31" fillId="10" borderId="14" xfId="0" applyFont="1" applyFill="1" applyBorder="1" applyAlignment="1">
      <alignment horizontal="left" vertical="center"/>
    </xf>
    <xf numFmtId="0" fontId="31" fillId="6" borderId="4" xfId="0" applyFont="1" applyFill="1" applyBorder="1" applyAlignment="1">
      <alignment horizontal="left" vertical="center"/>
    </xf>
    <xf numFmtId="0" fontId="31" fillId="6" borderId="7" xfId="0" applyFont="1" applyFill="1" applyBorder="1" applyAlignment="1">
      <alignment horizontal="left" vertical="center"/>
    </xf>
    <xf numFmtId="0" fontId="31" fillId="6" borderId="13" xfId="0" applyFont="1" applyFill="1" applyBorder="1" applyAlignment="1">
      <alignment horizontal="center" vertical="center"/>
    </xf>
    <xf numFmtId="0" fontId="31" fillId="6" borderId="14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211" fontId="31" fillId="6" borderId="13" xfId="0" applyNumberFormat="1" applyFont="1" applyFill="1" applyBorder="1" applyAlignment="1">
      <alignment horizontal="center" vertical="center"/>
    </xf>
    <xf numFmtId="211" fontId="31" fillId="6" borderId="14" xfId="0" applyNumberFormat="1" applyFont="1" applyFill="1" applyBorder="1" applyAlignment="1">
      <alignment horizontal="center" vertical="center"/>
    </xf>
    <xf numFmtId="0" fontId="64" fillId="0" borderId="3" xfId="0" quotePrefix="1" applyFont="1" applyBorder="1" applyAlignment="1">
      <alignment vertical="center"/>
    </xf>
    <xf numFmtId="0" fontId="64" fillId="0" borderId="11" xfId="0" quotePrefix="1" applyFont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15" fontId="20" fillId="0" borderId="0" xfId="3" applyNumberFormat="1" applyFont="1" applyAlignment="1">
      <alignment horizontal="left"/>
    </xf>
  </cellXfs>
  <cellStyles count="94">
    <cellStyle name="_x0007_" xfId="89" xr:uid="{00000000-0005-0000-0000-000000000000}"/>
    <cellStyle name="Comma" xfId="1" builtinId="3"/>
    <cellStyle name="Comma  - Style1" xfId="8" xr:uid="{00000000-0005-0000-0000-000002000000}"/>
    <cellStyle name="Comma [0]" xfId="92" builtinId="6"/>
    <cellStyle name="Comma [0] 2" xfId="9" xr:uid="{00000000-0005-0000-0000-000004000000}"/>
    <cellStyle name="Comma [0] 2 2" xfId="10" xr:uid="{00000000-0005-0000-0000-000005000000}"/>
    <cellStyle name="Comma [0] 2 2 2" xfId="11" xr:uid="{00000000-0005-0000-0000-000006000000}"/>
    <cellStyle name="Comma [0] 2 2 3" xfId="84" xr:uid="{00000000-0005-0000-0000-000007000000}"/>
    <cellStyle name="Comma [0] 6" xfId="12" xr:uid="{00000000-0005-0000-0000-000008000000}"/>
    <cellStyle name="Comma 2" xfId="13" xr:uid="{00000000-0005-0000-0000-000009000000}"/>
    <cellStyle name="Comma 2 2" xfId="14" xr:uid="{00000000-0005-0000-0000-00000A000000}"/>
    <cellStyle name="Comma 2 2 2" xfId="15" xr:uid="{00000000-0005-0000-0000-00000B000000}"/>
    <cellStyle name="Comma 2 2 3" xfId="83" xr:uid="{00000000-0005-0000-0000-00000C000000}"/>
    <cellStyle name="Comma 3" xfId="16" xr:uid="{00000000-0005-0000-0000-00000D000000}"/>
    <cellStyle name="Comma 3 2" xfId="17" xr:uid="{00000000-0005-0000-0000-00000E000000}"/>
    <cellStyle name="Comma 4" xfId="18" xr:uid="{00000000-0005-0000-0000-00000F000000}"/>
    <cellStyle name="Comma 5" xfId="19" xr:uid="{00000000-0005-0000-0000-000010000000}"/>
    <cellStyle name="Comma 5 2" xfId="20" xr:uid="{00000000-0005-0000-0000-000011000000}"/>
    <cellStyle name="Comma 5 3" xfId="5" xr:uid="{00000000-0005-0000-0000-000012000000}"/>
    <cellStyle name="Comma 6" xfId="21" xr:uid="{00000000-0005-0000-0000-000013000000}"/>
    <cellStyle name="Comma 7" xfId="22" xr:uid="{00000000-0005-0000-0000-000014000000}"/>
    <cellStyle name="Comma 7 2" xfId="23" xr:uid="{00000000-0005-0000-0000-000015000000}"/>
    <cellStyle name="Curren - Style3" xfId="24" xr:uid="{00000000-0005-0000-0000-000016000000}"/>
    <cellStyle name="Curren - Style4" xfId="25" xr:uid="{00000000-0005-0000-0000-000017000000}"/>
    <cellStyle name="Currency" xfId="2" builtinId="4"/>
    <cellStyle name="Currency [0]" xfId="93" builtinId="7"/>
    <cellStyle name="Currency 2" xfId="26" xr:uid="{00000000-0005-0000-0000-000019000000}"/>
    <cellStyle name="Currency 2 2" xfId="27" xr:uid="{00000000-0005-0000-0000-00001A000000}"/>
    <cellStyle name="Currency 2 3" xfId="4" xr:uid="{00000000-0005-0000-0000-00001B000000}"/>
    <cellStyle name="Currency 2 3 2" xfId="28" xr:uid="{00000000-0005-0000-0000-00001C000000}"/>
    <cellStyle name="Currency 2 3 3" xfId="29" xr:uid="{00000000-0005-0000-0000-00001D000000}"/>
    <cellStyle name="Currency 2 4" xfId="30" xr:uid="{00000000-0005-0000-0000-00001E000000}"/>
    <cellStyle name="Currency 2 5" xfId="31" xr:uid="{00000000-0005-0000-0000-00001F000000}"/>
    <cellStyle name="Currency 3" xfId="32" xr:uid="{00000000-0005-0000-0000-000020000000}"/>
    <cellStyle name="Currency 3 2" xfId="33" xr:uid="{00000000-0005-0000-0000-000021000000}"/>
    <cellStyle name="Currency 4" xfId="34" xr:uid="{00000000-0005-0000-0000-000022000000}"/>
    <cellStyle name="Currency 4 2" xfId="35" xr:uid="{00000000-0005-0000-0000-000023000000}"/>
    <cellStyle name="Currency 5" xfId="36" xr:uid="{00000000-0005-0000-0000-000024000000}"/>
    <cellStyle name="Currency 5 2" xfId="37" xr:uid="{00000000-0005-0000-0000-000025000000}"/>
    <cellStyle name="Currency 6" xfId="38" xr:uid="{00000000-0005-0000-0000-000026000000}"/>
    <cellStyle name="Currency 6 2" xfId="39" xr:uid="{00000000-0005-0000-0000-000027000000}"/>
    <cellStyle name="Currency 6 2 2" xfId="40" xr:uid="{00000000-0005-0000-0000-000028000000}"/>
    <cellStyle name="Currency 6 3" xfId="41" xr:uid="{00000000-0005-0000-0000-000029000000}"/>
    <cellStyle name="Currency 7" xfId="42" xr:uid="{00000000-0005-0000-0000-00002A000000}"/>
    <cellStyle name="Currency 7 2" xfId="43" xr:uid="{00000000-0005-0000-0000-00002B000000}"/>
    <cellStyle name="Grey" xfId="44" xr:uid="{00000000-0005-0000-0000-00002C000000}"/>
    <cellStyle name="Input [yellow]" xfId="45" xr:uid="{00000000-0005-0000-0000-00002D000000}"/>
    <cellStyle name="Milliers [0]_AR1194" xfId="46" xr:uid="{00000000-0005-0000-0000-00002E000000}"/>
    <cellStyle name="Milliers_AR1194" xfId="47" xr:uid="{00000000-0005-0000-0000-00002F000000}"/>
    <cellStyle name="Monétaire [0]_AR1194" xfId="48" xr:uid="{00000000-0005-0000-0000-000030000000}"/>
    <cellStyle name="Monétaire_AR1194" xfId="49" xr:uid="{00000000-0005-0000-0000-000031000000}"/>
    <cellStyle name="Normal" xfId="0" builtinId="0"/>
    <cellStyle name="Normal - Style1" xfId="50" xr:uid="{00000000-0005-0000-0000-000033000000}"/>
    <cellStyle name="Normal - Style5" xfId="51" xr:uid="{00000000-0005-0000-0000-000034000000}"/>
    <cellStyle name="Normal 10" xfId="52" xr:uid="{00000000-0005-0000-0000-000035000000}"/>
    <cellStyle name="Normal 11" xfId="85" xr:uid="{00000000-0005-0000-0000-000036000000}"/>
    <cellStyle name="Normal 12" xfId="91" xr:uid="{00000000-0005-0000-0000-000037000000}"/>
    <cellStyle name="Normal 2" xfId="53" xr:uid="{00000000-0005-0000-0000-000038000000}"/>
    <cellStyle name="Normal 2 2" xfId="3" xr:uid="{00000000-0005-0000-0000-000039000000}"/>
    <cellStyle name="Normal 2 2 2" xfId="87" xr:uid="{00000000-0005-0000-0000-00003A000000}"/>
    <cellStyle name="Normal 2 3" xfId="54" xr:uid="{00000000-0005-0000-0000-00003B000000}"/>
    <cellStyle name="Normal 2 4" xfId="86" xr:uid="{00000000-0005-0000-0000-00003C000000}"/>
    <cellStyle name="Normal 2 5" xfId="55" xr:uid="{00000000-0005-0000-0000-00003D000000}"/>
    <cellStyle name="Normal 3" xfId="56" xr:uid="{00000000-0005-0000-0000-00003E000000}"/>
    <cellStyle name="Normal 3 2" xfId="6" xr:uid="{00000000-0005-0000-0000-00003F000000}"/>
    <cellStyle name="Normal 4" xfId="57" xr:uid="{00000000-0005-0000-0000-000040000000}"/>
    <cellStyle name="Normal 4 2" xfId="7" xr:uid="{00000000-0005-0000-0000-000041000000}"/>
    <cellStyle name="Normal 4 3" xfId="58" xr:uid="{00000000-0005-0000-0000-000042000000}"/>
    <cellStyle name="Normal 5" xfId="59" xr:uid="{00000000-0005-0000-0000-000043000000}"/>
    <cellStyle name="Normal 6" xfId="60" xr:uid="{00000000-0005-0000-0000-000044000000}"/>
    <cellStyle name="Normal 7" xfId="61" xr:uid="{00000000-0005-0000-0000-000045000000}"/>
    <cellStyle name="Normal 8" xfId="62" xr:uid="{00000000-0005-0000-0000-000046000000}"/>
    <cellStyle name="Normal 8 2" xfId="63" xr:uid="{00000000-0005-0000-0000-000047000000}"/>
    <cellStyle name="Normal 9" xfId="64" xr:uid="{00000000-0005-0000-0000-000048000000}"/>
    <cellStyle name="Normal_Simple BOM&amp;COSTING Mike2" xfId="82" xr:uid="{00000000-0005-0000-0000-000049000000}"/>
    <cellStyle name="Percent" xfId="81" builtinId="5"/>
    <cellStyle name="Percent [2]" xfId="65" xr:uid="{00000000-0005-0000-0000-00004B000000}"/>
    <cellStyle name="Percent 2" xfId="66" xr:uid="{00000000-0005-0000-0000-00004C000000}"/>
    <cellStyle name="Percent 2 2" xfId="67" xr:uid="{00000000-0005-0000-0000-00004D000000}"/>
    <cellStyle name="Percent 2 3" xfId="68" xr:uid="{00000000-0005-0000-0000-00004E000000}"/>
    <cellStyle name="Percent 3" xfId="69" xr:uid="{00000000-0005-0000-0000-00004F000000}"/>
    <cellStyle name="Percent 4" xfId="70" xr:uid="{00000000-0005-0000-0000-000050000000}"/>
    <cellStyle name="Percent 5" xfId="71" xr:uid="{00000000-0005-0000-0000-000051000000}"/>
    <cellStyle name="Percent 5 2" xfId="72" xr:uid="{00000000-0005-0000-0000-000052000000}"/>
    <cellStyle name="Percent 6" xfId="73" xr:uid="{00000000-0005-0000-0000-000053000000}"/>
    <cellStyle name="Percent 7" xfId="74" xr:uid="{00000000-0005-0000-0000-000054000000}"/>
    <cellStyle name="PERCENTAGE" xfId="75" xr:uid="{00000000-0005-0000-0000-000055000000}"/>
    <cellStyle name="常规 2" xfId="88" xr:uid="{00000000-0005-0000-0000-000056000000}"/>
    <cellStyle name="桁区切り [0.00]_laroux" xfId="76" xr:uid="{00000000-0005-0000-0000-000057000000}"/>
    <cellStyle name="桁区切り_laroux" xfId="77" xr:uid="{00000000-0005-0000-0000-000058000000}"/>
    <cellStyle name="標準 2" xfId="90" xr:uid="{00000000-0005-0000-0000-000059000000}"/>
    <cellStyle name="標準_laroux" xfId="78" xr:uid="{00000000-0005-0000-0000-00005A000000}"/>
    <cellStyle name="通貨 [0.00]_laroux" xfId="79" xr:uid="{00000000-0005-0000-0000-00005B000000}"/>
    <cellStyle name="通貨_laroux" xfId="80" xr:uid="{00000000-0005-0000-0000-00005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75</xdr:row>
      <xdr:rowOff>1</xdr:rowOff>
    </xdr:from>
    <xdr:to>
      <xdr:col>21</xdr:col>
      <xdr:colOff>1938</xdr:colOff>
      <xdr:row>90</xdr:row>
      <xdr:rowOff>13854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BC26AE-F2A7-40A1-90F7-03EC4FFDE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64340" y="13182601"/>
          <a:ext cx="5028561" cy="25284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78441</xdr:rowOff>
    </xdr:from>
    <xdr:to>
      <xdr:col>3</xdr:col>
      <xdr:colOff>264319</xdr:colOff>
      <xdr:row>4</xdr:row>
      <xdr:rowOff>22412</xdr:rowOff>
    </xdr:to>
    <xdr:grpSp>
      <xdr:nvGrpSpPr>
        <xdr:cNvPr id="3" name="Group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pSpPr>
          <a:grpSpLocks/>
        </xdr:cNvGrpSpPr>
      </xdr:nvGrpSpPr>
      <xdr:grpSpPr bwMode="auto">
        <a:xfrm>
          <a:off x="714375" y="268941"/>
          <a:ext cx="1321594" cy="725021"/>
          <a:chOff x="537" y="472"/>
          <a:chExt cx="2109" cy="932"/>
        </a:xfrm>
      </xdr:grpSpPr>
      <xdr:sp macro="" textlink="">
        <xdr:nvSpPr>
          <xdr:cNvPr id="4" name="Rectangle 2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537" y="472"/>
            <a:ext cx="2109" cy="932"/>
          </a:xfrm>
          <a:prstGeom prst="rect">
            <a:avLst/>
          </a:prstGeom>
          <a:solidFill>
            <a:srgbClr val="80828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3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630" y="553"/>
            <a:ext cx="962" cy="770"/>
          </a:xfrm>
          <a:prstGeom prst="rect">
            <a:avLst/>
          </a:prstGeom>
          <a:solidFill>
            <a:srgbClr val="231F2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4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1591" y="553"/>
            <a:ext cx="962" cy="770"/>
          </a:xfrm>
          <a:prstGeom prst="rect">
            <a:avLst/>
          </a:prstGeom>
          <a:solidFill>
            <a:srgbClr val="54B3E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364435</xdr:colOff>
      <xdr:row>1</xdr:row>
      <xdr:rowOff>182217</xdr:rowOff>
    </xdr:from>
    <xdr:to>
      <xdr:col>4</xdr:col>
      <xdr:colOff>16566</xdr:colOff>
      <xdr:row>2</xdr:row>
      <xdr:rowOff>82826</xdr:rowOff>
    </xdr:to>
    <xdr:sp macro="" textlink="">
      <xdr:nvSpPr>
        <xdr:cNvPr id="7" name="Freeform 5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/>
        </xdr:cNvSpPr>
      </xdr:nvSpPr>
      <xdr:spPr bwMode="auto">
        <a:xfrm>
          <a:off x="2126560" y="372717"/>
          <a:ext cx="261731" cy="281609"/>
        </a:xfrm>
        <a:custGeom>
          <a:avLst/>
          <a:gdLst>
            <a:gd name="T0" fmla="+- 0 3444 3153"/>
            <a:gd name="T1" fmla="*/ T0 w 430"/>
            <a:gd name="T2" fmla="+- 0 352 352"/>
            <a:gd name="T3" fmla="*/ 352 h 457"/>
            <a:gd name="T4" fmla="+- 0 3583 3153"/>
            <a:gd name="T5" fmla="*/ T4 w 430"/>
            <a:gd name="T6" fmla="+- 0 352 352"/>
            <a:gd name="T7" fmla="*/ 352 h 457"/>
            <a:gd name="T8" fmla="+- 0 3583 3153"/>
            <a:gd name="T9" fmla="*/ T8 w 430"/>
            <a:gd name="T10" fmla="+- 0 619 352"/>
            <a:gd name="T11" fmla="*/ 619 h 457"/>
            <a:gd name="T12" fmla="+- 0 3570 3153"/>
            <a:gd name="T13" fmla="*/ T12 w 430"/>
            <a:gd name="T14" fmla="+- 0 694 352"/>
            <a:gd name="T15" fmla="*/ 694 h 457"/>
            <a:gd name="T16" fmla="+- 0 3532 3153"/>
            <a:gd name="T17" fmla="*/ T16 w 430"/>
            <a:gd name="T18" fmla="+- 0 756 352"/>
            <a:gd name="T19" fmla="*/ 756 h 457"/>
            <a:gd name="T20" fmla="+- 0 3476 3153"/>
            <a:gd name="T21" fmla="*/ T20 w 430"/>
            <a:gd name="T22" fmla="+- 0 793 352"/>
            <a:gd name="T23" fmla="*/ 793 h 457"/>
            <a:gd name="T24" fmla="+- 0 3406 3153"/>
            <a:gd name="T25" fmla="*/ T24 w 430"/>
            <a:gd name="T26" fmla="+- 0 807 352"/>
            <a:gd name="T27" fmla="*/ 807 h 457"/>
            <a:gd name="T28" fmla="+- 0 3379 3153"/>
            <a:gd name="T29" fmla="*/ T28 w 430"/>
            <a:gd name="T30" fmla="+- 0 808 352"/>
            <a:gd name="T31" fmla="*/ 808 h 457"/>
            <a:gd name="T32" fmla="+- 0 3362 3153"/>
            <a:gd name="T33" fmla="*/ T32 w 430"/>
            <a:gd name="T34" fmla="+- 0 808 352"/>
            <a:gd name="T35" fmla="*/ 808 h 457"/>
            <a:gd name="T36" fmla="+- 0 3289 3153"/>
            <a:gd name="T37" fmla="*/ T36 w 430"/>
            <a:gd name="T38" fmla="+- 0 801 352"/>
            <a:gd name="T39" fmla="*/ 801 h 457"/>
            <a:gd name="T40" fmla="+- 0 3230 3153"/>
            <a:gd name="T41" fmla="*/ T40 w 430"/>
            <a:gd name="T42" fmla="+- 0 778 352"/>
            <a:gd name="T43" fmla="*/ 778 h 457"/>
            <a:gd name="T44" fmla="+- 0 3186 3153"/>
            <a:gd name="T45" fmla="*/ T44 w 430"/>
            <a:gd name="T46" fmla="+- 0 734 352"/>
            <a:gd name="T47" fmla="*/ 734 h 457"/>
            <a:gd name="T48" fmla="+- 0 3160 3153"/>
            <a:gd name="T49" fmla="*/ T48 w 430"/>
            <a:gd name="T50" fmla="+- 0 674 352"/>
            <a:gd name="T51" fmla="*/ 674 h 457"/>
            <a:gd name="T52" fmla="+- 0 3153 3153"/>
            <a:gd name="T53" fmla="*/ T52 w 430"/>
            <a:gd name="T54" fmla="+- 0 619 352"/>
            <a:gd name="T55" fmla="*/ 619 h 457"/>
            <a:gd name="T56" fmla="+- 0 3153 3153"/>
            <a:gd name="T57" fmla="*/ T56 w 430"/>
            <a:gd name="T58" fmla="+- 0 352 352"/>
            <a:gd name="T59" fmla="*/ 352 h 457"/>
            <a:gd name="T60" fmla="+- 0 3292 3153"/>
            <a:gd name="T61" fmla="*/ T60 w 430"/>
            <a:gd name="T62" fmla="+- 0 352 352"/>
            <a:gd name="T63" fmla="*/ 352 h 457"/>
            <a:gd name="T64" fmla="+- 0 3292 3153"/>
            <a:gd name="T65" fmla="*/ T64 w 430"/>
            <a:gd name="T66" fmla="+- 0 626 352"/>
            <a:gd name="T67" fmla="*/ 626 h 457"/>
            <a:gd name="T68" fmla="+- 0 3293 3153"/>
            <a:gd name="T69" fmla="*/ T68 w 430"/>
            <a:gd name="T70" fmla="+- 0 643 352"/>
            <a:gd name="T71" fmla="*/ 643 h 457"/>
            <a:gd name="T72" fmla="+- 0 3336 3153"/>
            <a:gd name="T73" fmla="*/ T72 w 430"/>
            <a:gd name="T74" fmla="+- 0 698 352"/>
            <a:gd name="T75" fmla="*/ 698 h 457"/>
            <a:gd name="T76" fmla="+- 0 3368 3153"/>
            <a:gd name="T77" fmla="*/ T76 w 430"/>
            <a:gd name="T78" fmla="+- 0 703 352"/>
            <a:gd name="T79" fmla="*/ 703 h 457"/>
            <a:gd name="T80" fmla="+- 0 3385 3153"/>
            <a:gd name="T81" fmla="*/ T80 w 430"/>
            <a:gd name="T82" fmla="+- 0 702 352"/>
            <a:gd name="T83" fmla="*/ 702 h 457"/>
            <a:gd name="T84" fmla="+- 0 3439 3153"/>
            <a:gd name="T85" fmla="*/ T84 w 430"/>
            <a:gd name="T86" fmla="+- 0 658 352"/>
            <a:gd name="T87" fmla="*/ 658 h 457"/>
            <a:gd name="T88" fmla="+- 0 3444 3153"/>
            <a:gd name="T89" fmla="*/ T88 w 430"/>
            <a:gd name="T90" fmla="+- 0 626 352"/>
            <a:gd name="T91" fmla="*/ 626 h 457"/>
            <a:gd name="T92" fmla="+- 0 3444 3153"/>
            <a:gd name="T93" fmla="*/ T92 w 430"/>
            <a:gd name="T94" fmla="+- 0 352 352"/>
            <a:gd name="T95" fmla="*/ 352 h 457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  <a:cxn ang="0">
              <a:pos x="T57" y="T59"/>
            </a:cxn>
            <a:cxn ang="0">
              <a:pos x="T61" y="T63"/>
            </a:cxn>
            <a:cxn ang="0">
              <a:pos x="T65" y="T67"/>
            </a:cxn>
            <a:cxn ang="0">
              <a:pos x="T69" y="T71"/>
            </a:cxn>
            <a:cxn ang="0">
              <a:pos x="T73" y="T75"/>
            </a:cxn>
            <a:cxn ang="0">
              <a:pos x="T77" y="T79"/>
            </a:cxn>
            <a:cxn ang="0">
              <a:pos x="T81" y="T83"/>
            </a:cxn>
            <a:cxn ang="0">
              <a:pos x="T85" y="T87"/>
            </a:cxn>
            <a:cxn ang="0">
              <a:pos x="T89" y="T91"/>
            </a:cxn>
            <a:cxn ang="0">
              <a:pos x="T93" y="T95"/>
            </a:cxn>
          </a:cxnLst>
          <a:rect l="0" t="0" r="r" b="b"/>
          <a:pathLst>
            <a:path w="430" h="457">
              <a:moveTo>
                <a:pt x="291" y="0"/>
              </a:moveTo>
              <a:lnTo>
                <a:pt x="430" y="0"/>
              </a:lnTo>
              <a:lnTo>
                <a:pt x="430" y="267"/>
              </a:lnTo>
              <a:lnTo>
                <a:pt x="417" y="342"/>
              </a:lnTo>
              <a:lnTo>
                <a:pt x="379" y="404"/>
              </a:lnTo>
              <a:lnTo>
                <a:pt x="323" y="441"/>
              </a:lnTo>
              <a:lnTo>
                <a:pt x="253" y="455"/>
              </a:lnTo>
              <a:lnTo>
                <a:pt x="226" y="456"/>
              </a:lnTo>
              <a:lnTo>
                <a:pt x="209" y="456"/>
              </a:lnTo>
              <a:lnTo>
                <a:pt x="136" y="449"/>
              </a:lnTo>
              <a:lnTo>
                <a:pt x="77" y="426"/>
              </a:lnTo>
              <a:lnTo>
                <a:pt x="33" y="382"/>
              </a:lnTo>
              <a:lnTo>
                <a:pt x="7" y="322"/>
              </a:lnTo>
              <a:lnTo>
                <a:pt x="0" y="267"/>
              </a:lnTo>
              <a:lnTo>
                <a:pt x="0" y="0"/>
              </a:lnTo>
              <a:lnTo>
                <a:pt x="139" y="0"/>
              </a:lnTo>
              <a:lnTo>
                <a:pt x="139" y="274"/>
              </a:lnTo>
              <a:lnTo>
                <a:pt x="140" y="291"/>
              </a:lnTo>
              <a:lnTo>
                <a:pt x="183" y="346"/>
              </a:lnTo>
              <a:lnTo>
                <a:pt x="215" y="351"/>
              </a:lnTo>
              <a:lnTo>
                <a:pt x="232" y="350"/>
              </a:lnTo>
              <a:lnTo>
                <a:pt x="286" y="306"/>
              </a:lnTo>
              <a:lnTo>
                <a:pt x="291" y="274"/>
              </a:lnTo>
              <a:lnTo>
                <a:pt x="291" y="0"/>
              </a:lnTo>
              <a:close/>
            </a:path>
          </a:pathLst>
        </a:custGeom>
        <a:noFill/>
        <a:ln w="12701">
          <a:solidFill>
            <a:srgbClr val="231F2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99391</xdr:colOff>
      <xdr:row>1</xdr:row>
      <xdr:rowOff>182217</xdr:rowOff>
    </xdr:from>
    <xdr:to>
      <xdr:col>4</xdr:col>
      <xdr:colOff>389283</xdr:colOff>
      <xdr:row>2</xdr:row>
      <xdr:rowOff>74543</xdr:rowOff>
    </xdr:to>
    <xdr:sp macro="" textlink="">
      <xdr:nvSpPr>
        <xdr:cNvPr id="8" name="Freeform 6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>
          <a:spLocks/>
        </xdr:cNvSpPr>
      </xdr:nvSpPr>
      <xdr:spPr bwMode="auto">
        <a:xfrm>
          <a:off x="2471116" y="372717"/>
          <a:ext cx="289892" cy="273326"/>
        </a:xfrm>
        <a:custGeom>
          <a:avLst/>
          <a:gdLst>
            <a:gd name="T0" fmla="+- 0 4039 3818"/>
            <a:gd name="T1" fmla="*/ T0 w 361"/>
            <a:gd name="T2" fmla="+- 0 352 352"/>
            <a:gd name="T3" fmla="*/ 352 h 457"/>
            <a:gd name="T4" fmla="+- 0 4179 3818"/>
            <a:gd name="T5" fmla="*/ T4 w 361"/>
            <a:gd name="T6" fmla="+- 0 352 352"/>
            <a:gd name="T7" fmla="*/ 352 h 457"/>
            <a:gd name="T8" fmla="+- 0 4179 3818"/>
            <a:gd name="T9" fmla="*/ T8 w 361"/>
            <a:gd name="T10" fmla="+- 0 596 352"/>
            <a:gd name="T11" fmla="*/ 596 h 457"/>
            <a:gd name="T12" fmla="+- 0 4175 3818"/>
            <a:gd name="T13" fmla="*/ T12 w 361"/>
            <a:gd name="T14" fmla="+- 0 663 352"/>
            <a:gd name="T15" fmla="*/ 663 h 457"/>
            <a:gd name="T16" fmla="+- 0 4156 3818"/>
            <a:gd name="T17" fmla="*/ T16 w 361"/>
            <a:gd name="T18" fmla="+- 0 732 352"/>
            <a:gd name="T19" fmla="*/ 732 h 457"/>
            <a:gd name="T20" fmla="+- 0 4110 3818"/>
            <a:gd name="T21" fmla="*/ T20 w 361"/>
            <a:gd name="T22" fmla="+- 0 780 352"/>
            <a:gd name="T23" fmla="*/ 780 h 457"/>
            <a:gd name="T24" fmla="+- 0 4036 3818"/>
            <a:gd name="T25" fmla="*/ T24 w 361"/>
            <a:gd name="T26" fmla="+- 0 806 352"/>
            <a:gd name="T27" fmla="*/ 806 h 457"/>
            <a:gd name="T28" fmla="+- 0 4005 3818"/>
            <a:gd name="T29" fmla="*/ T28 w 361"/>
            <a:gd name="T30" fmla="+- 0 808 352"/>
            <a:gd name="T31" fmla="*/ 808 h 457"/>
            <a:gd name="T32" fmla="+- 0 3973 3818"/>
            <a:gd name="T33" fmla="*/ T32 w 361"/>
            <a:gd name="T34" fmla="+- 0 807 352"/>
            <a:gd name="T35" fmla="*/ 807 h 457"/>
            <a:gd name="T36" fmla="+- 0 3900 3818"/>
            <a:gd name="T37" fmla="*/ T36 w 361"/>
            <a:gd name="T38" fmla="+- 0 790 352"/>
            <a:gd name="T39" fmla="*/ 790 h 457"/>
            <a:gd name="T40" fmla="+- 0 3841 3818"/>
            <a:gd name="T41" fmla="*/ T40 w 361"/>
            <a:gd name="T42" fmla="+- 0 736 352"/>
            <a:gd name="T43" fmla="*/ 736 h 457"/>
            <a:gd name="T44" fmla="+- 0 3821 3818"/>
            <a:gd name="T45" fmla="*/ T44 w 361"/>
            <a:gd name="T46" fmla="+- 0 674 352"/>
            <a:gd name="T47" fmla="*/ 674 h 457"/>
            <a:gd name="T48" fmla="+- 0 3818 3818"/>
            <a:gd name="T49" fmla="*/ T48 w 361"/>
            <a:gd name="T50" fmla="+- 0 649 352"/>
            <a:gd name="T51" fmla="*/ 649 h 457"/>
            <a:gd name="T52" fmla="+- 0 3950 3818"/>
            <a:gd name="T53" fmla="*/ T52 w 361"/>
            <a:gd name="T54" fmla="+- 0 631 352"/>
            <a:gd name="T55" fmla="*/ 631 h 457"/>
            <a:gd name="T56" fmla="+- 0 3950 3818"/>
            <a:gd name="T57" fmla="*/ T56 w 361"/>
            <a:gd name="T58" fmla="+- 0 644 352"/>
            <a:gd name="T59" fmla="*/ 644 h 457"/>
            <a:gd name="T60" fmla="+- 0 3951 3818"/>
            <a:gd name="T61" fmla="*/ T60 w 361"/>
            <a:gd name="T62" fmla="+- 0 656 352"/>
            <a:gd name="T63" fmla="*/ 656 h 457"/>
            <a:gd name="T64" fmla="+- 0 3984 3818"/>
            <a:gd name="T65" fmla="*/ T64 w 361"/>
            <a:gd name="T66" fmla="+- 0 703 352"/>
            <a:gd name="T67" fmla="*/ 703 h 457"/>
            <a:gd name="T68" fmla="+- 0 3994 3818"/>
            <a:gd name="T69" fmla="*/ T68 w 361"/>
            <a:gd name="T70" fmla="+- 0 703 352"/>
            <a:gd name="T71" fmla="*/ 703 h 457"/>
            <a:gd name="T72" fmla="+- 0 4010 3818"/>
            <a:gd name="T73" fmla="*/ T72 w 361"/>
            <a:gd name="T74" fmla="+- 0 703 352"/>
            <a:gd name="T75" fmla="*/ 703 h 457"/>
            <a:gd name="T76" fmla="+- 0 4039 3818"/>
            <a:gd name="T77" fmla="*/ T76 w 361"/>
            <a:gd name="T78" fmla="+- 0 647 352"/>
            <a:gd name="T79" fmla="*/ 647 h 457"/>
            <a:gd name="T80" fmla="+- 0 4039 3818"/>
            <a:gd name="T81" fmla="*/ T80 w 361"/>
            <a:gd name="T82" fmla="+- 0 628 352"/>
            <a:gd name="T83" fmla="*/ 628 h 457"/>
            <a:gd name="T84" fmla="+- 0 4039 3818"/>
            <a:gd name="T85" fmla="*/ T84 w 361"/>
            <a:gd name="T86" fmla="+- 0 352 352"/>
            <a:gd name="T87" fmla="*/ 352 h 457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  <a:cxn ang="0">
              <a:pos x="T57" y="T59"/>
            </a:cxn>
            <a:cxn ang="0">
              <a:pos x="T61" y="T63"/>
            </a:cxn>
            <a:cxn ang="0">
              <a:pos x="T65" y="T67"/>
            </a:cxn>
            <a:cxn ang="0">
              <a:pos x="T69" y="T71"/>
            </a:cxn>
            <a:cxn ang="0">
              <a:pos x="T73" y="T75"/>
            </a:cxn>
            <a:cxn ang="0">
              <a:pos x="T77" y="T79"/>
            </a:cxn>
            <a:cxn ang="0">
              <a:pos x="T81" y="T83"/>
            </a:cxn>
            <a:cxn ang="0">
              <a:pos x="T85" y="T87"/>
            </a:cxn>
          </a:cxnLst>
          <a:rect l="0" t="0" r="r" b="b"/>
          <a:pathLst>
            <a:path w="361" h="457">
              <a:moveTo>
                <a:pt x="221" y="0"/>
              </a:moveTo>
              <a:lnTo>
                <a:pt x="361" y="0"/>
              </a:lnTo>
              <a:lnTo>
                <a:pt x="361" y="244"/>
              </a:lnTo>
              <a:lnTo>
                <a:pt x="357" y="311"/>
              </a:lnTo>
              <a:lnTo>
                <a:pt x="338" y="380"/>
              </a:lnTo>
              <a:lnTo>
                <a:pt x="292" y="428"/>
              </a:lnTo>
              <a:lnTo>
                <a:pt x="218" y="454"/>
              </a:lnTo>
              <a:lnTo>
                <a:pt x="187" y="456"/>
              </a:lnTo>
              <a:lnTo>
                <a:pt x="155" y="455"/>
              </a:lnTo>
              <a:lnTo>
                <a:pt x="82" y="438"/>
              </a:lnTo>
              <a:lnTo>
                <a:pt x="23" y="384"/>
              </a:lnTo>
              <a:lnTo>
                <a:pt x="3" y="322"/>
              </a:lnTo>
              <a:lnTo>
                <a:pt x="0" y="297"/>
              </a:lnTo>
              <a:lnTo>
                <a:pt x="132" y="279"/>
              </a:lnTo>
              <a:lnTo>
                <a:pt x="132" y="292"/>
              </a:lnTo>
              <a:lnTo>
                <a:pt x="133" y="304"/>
              </a:lnTo>
              <a:lnTo>
                <a:pt x="166" y="351"/>
              </a:lnTo>
              <a:lnTo>
                <a:pt x="176" y="351"/>
              </a:lnTo>
              <a:lnTo>
                <a:pt x="192" y="351"/>
              </a:lnTo>
              <a:lnTo>
                <a:pt x="221" y="295"/>
              </a:lnTo>
              <a:lnTo>
                <a:pt x="221" y="276"/>
              </a:lnTo>
              <a:lnTo>
                <a:pt x="221" y="0"/>
              </a:lnTo>
              <a:close/>
            </a:path>
          </a:pathLst>
        </a:custGeom>
        <a:noFill/>
        <a:ln w="12701">
          <a:solidFill>
            <a:srgbClr val="231F2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511363</xdr:colOff>
      <xdr:row>1</xdr:row>
      <xdr:rowOff>179273</xdr:rowOff>
    </xdr:from>
    <xdr:to>
      <xdr:col>5</xdr:col>
      <xdr:colOff>171654</xdr:colOff>
      <xdr:row>2</xdr:row>
      <xdr:rowOff>75179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pSpPr>
          <a:grpSpLocks/>
        </xdr:cNvGrpSpPr>
      </xdr:nvGrpSpPr>
      <xdr:grpSpPr bwMode="auto">
        <a:xfrm>
          <a:off x="2892613" y="369773"/>
          <a:ext cx="269891" cy="276906"/>
          <a:chOff x="4440" y="342"/>
          <a:chExt cx="435" cy="469"/>
        </a:xfrm>
      </xdr:grpSpPr>
      <xdr:sp macro="" textlink="">
        <xdr:nvSpPr>
          <xdr:cNvPr id="10" name="Freeform 8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>
            <a:spLocks/>
          </xdr:cNvSpPr>
        </xdr:nvSpPr>
        <xdr:spPr bwMode="auto">
          <a:xfrm>
            <a:off x="4449" y="351"/>
            <a:ext cx="415" cy="449"/>
          </a:xfrm>
          <a:custGeom>
            <a:avLst/>
            <a:gdLst>
              <a:gd name="T0" fmla="+- 0 4450 4450"/>
              <a:gd name="T1" fmla="*/ T0 w 415"/>
              <a:gd name="T2" fmla="+- 0 352 352"/>
              <a:gd name="T3" fmla="*/ 352 h 449"/>
              <a:gd name="T4" fmla="+- 0 4710 4450"/>
              <a:gd name="T5" fmla="*/ T4 w 415"/>
              <a:gd name="T6" fmla="+- 0 352 352"/>
              <a:gd name="T7" fmla="*/ 352 h 449"/>
              <a:gd name="T8" fmla="+- 0 4740 4450"/>
              <a:gd name="T9" fmla="*/ T8 w 415"/>
              <a:gd name="T10" fmla="+- 0 354 352"/>
              <a:gd name="T11" fmla="*/ 354 h 449"/>
              <a:gd name="T12" fmla="+- 0 4809 4450"/>
              <a:gd name="T13" fmla="*/ T12 w 415"/>
              <a:gd name="T14" fmla="+- 0 384 352"/>
              <a:gd name="T15" fmla="*/ 384 h 449"/>
              <a:gd name="T16" fmla="+- 0 4842 4450"/>
              <a:gd name="T17" fmla="*/ T16 w 415"/>
              <a:gd name="T18" fmla="+- 0 441 352"/>
              <a:gd name="T19" fmla="*/ 441 h 449"/>
              <a:gd name="T20" fmla="+- 0 4844 4450"/>
              <a:gd name="T21" fmla="*/ T20 w 415"/>
              <a:gd name="T22" fmla="+- 0 463 352"/>
              <a:gd name="T23" fmla="*/ 463 h 449"/>
              <a:gd name="T24" fmla="+- 0 4842 4450"/>
              <a:gd name="T25" fmla="*/ T24 w 415"/>
              <a:gd name="T26" fmla="+- 0 483 352"/>
              <a:gd name="T27" fmla="*/ 483 h 449"/>
              <a:gd name="T28" fmla="+- 0 4810 4450"/>
              <a:gd name="T29" fmla="*/ T28 w 415"/>
              <a:gd name="T30" fmla="+- 0 541 352"/>
              <a:gd name="T31" fmla="*/ 541 h 449"/>
              <a:gd name="T32" fmla="+- 0 4770 4450"/>
              <a:gd name="T33" fmla="*/ T32 w 415"/>
              <a:gd name="T34" fmla="+- 0 562 352"/>
              <a:gd name="T35" fmla="*/ 562 h 449"/>
              <a:gd name="T36" fmla="+- 0 4793 4450"/>
              <a:gd name="T37" fmla="*/ T36 w 415"/>
              <a:gd name="T38" fmla="+- 0 569 352"/>
              <a:gd name="T39" fmla="*/ 569 h 449"/>
              <a:gd name="T40" fmla="+- 0 4852 4450"/>
              <a:gd name="T41" fmla="*/ T40 w 415"/>
              <a:gd name="T42" fmla="+- 0 617 352"/>
              <a:gd name="T43" fmla="*/ 617 h 449"/>
              <a:gd name="T44" fmla="+- 0 4864 4450"/>
              <a:gd name="T45" fmla="*/ T44 w 415"/>
              <a:gd name="T46" fmla="+- 0 673 352"/>
              <a:gd name="T47" fmla="*/ 673 h 449"/>
              <a:gd name="T48" fmla="+- 0 4863 4450"/>
              <a:gd name="T49" fmla="*/ T48 w 415"/>
              <a:gd name="T50" fmla="+- 0 690 352"/>
              <a:gd name="T51" fmla="*/ 690 h 449"/>
              <a:gd name="T52" fmla="+- 0 4839 4450"/>
              <a:gd name="T53" fmla="*/ T52 w 415"/>
              <a:gd name="T54" fmla="+- 0 749 352"/>
              <a:gd name="T55" fmla="*/ 749 h 449"/>
              <a:gd name="T56" fmla="+- 0 4782 4450"/>
              <a:gd name="T57" fmla="*/ T56 w 415"/>
              <a:gd name="T58" fmla="+- 0 788 352"/>
              <a:gd name="T59" fmla="*/ 788 h 449"/>
              <a:gd name="T60" fmla="+- 0 4712 4450"/>
              <a:gd name="T61" fmla="*/ T60 w 415"/>
              <a:gd name="T62" fmla="+- 0 799 352"/>
              <a:gd name="T63" fmla="*/ 799 h 449"/>
              <a:gd name="T64" fmla="+- 0 4689 4450"/>
              <a:gd name="T65" fmla="*/ T64 w 415"/>
              <a:gd name="T66" fmla="+- 0 801 352"/>
              <a:gd name="T67" fmla="*/ 801 h 449"/>
              <a:gd name="T68" fmla="+- 0 4450 4450"/>
              <a:gd name="T69" fmla="*/ T68 w 415"/>
              <a:gd name="T70" fmla="+- 0 801 352"/>
              <a:gd name="T71" fmla="*/ 801 h 449"/>
              <a:gd name="T72" fmla="+- 0 4450 4450"/>
              <a:gd name="T73" fmla="*/ T72 w 415"/>
              <a:gd name="T74" fmla="+- 0 352 352"/>
              <a:gd name="T75" fmla="*/ 352 h 44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</a:cxnLst>
            <a:rect l="0" t="0" r="r" b="b"/>
            <a:pathLst>
              <a:path w="415" h="449">
                <a:moveTo>
                  <a:pt x="0" y="0"/>
                </a:moveTo>
                <a:lnTo>
                  <a:pt x="260" y="0"/>
                </a:lnTo>
                <a:lnTo>
                  <a:pt x="290" y="2"/>
                </a:lnTo>
                <a:lnTo>
                  <a:pt x="359" y="32"/>
                </a:lnTo>
                <a:lnTo>
                  <a:pt x="392" y="89"/>
                </a:lnTo>
                <a:lnTo>
                  <a:pt x="394" y="111"/>
                </a:lnTo>
                <a:lnTo>
                  <a:pt x="392" y="131"/>
                </a:lnTo>
                <a:lnTo>
                  <a:pt x="360" y="189"/>
                </a:lnTo>
                <a:lnTo>
                  <a:pt x="320" y="210"/>
                </a:lnTo>
                <a:lnTo>
                  <a:pt x="343" y="217"/>
                </a:lnTo>
                <a:lnTo>
                  <a:pt x="402" y="265"/>
                </a:lnTo>
                <a:lnTo>
                  <a:pt x="414" y="321"/>
                </a:lnTo>
                <a:lnTo>
                  <a:pt x="413" y="338"/>
                </a:lnTo>
                <a:lnTo>
                  <a:pt x="389" y="397"/>
                </a:lnTo>
                <a:lnTo>
                  <a:pt x="332" y="436"/>
                </a:lnTo>
                <a:lnTo>
                  <a:pt x="262" y="447"/>
                </a:lnTo>
                <a:lnTo>
                  <a:pt x="239" y="449"/>
                </a:lnTo>
                <a:lnTo>
                  <a:pt x="0" y="449"/>
                </a:lnTo>
                <a:lnTo>
                  <a:pt x="0" y="0"/>
                </a:lnTo>
                <a:close/>
              </a:path>
            </a:pathLst>
          </a:custGeom>
          <a:noFill/>
          <a:ln w="12701">
            <a:solidFill>
              <a:srgbClr val="231F2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579" y="432"/>
            <a:ext cx="139" cy="1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579" y="603"/>
            <a:ext cx="156" cy="11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3</xdr:col>
      <xdr:colOff>335764</xdr:colOff>
      <xdr:row>2</xdr:row>
      <xdr:rowOff>190277</xdr:rowOff>
    </xdr:from>
    <xdr:to>
      <xdr:col>5</xdr:col>
      <xdr:colOff>191692</xdr:colOff>
      <xdr:row>3</xdr:row>
      <xdr:rowOff>82826</xdr:rowOff>
    </xdr:to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97889" y="761777"/>
          <a:ext cx="1075128" cy="9257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119062</xdr:rowOff>
    </xdr:from>
    <xdr:to>
      <xdr:col>17</xdr:col>
      <xdr:colOff>42863</xdr:colOff>
      <xdr:row>12</xdr:row>
      <xdr:rowOff>154781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430000" y="1524000"/>
          <a:ext cx="3295650" cy="1047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15</xdr:col>
      <xdr:colOff>583406</xdr:colOff>
      <xdr:row>1</xdr:row>
      <xdr:rowOff>238124</xdr:rowOff>
    </xdr:from>
    <xdr:to>
      <xdr:col>17</xdr:col>
      <xdr:colOff>345281</xdr:colOff>
      <xdr:row>6</xdr:row>
      <xdr:rowOff>76199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3346906" y="428624"/>
          <a:ext cx="1333500" cy="933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54769</xdr:colOff>
      <xdr:row>1</xdr:row>
      <xdr:rowOff>304799</xdr:rowOff>
    </xdr:from>
    <xdr:to>
      <xdr:col>14</xdr:col>
      <xdr:colOff>940594</xdr:colOff>
      <xdr:row>6</xdr:row>
      <xdr:rowOff>114299</xdr:rowOff>
    </xdr:to>
    <xdr:pic>
      <xdr:nvPicPr>
        <xdr:cNvPr id="16" name="Picture 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1484769" y="495299"/>
          <a:ext cx="1476375" cy="904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914399</xdr:colOff>
      <xdr:row>67</xdr:row>
      <xdr:rowOff>175260</xdr:rowOff>
    </xdr:from>
    <xdr:to>
      <xdr:col>11</xdr:col>
      <xdr:colOff>1390854</xdr:colOff>
      <xdr:row>72</xdr:row>
      <xdr:rowOff>30480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FE95E46-F2F9-4F68-8DA5-CD46FD8C72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471" b="24841"/>
        <a:stretch/>
      </xdr:blipFill>
      <xdr:spPr bwMode="auto">
        <a:xfrm>
          <a:off x="8054339" y="13418820"/>
          <a:ext cx="2053795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707760</xdr:colOff>
      <xdr:row>67</xdr:row>
      <xdr:rowOff>148272</xdr:rowOff>
    </xdr:from>
    <xdr:to>
      <xdr:col>10</xdr:col>
      <xdr:colOff>435768</xdr:colOff>
      <xdr:row>72</xdr:row>
      <xdr:rowOff>81598</xdr:rowOff>
    </xdr:to>
    <xdr:pic>
      <xdr:nvPicPr>
        <xdr:cNvPr id="22" name="Picture 3">
          <a:extLst>
            <a:ext uri="{FF2B5EF4-FFF2-40B4-BE49-F238E27FC236}">
              <a16:creationId xmlns:a16="http://schemas.microsoft.com/office/drawing/2014/main" id="{1D1255AD-6406-402E-88D0-5BA4815A7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072240" y="13391832"/>
          <a:ext cx="1503468" cy="8782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601980</xdr:colOff>
      <xdr:row>67</xdr:row>
      <xdr:rowOff>114300</xdr:rowOff>
    </xdr:from>
    <xdr:to>
      <xdr:col>6</xdr:col>
      <xdr:colOff>478958</xdr:colOff>
      <xdr:row>74</xdr:row>
      <xdr:rowOff>15240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DDE0CAE-1D41-4F84-842B-6F0986868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alphaModFix/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colorTemperature colorTemp="4700"/>
                  </a14:imgEffect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" y="13357860"/>
          <a:ext cx="3496478" cy="1211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ke\costing%20dmahu\Dunham%20Bush\Dunham%20Bush%20AHU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ke\costing%20dmahu\Dunham%20Bush\Quo%20DunhamBus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%2520Comp/AHUBOM/TT%2520AHU%2520Costin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%20Comp\AHUBOM\TT%20AHU%20Cost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sting T1"/>
      <sheetName val="Costing T2"/>
      <sheetName val="Metal"/>
      <sheetName val="Coil Costing"/>
      <sheetName val="Sheet2"/>
      <sheetName val="Sheet3"/>
    </sheetNames>
    <sheetDataSet>
      <sheetData sheetId="0"/>
      <sheetData sheetId="1"/>
      <sheetData sheetId="2"/>
      <sheetData sheetId="3">
        <row r="2">
          <cell r="B2" t="str">
            <v>H</v>
          </cell>
        </row>
      </sheetData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o"/>
      <sheetName val="Costing T1"/>
      <sheetName val="Costing T2"/>
      <sheetName val="Coil Costing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SELECTION"/>
      <sheetName val="TotComp"/>
      <sheetName val="BASIC"/>
      <sheetName val="BlowerPricing"/>
      <sheetName val="Motor"/>
      <sheetName val="Comp Price"/>
      <sheetName val="LandedCoil"/>
      <sheetName val="ISOLATOR"/>
      <sheetName val="YDS"/>
      <sheetName val="Taperlock"/>
      <sheetName val="V--Belt"/>
      <sheetName val="Sele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</row>
        <row r="2">
          <cell r="A2" t="str">
            <v>PRICELIST: Tomahawk Floor Mounted, Unhoused, 1-inch Deflection;</v>
          </cell>
        </row>
        <row r="3">
          <cell r="A3" t="str">
            <v>CUSTOMER: PT. O.Y.L. Sentral Manufacturing ( Attn: Ms. Tanti )</v>
          </cell>
          <cell r="H3">
            <v>37777</v>
          </cell>
        </row>
        <row r="4">
          <cell r="A4" t="str">
            <v>PT OYL SENTRA Part No. (If Any)</v>
          </cell>
          <cell r="B4" t="str">
            <v>Model</v>
          </cell>
          <cell r="C4" t="str">
            <v>Rated</v>
          </cell>
          <cell r="D4" t="str">
            <v>Rated</v>
          </cell>
          <cell r="E4" t="str">
            <v>Color</v>
          </cell>
          <cell r="F4" t="str">
            <v>Unit Price</v>
          </cell>
          <cell r="H4" t="str">
            <v>Landed</v>
          </cell>
        </row>
        <row r="5">
          <cell r="B5" t="str">
            <v>/</v>
          </cell>
          <cell r="C5" t="str">
            <v>Load</v>
          </cell>
          <cell r="D5" t="str">
            <v>Defl.</v>
          </cell>
          <cell r="F5" t="str">
            <v>NET,</v>
          </cell>
          <cell r="G5" t="str">
            <v>LCF</v>
          </cell>
          <cell r="H5" t="str">
            <v>Cost</v>
          </cell>
        </row>
        <row r="6">
          <cell r="B6" t="str">
            <v>Size</v>
          </cell>
          <cell r="C6" t="str">
            <v>Lbs</v>
          </cell>
          <cell r="D6" t="str">
            <v>Ins.</v>
          </cell>
          <cell r="E6" t="str">
            <v>Code</v>
          </cell>
          <cell r="F6" t="str">
            <v>USD</v>
          </cell>
          <cell r="H6" t="str">
            <v>USD</v>
          </cell>
        </row>
        <row r="7">
          <cell r="A7" t="str">
            <v>YDS-A4e</v>
          </cell>
          <cell r="B7" t="str">
            <v>YDS-A4e</v>
          </cell>
          <cell r="C7">
            <v>4</v>
          </cell>
          <cell r="D7">
            <v>1.35</v>
          </cell>
          <cell r="E7" t="str">
            <v>gold</v>
          </cell>
          <cell r="F7">
            <v>4</v>
          </cell>
          <cell r="G7">
            <v>1.2</v>
          </cell>
          <cell r="H7">
            <v>4.8</v>
          </cell>
        </row>
        <row r="8">
          <cell r="A8" t="str">
            <v>YDS-A8e</v>
          </cell>
          <cell r="B8" t="str">
            <v>YDS-A8e</v>
          </cell>
          <cell r="C8">
            <v>8</v>
          </cell>
          <cell r="D8">
            <v>1.4</v>
          </cell>
          <cell r="E8" t="str">
            <v>brown</v>
          </cell>
          <cell r="F8">
            <v>4</v>
          </cell>
          <cell r="G8">
            <v>1.2</v>
          </cell>
          <cell r="H8">
            <v>4.8</v>
          </cell>
        </row>
        <row r="9">
          <cell r="A9" t="str">
            <v>YDS-A10e</v>
          </cell>
          <cell r="B9" t="str">
            <v>YDS-A10e</v>
          </cell>
          <cell r="C9">
            <v>10</v>
          </cell>
          <cell r="D9">
            <v>1.35</v>
          </cell>
          <cell r="E9" t="str">
            <v>grey</v>
          </cell>
          <cell r="F9">
            <v>4</v>
          </cell>
          <cell r="G9">
            <v>1.2</v>
          </cell>
          <cell r="H9">
            <v>4.8</v>
          </cell>
        </row>
        <row r="10">
          <cell r="A10" t="str">
            <v>YDS-A12e</v>
          </cell>
          <cell r="B10" t="str">
            <v>YDS-A12e</v>
          </cell>
          <cell r="C10">
            <v>12</v>
          </cell>
          <cell r="D10">
            <v>1.31</v>
          </cell>
          <cell r="E10" t="str">
            <v>red</v>
          </cell>
          <cell r="F10">
            <v>4.8000000000000016</v>
          </cell>
          <cell r="G10">
            <v>1.2</v>
          </cell>
          <cell r="H10">
            <v>5.7600000000000016</v>
          </cell>
        </row>
        <row r="11">
          <cell r="A11" t="str">
            <v>YDS-A20e</v>
          </cell>
          <cell r="B11" t="str">
            <v>YDS-A20e</v>
          </cell>
          <cell r="C11">
            <v>20</v>
          </cell>
          <cell r="D11">
            <v>1.35</v>
          </cell>
          <cell r="E11" t="str">
            <v>orange</v>
          </cell>
          <cell r="F11">
            <v>4.8000000000000016</v>
          </cell>
          <cell r="G11">
            <v>1.2</v>
          </cell>
          <cell r="H11">
            <v>5.7600000000000016</v>
          </cell>
        </row>
        <row r="12">
          <cell r="A12" t="str">
            <v>YDS-A25e</v>
          </cell>
          <cell r="B12" t="str">
            <v>YDS-A25e</v>
          </cell>
          <cell r="C12">
            <v>25</v>
          </cell>
          <cell r="D12">
            <v>1.35</v>
          </cell>
          <cell r="E12" t="str">
            <v>green</v>
          </cell>
          <cell r="F12">
            <v>4.8000000000000016</v>
          </cell>
          <cell r="G12">
            <v>1.2</v>
          </cell>
          <cell r="H12">
            <v>5.7600000000000016</v>
          </cell>
        </row>
        <row r="13">
          <cell r="A13" t="str">
            <v>YDS-A36e</v>
          </cell>
          <cell r="B13" t="str">
            <v>YDS-A36e</v>
          </cell>
          <cell r="C13">
            <v>36</v>
          </cell>
          <cell r="D13">
            <v>1.3</v>
          </cell>
          <cell r="E13" t="str">
            <v>blue</v>
          </cell>
          <cell r="F13">
            <v>4.8000000000000016</v>
          </cell>
          <cell r="G13">
            <v>1.2</v>
          </cell>
          <cell r="H13">
            <v>5.7600000000000016</v>
          </cell>
        </row>
        <row r="14">
          <cell r="A14" t="str">
            <v>YDS-A50e</v>
          </cell>
          <cell r="B14" t="str">
            <v>YDS-A50e</v>
          </cell>
          <cell r="C14">
            <v>50</v>
          </cell>
          <cell r="D14">
            <v>1.45</v>
          </cell>
          <cell r="E14" t="str">
            <v>white</v>
          </cell>
          <cell r="F14">
            <v>5.2</v>
          </cell>
          <cell r="G14">
            <v>1.2</v>
          </cell>
          <cell r="H14">
            <v>6.24</v>
          </cell>
        </row>
        <row r="15">
          <cell r="A15" t="str">
            <v>YDS-A75e</v>
          </cell>
          <cell r="B15" t="str">
            <v>YDS-A75e</v>
          </cell>
          <cell r="C15">
            <v>75</v>
          </cell>
          <cell r="D15">
            <v>1.38</v>
          </cell>
          <cell r="E15" t="str">
            <v>yellow</v>
          </cell>
          <cell r="F15">
            <v>5.2</v>
          </cell>
          <cell r="G15">
            <v>1.2</v>
          </cell>
          <cell r="H15">
            <v>6.24</v>
          </cell>
        </row>
        <row r="16">
          <cell r="A16" t="str">
            <v>YDS-A100e</v>
          </cell>
          <cell r="B16" t="str">
            <v>YDS-A100e</v>
          </cell>
          <cell r="C16">
            <v>100</v>
          </cell>
          <cell r="D16">
            <v>1.32</v>
          </cell>
          <cell r="E16" t="str">
            <v>grey</v>
          </cell>
          <cell r="F16">
            <v>5.2</v>
          </cell>
          <cell r="G16">
            <v>1.2</v>
          </cell>
          <cell r="H16">
            <v>6.24</v>
          </cell>
        </row>
        <row r="17">
          <cell r="A17" t="str">
            <v>YDS-A125e</v>
          </cell>
          <cell r="B17" t="str">
            <v>YDS-A125e</v>
          </cell>
          <cell r="C17">
            <v>125</v>
          </cell>
          <cell r="D17">
            <v>1.25</v>
          </cell>
          <cell r="E17" t="str">
            <v>orange</v>
          </cell>
          <cell r="F17">
            <v>5.6000000000000005</v>
          </cell>
          <cell r="G17">
            <v>1.2</v>
          </cell>
          <cell r="H17">
            <v>6.7200000000000006</v>
          </cell>
        </row>
        <row r="18">
          <cell r="A18" t="str">
            <v>YDS-A160e</v>
          </cell>
          <cell r="B18" t="str">
            <v>YDS-A160e</v>
          </cell>
          <cell r="C18">
            <v>160</v>
          </cell>
          <cell r="D18">
            <v>1.18</v>
          </cell>
          <cell r="E18" t="str">
            <v>tan</v>
          </cell>
          <cell r="F18">
            <v>5.6000000000000005</v>
          </cell>
          <cell r="G18">
            <v>1.2</v>
          </cell>
          <cell r="H18">
            <v>6.7200000000000006</v>
          </cell>
        </row>
        <row r="19">
          <cell r="A19" t="str">
            <v>YDS-A190e</v>
          </cell>
          <cell r="B19" t="str">
            <v>YDS-A190e</v>
          </cell>
          <cell r="C19">
            <v>190</v>
          </cell>
          <cell r="D19">
            <v>1.1200000000000001</v>
          </cell>
          <cell r="E19" t="str">
            <v>dark green</v>
          </cell>
          <cell r="F19">
            <v>5.6000000000000005</v>
          </cell>
          <cell r="G19">
            <v>1.2</v>
          </cell>
          <cell r="H19">
            <v>6.7200000000000006</v>
          </cell>
        </row>
        <row r="20">
          <cell r="A20" t="str">
            <v>YDS-A210e</v>
          </cell>
          <cell r="B20" t="str">
            <v>YDS-A210e</v>
          </cell>
          <cell r="C20">
            <v>210</v>
          </cell>
          <cell r="D20">
            <v>1.1000000000000001</v>
          </cell>
          <cell r="E20" t="str">
            <v>red</v>
          </cell>
          <cell r="F20">
            <v>5.6000000000000005</v>
          </cell>
          <cell r="G20">
            <v>1.2</v>
          </cell>
          <cell r="H20">
            <v>6.7200000000000006</v>
          </cell>
        </row>
        <row r="21">
          <cell r="A21" t="str">
            <v>YDS-A270e</v>
          </cell>
          <cell r="B21" t="str">
            <v>YDS-A270e</v>
          </cell>
          <cell r="C21">
            <v>270</v>
          </cell>
          <cell r="D21">
            <v>1.08</v>
          </cell>
          <cell r="E21" t="str">
            <v>dark blue</v>
          </cell>
          <cell r="F21">
            <v>5.6000000000000005</v>
          </cell>
          <cell r="G21">
            <v>1.2</v>
          </cell>
          <cell r="H21">
            <v>6.7200000000000006</v>
          </cell>
        </row>
        <row r="22">
          <cell r="A22" t="str">
            <v>YDS-A300e</v>
          </cell>
          <cell r="B22" t="str">
            <v>YDS-A300e</v>
          </cell>
          <cell r="C22">
            <v>300</v>
          </cell>
          <cell r="D22">
            <v>1.06</v>
          </cell>
          <cell r="E22" t="str">
            <v>brown</v>
          </cell>
          <cell r="F22">
            <v>6</v>
          </cell>
          <cell r="G22">
            <v>1.2</v>
          </cell>
          <cell r="H22">
            <v>7.1999999999999993</v>
          </cell>
        </row>
        <row r="23">
          <cell r="A23" t="str">
            <v>YDS-A325e</v>
          </cell>
          <cell r="B23" t="str">
            <v>YDS-A325e</v>
          </cell>
          <cell r="C23">
            <v>325</v>
          </cell>
          <cell r="D23">
            <v>1.04</v>
          </cell>
          <cell r="E23" t="str">
            <v>grey</v>
          </cell>
          <cell r="F23">
            <v>6.4</v>
          </cell>
          <cell r="G23">
            <v>1.2</v>
          </cell>
          <cell r="H23">
            <v>7.68</v>
          </cell>
        </row>
        <row r="24">
          <cell r="A24" t="str">
            <v>YDS-A350e</v>
          </cell>
          <cell r="B24" t="str">
            <v>YDS-A350e</v>
          </cell>
          <cell r="C24">
            <v>350</v>
          </cell>
          <cell r="D24">
            <v>1</v>
          </cell>
          <cell r="E24" t="str">
            <v>blue</v>
          </cell>
          <cell r="F24">
            <v>6.8000000000000007</v>
          </cell>
          <cell r="G24">
            <v>1.2</v>
          </cell>
          <cell r="H24">
            <v>8.16</v>
          </cell>
        </row>
        <row r="25">
          <cell r="A25" t="str">
            <v>YDS-A425e</v>
          </cell>
          <cell r="B25" t="str">
            <v>YDS-A425e</v>
          </cell>
          <cell r="C25">
            <v>425</v>
          </cell>
          <cell r="D25">
            <v>1</v>
          </cell>
          <cell r="E25" t="str">
            <v>orange</v>
          </cell>
          <cell r="F25">
            <v>7.2</v>
          </cell>
          <cell r="G25">
            <v>1.2</v>
          </cell>
          <cell r="H25">
            <v>8.64</v>
          </cell>
        </row>
        <row r="26">
          <cell r="A26" t="str">
            <v>YDS-A450e</v>
          </cell>
          <cell r="B26" t="str">
            <v>YDS-A450e</v>
          </cell>
          <cell r="C26">
            <v>450</v>
          </cell>
          <cell r="D26">
            <v>1</v>
          </cell>
          <cell r="E26" t="str">
            <v>green</v>
          </cell>
          <cell r="F26">
            <v>7.2</v>
          </cell>
          <cell r="G26">
            <v>1.2</v>
          </cell>
          <cell r="H26">
            <v>8.64</v>
          </cell>
        </row>
        <row r="27">
          <cell r="A27" t="str">
            <v>YDS-A620e</v>
          </cell>
          <cell r="B27" t="str">
            <v>YDS-A620e</v>
          </cell>
          <cell r="C27">
            <v>620</v>
          </cell>
          <cell r="D27">
            <v>1</v>
          </cell>
          <cell r="E27" t="str">
            <v>Black</v>
          </cell>
          <cell r="F27">
            <v>7.2</v>
          </cell>
          <cell r="G27">
            <v>1.2</v>
          </cell>
          <cell r="H27">
            <v>8.64</v>
          </cell>
        </row>
        <row r="28">
          <cell r="F28" t="str">
            <v>U.Price</v>
          </cell>
        </row>
        <row r="29">
          <cell r="A29" t="str">
            <v>YDS-B90</v>
          </cell>
          <cell r="B29" t="str">
            <v>YDS-B90</v>
          </cell>
          <cell r="C29">
            <v>90</v>
          </cell>
          <cell r="D29">
            <v>1.85</v>
          </cell>
          <cell r="E29" t="str">
            <v>brown</v>
          </cell>
          <cell r="F29">
            <v>8.8000000000000007</v>
          </cell>
          <cell r="G29">
            <v>1.2</v>
          </cell>
          <cell r="H29">
            <v>10.56</v>
          </cell>
        </row>
        <row r="30">
          <cell r="A30" t="str">
            <v>YDS-B120</v>
          </cell>
          <cell r="B30" t="str">
            <v>YDS-B120</v>
          </cell>
          <cell r="C30">
            <v>120</v>
          </cell>
          <cell r="D30">
            <v>1.78</v>
          </cell>
          <cell r="E30" t="str">
            <v>white</v>
          </cell>
          <cell r="F30">
            <v>8.8000000000000007</v>
          </cell>
          <cell r="G30">
            <v>1.2</v>
          </cell>
          <cell r="H30">
            <v>10.56</v>
          </cell>
        </row>
        <row r="31">
          <cell r="A31" t="str">
            <v>YDS-B155</v>
          </cell>
          <cell r="B31" t="str">
            <v>YDS-B155</v>
          </cell>
          <cell r="C31">
            <v>155</v>
          </cell>
          <cell r="D31">
            <v>1.67</v>
          </cell>
          <cell r="E31" t="str">
            <v>orange</v>
          </cell>
          <cell r="F31">
            <v>9.6000000000000032</v>
          </cell>
          <cell r="G31">
            <v>1.2</v>
          </cell>
          <cell r="H31">
            <v>11.520000000000003</v>
          </cell>
        </row>
        <row r="32">
          <cell r="A32" t="str">
            <v>YDS-B200</v>
          </cell>
          <cell r="B32" t="str">
            <v>YDS-B200</v>
          </cell>
          <cell r="C32">
            <v>200</v>
          </cell>
          <cell r="D32">
            <v>1.56</v>
          </cell>
          <cell r="E32" t="str">
            <v>tan</v>
          </cell>
          <cell r="F32">
            <v>9.6000000000000032</v>
          </cell>
          <cell r="G32">
            <v>1.2</v>
          </cell>
          <cell r="H32">
            <v>11.520000000000003</v>
          </cell>
        </row>
        <row r="33">
          <cell r="A33" t="str">
            <v>YDS-B270</v>
          </cell>
          <cell r="B33" t="str">
            <v>YDS-B270</v>
          </cell>
          <cell r="C33">
            <v>270</v>
          </cell>
          <cell r="D33">
            <v>1.45</v>
          </cell>
          <cell r="E33" t="str">
            <v>red</v>
          </cell>
          <cell r="F33">
            <v>10</v>
          </cell>
          <cell r="G33">
            <v>1.2</v>
          </cell>
          <cell r="H33">
            <v>12</v>
          </cell>
        </row>
        <row r="34">
          <cell r="A34" t="str">
            <v>YDS-B320</v>
          </cell>
          <cell r="B34" t="str">
            <v>YDS-B320</v>
          </cell>
          <cell r="C34">
            <v>320</v>
          </cell>
          <cell r="D34">
            <v>1.32</v>
          </cell>
          <cell r="E34" t="str">
            <v>green</v>
          </cell>
          <cell r="F34">
            <v>10</v>
          </cell>
          <cell r="G34">
            <v>1.2</v>
          </cell>
          <cell r="H34">
            <v>12</v>
          </cell>
        </row>
        <row r="35">
          <cell r="A35" t="str">
            <v>YDS-B445</v>
          </cell>
          <cell r="B35" t="str">
            <v>YDS-B445</v>
          </cell>
          <cell r="C35">
            <v>445</v>
          </cell>
          <cell r="D35">
            <v>1.3</v>
          </cell>
          <cell r="E35" t="str">
            <v>blue</v>
          </cell>
          <cell r="F35">
            <v>10.4</v>
          </cell>
          <cell r="G35">
            <v>1.2</v>
          </cell>
          <cell r="H35">
            <v>12.48</v>
          </cell>
        </row>
        <row r="36">
          <cell r="A36" t="str">
            <v>YDS-B500</v>
          </cell>
          <cell r="B36" t="str">
            <v>YDS-B500</v>
          </cell>
          <cell r="C36">
            <v>500</v>
          </cell>
          <cell r="D36">
            <v>1.25</v>
          </cell>
          <cell r="E36" t="str">
            <v>pink</v>
          </cell>
          <cell r="F36">
            <v>10.4</v>
          </cell>
          <cell r="G36">
            <v>1.2</v>
          </cell>
          <cell r="H36">
            <v>12.48</v>
          </cell>
        </row>
        <row r="37">
          <cell r="A37" t="str">
            <v>YDS-B550</v>
          </cell>
          <cell r="B37" t="str">
            <v>YDS-B550</v>
          </cell>
          <cell r="C37">
            <v>550</v>
          </cell>
          <cell r="D37">
            <v>1.2</v>
          </cell>
          <cell r="E37" t="str">
            <v>orange</v>
          </cell>
          <cell r="F37">
            <v>10.4</v>
          </cell>
          <cell r="G37">
            <v>1.2</v>
          </cell>
          <cell r="H37">
            <v>12.48</v>
          </cell>
        </row>
        <row r="38">
          <cell r="A38" t="str">
            <v>YDS-B630</v>
          </cell>
          <cell r="B38" t="str">
            <v>YDS-B630</v>
          </cell>
          <cell r="C38">
            <v>630</v>
          </cell>
          <cell r="D38">
            <v>1.1200000000000001</v>
          </cell>
          <cell r="E38" t="str">
            <v>grey</v>
          </cell>
          <cell r="F38">
            <v>10.8</v>
          </cell>
          <cell r="G38">
            <v>1.2</v>
          </cell>
          <cell r="H38">
            <v>12.96</v>
          </cell>
        </row>
        <row r="39">
          <cell r="A39" t="str">
            <v>YDS-B815</v>
          </cell>
          <cell r="B39" t="str">
            <v>YDS-B815</v>
          </cell>
          <cell r="C39">
            <v>815</v>
          </cell>
          <cell r="D39">
            <v>1.05</v>
          </cell>
          <cell r="E39" t="str">
            <v>black</v>
          </cell>
          <cell r="F39">
            <v>10.8</v>
          </cell>
          <cell r="G39">
            <v>1.2</v>
          </cell>
          <cell r="H39">
            <v>12.96</v>
          </cell>
        </row>
        <row r="40">
          <cell r="A40" t="str">
            <v>YDS-B910</v>
          </cell>
          <cell r="B40" t="str">
            <v>YDS-B910</v>
          </cell>
          <cell r="C40">
            <v>910</v>
          </cell>
          <cell r="D40">
            <v>1</v>
          </cell>
          <cell r="E40" t="str">
            <v>yellow</v>
          </cell>
          <cell r="F40">
            <v>11.200000000000001</v>
          </cell>
          <cell r="G40">
            <v>1.2</v>
          </cell>
          <cell r="H40">
            <v>13.440000000000001</v>
          </cell>
        </row>
        <row r="41">
          <cell r="A41" t="str">
            <v>YDS-B1000i</v>
          </cell>
          <cell r="B41" t="str">
            <v>YDS-B1000i</v>
          </cell>
          <cell r="C41">
            <v>1000</v>
          </cell>
          <cell r="D41">
            <v>1</v>
          </cell>
          <cell r="E41" t="str">
            <v>Blk + White</v>
          </cell>
          <cell r="F41">
            <v>12</v>
          </cell>
          <cell r="G41">
            <v>1.2</v>
          </cell>
          <cell r="H41">
            <v>14.399999999999999</v>
          </cell>
        </row>
        <row r="42">
          <cell r="A42" t="str">
            <v>YDS-B1220i</v>
          </cell>
          <cell r="B42" t="str">
            <v>YDS-B1220i</v>
          </cell>
          <cell r="C42">
            <v>1220</v>
          </cell>
          <cell r="D42">
            <v>1</v>
          </cell>
          <cell r="E42" t="str">
            <v>Blk + Yellow</v>
          </cell>
          <cell r="F42">
            <v>14</v>
          </cell>
          <cell r="G42">
            <v>1.2</v>
          </cell>
          <cell r="H42">
            <v>16.8</v>
          </cell>
        </row>
        <row r="43">
          <cell r="A43" t="str">
            <v>YDS-B1350i</v>
          </cell>
          <cell r="B43" t="str">
            <v>YDS-B1350i</v>
          </cell>
          <cell r="C43">
            <v>1350</v>
          </cell>
          <cell r="D43">
            <v>1</v>
          </cell>
          <cell r="E43" t="str">
            <v>yellow+red</v>
          </cell>
          <cell r="F43">
            <v>14.4</v>
          </cell>
          <cell r="G43">
            <v>1.2</v>
          </cell>
          <cell r="H43">
            <v>17.28</v>
          </cell>
        </row>
        <row r="45">
          <cell r="A45" t="str">
            <v>YDS-C140</v>
          </cell>
          <cell r="B45" t="str">
            <v>YDS-C140</v>
          </cell>
          <cell r="C45">
            <v>140</v>
          </cell>
          <cell r="D45">
            <v>1.95</v>
          </cell>
          <cell r="E45" t="str">
            <v>brown</v>
          </cell>
          <cell r="F45">
            <v>10.4</v>
          </cell>
          <cell r="G45">
            <v>1.2</v>
          </cell>
          <cell r="H45">
            <v>12.48</v>
          </cell>
        </row>
        <row r="46">
          <cell r="A46" t="str">
            <v>YDS-C240</v>
          </cell>
          <cell r="B46" t="str">
            <v>YDS-C240</v>
          </cell>
          <cell r="C46">
            <v>240</v>
          </cell>
          <cell r="D46">
            <v>1.77</v>
          </cell>
          <cell r="E46" t="str">
            <v>blue</v>
          </cell>
          <cell r="F46">
            <v>10.4</v>
          </cell>
          <cell r="G46">
            <v>1.2</v>
          </cell>
          <cell r="H46">
            <v>12.48</v>
          </cell>
        </row>
        <row r="47">
          <cell r="A47" t="str">
            <v>YDS-C380</v>
          </cell>
          <cell r="B47" t="str">
            <v>YDS-C380</v>
          </cell>
          <cell r="C47">
            <v>380</v>
          </cell>
          <cell r="D47">
            <v>1.62</v>
          </cell>
          <cell r="E47" t="str">
            <v>green</v>
          </cell>
          <cell r="F47">
            <v>11.200000000000001</v>
          </cell>
          <cell r="G47">
            <v>1.2</v>
          </cell>
          <cell r="H47">
            <v>13.440000000000001</v>
          </cell>
        </row>
        <row r="48">
          <cell r="A48" t="str">
            <v>YDS-C410</v>
          </cell>
          <cell r="B48" t="str">
            <v>YDS-C410</v>
          </cell>
          <cell r="C48">
            <v>410</v>
          </cell>
          <cell r="D48">
            <v>1.57</v>
          </cell>
          <cell r="E48" t="str">
            <v>grey</v>
          </cell>
          <cell r="F48">
            <v>11.200000000000001</v>
          </cell>
          <cell r="G48">
            <v>1.2</v>
          </cell>
          <cell r="H48">
            <v>13.440000000000001</v>
          </cell>
        </row>
        <row r="49">
          <cell r="A49" t="str">
            <v>YDS-C530</v>
          </cell>
          <cell r="B49" t="str">
            <v>YDS-C530</v>
          </cell>
          <cell r="C49">
            <v>530</v>
          </cell>
          <cell r="D49">
            <v>1.42</v>
          </cell>
          <cell r="E49" t="str">
            <v>red</v>
          </cell>
          <cell r="F49">
            <v>12</v>
          </cell>
          <cell r="G49">
            <v>1.2</v>
          </cell>
          <cell r="H49">
            <v>14.399999999999999</v>
          </cell>
        </row>
        <row r="50">
          <cell r="A50" t="str">
            <v>YDS-C650</v>
          </cell>
          <cell r="B50" t="str">
            <v>YDS-C650</v>
          </cell>
          <cell r="C50">
            <v>650</v>
          </cell>
          <cell r="D50">
            <v>1.38</v>
          </cell>
          <cell r="E50" t="str">
            <v>yellow</v>
          </cell>
          <cell r="F50">
            <v>12.8</v>
          </cell>
          <cell r="G50">
            <v>1.2</v>
          </cell>
          <cell r="H50">
            <v>15.36</v>
          </cell>
        </row>
        <row r="51">
          <cell r="A51" t="str">
            <v>YDS-C750</v>
          </cell>
          <cell r="B51" t="str">
            <v>YDS-C750</v>
          </cell>
          <cell r="C51">
            <v>750</v>
          </cell>
          <cell r="D51">
            <v>1.28</v>
          </cell>
          <cell r="E51" t="str">
            <v>orange</v>
          </cell>
          <cell r="F51">
            <v>13.600000000000001</v>
          </cell>
          <cell r="G51">
            <v>1.2</v>
          </cell>
          <cell r="H51">
            <v>16.32</v>
          </cell>
        </row>
        <row r="52">
          <cell r="A52" t="str">
            <v>YDS-C900i</v>
          </cell>
          <cell r="B52" t="str">
            <v>YDS-C900i</v>
          </cell>
          <cell r="C52">
            <v>900</v>
          </cell>
          <cell r="D52">
            <v>1.28</v>
          </cell>
          <cell r="E52" t="str">
            <v>orgn+tan</v>
          </cell>
          <cell r="F52">
            <v>14.4</v>
          </cell>
          <cell r="G52">
            <v>1.2</v>
          </cell>
          <cell r="H52">
            <v>17.28</v>
          </cell>
        </row>
        <row r="53">
          <cell r="A53" t="str">
            <v>YDS-C1040</v>
          </cell>
          <cell r="B53" t="str">
            <v>YDS-C1040</v>
          </cell>
          <cell r="C53">
            <v>1040</v>
          </cell>
          <cell r="D53">
            <v>1.1000000000000001</v>
          </cell>
          <cell r="E53" t="str">
            <v>white</v>
          </cell>
          <cell r="F53">
            <v>14.4</v>
          </cell>
          <cell r="G53">
            <v>1.2</v>
          </cell>
          <cell r="H53">
            <v>17.28</v>
          </cell>
        </row>
        <row r="54">
          <cell r="A54" t="str">
            <v>YDS-C1260i</v>
          </cell>
          <cell r="B54" t="str">
            <v>YDS-C1260i</v>
          </cell>
          <cell r="C54">
            <v>1260</v>
          </cell>
          <cell r="D54">
            <v>1.1000000000000001</v>
          </cell>
          <cell r="E54" t="str">
            <v>whi+grn</v>
          </cell>
          <cell r="F54">
            <v>16</v>
          </cell>
          <cell r="G54">
            <v>1.2</v>
          </cell>
          <cell r="H54">
            <v>19.2</v>
          </cell>
        </row>
        <row r="55">
          <cell r="A55" t="str">
            <v>YDS-C1470</v>
          </cell>
          <cell r="B55" t="str">
            <v>YDS-C1470</v>
          </cell>
          <cell r="C55">
            <v>1470</v>
          </cell>
          <cell r="D55">
            <v>1</v>
          </cell>
          <cell r="E55" t="str">
            <v>black</v>
          </cell>
          <cell r="F55">
            <v>17.600000000000001</v>
          </cell>
          <cell r="G55">
            <v>1.2</v>
          </cell>
          <cell r="H55">
            <v>21.12</v>
          </cell>
        </row>
        <row r="56">
          <cell r="A56" t="str">
            <v>YDS-C1720i</v>
          </cell>
          <cell r="B56" t="str">
            <v>YDS-C1720i</v>
          </cell>
          <cell r="C56">
            <v>1720</v>
          </cell>
          <cell r="D56">
            <v>1</v>
          </cell>
          <cell r="E56" t="str">
            <v>blk+red</v>
          </cell>
          <cell r="F56">
            <v>18.400000000000002</v>
          </cell>
          <cell r="G56">
            <v>1.2</v>
          </cell>
          <cell r="H56">
            <v>22.080000000000002</v>
          </cell>
        </row>
        <row r="57">
          <cell r="A57" t="str">
            <v>YDS-C1880i</v>
          </cell>
          <cell r="B57" t="str">
            <v>YDS-C1880i</v>
          </cell>
          <cell r="C57">
            <v>1880</v>
          </cell>
          <cell r="D57">
            <v>1</v>
          </cell>
          <cell r="E57" t="str">
            <v>blk+orgn</v>
          </cell>
          <cell r="F57">
            <v>19.200000000000006</v>
          </cell>
          <cell r="G57">
            <v>1.2</v>
          </cell>
          <cell r="H57">
            <v>23.040000000000006</v>
          </cell>
        </row>
        <row r="58">
          <cell r="A58" t="str">
            <v>YDS-C1900</v>
          </cell>
          <cell r="B58" t="str">
            <v>YDS-C1900</v>
          </cell>
          <cell r="C58">
            <v>1900</v>
          </cell>
          <cell r="D58">
            <v>1</v>
          </cell>
          <cell r="E58" t="str">
            <v>yellow</v>
          </cell>
          <cell r="F58">
            <v>19.400000000000002</v>
          </cell>
          <cell r="G58">
            <v>1.2</v>
          </cell>
          <cell r="H58">
            <v>23.28</v>
          </cell>
        </row>
        <row r="59">
          <cell r="A59" t="str">
            <v>YDS-C2080i</v>
          </cell>
          <cell r="B59" t="str">
            <v>YDS-C2080i</v>
          </cell>
          <cell r="C59">
            <v>2080</v>
          </cell>
          <cell r="D59">
            <v>1</v>
          </cell>
          <cell r="E59" t="str">
            <v>blk+blue</v>
          </cell>
          <cell r="F59">
            <v>20</v>
          </cell>
          <cell r="G59">
            <v>1.2</v>
          </cell>
          <cell r="H59">
            <v>24</v>
          </cell>
        </row>
        <row r="60">
          <cell r="A60" t="str">
            <v>YDS-C2330i</v>
          </cell>
          <cell r="B60" t="str">
            <v>YDS-C2330i</v>
          </cell>
          <cell r="C60">
            <v>2330</v>
          </cell>
          <cell r="D60">
            <v>1</v>
          </cell>
          <cell r="E60" t="str">
            <v>Yel+ Orange</v>
          </cell>
          <cell r="F60">
            <v>20.400000000000002</v>
          </cell>
          <cell r="G60">
            <v>1.2</v>
          </cell>
          <cell r="H60">
            <v>24.48</v>
          </cell>
        </row>
        <row r="61">
          <cell r="A61" t="str">
            <v>YDS-C2510i</v>
          </cell>
          <cell r="B61" t="str">
            <v>YDS-C2510i</v>
          </cell>
          <cell r="C61">
            <v>2510</v>
          </cell>
          <cell r="D61">
            <v>1</v>
          </cell>
          <cell r="E61" t="str">
            <v>Yel+Blue</v>
          </cell>
          <cell r="F61">
            <v>20.8</v>
          </cell>
          <cell r="G61">
            <v>1.2</v>
          </cell>
          <cell r="H61">
            <v>24.96</v>
          </cell>
        </row>
        <row r="63">
          <cell r="A63" t="str">
            <v>YDS-CX2570i</v>
          </cell>
          <cell r="B63" t="str">
            <v>YDS-CX2570i</v>
          </cell>
          <cell r="C63">
            <v>2570</v>
          </cell>
          <cell r="D63">
            <v>1</v>
          </cell>
          <cell r="E63" t="str">
            <v>D.blue+yel</v>
          </cell>
          <cell r="F63">
            <v>28.8</v>
          </cell>
          <cell r="G63">
            <v>1.2</v>
          </cell>
          <cell r="H63">
            <v>34.56</v>
          </cell>
        </row>
        <row r="64">
          <cell r="A64" t="str">
            <v>YDS-CX2650i</v>
          </cell>
          <cell r="B64" t="str">
            <v>YDS-CX2650i</v>
          </cell>
          <cell r="C64">
            <v>2650</v>
          </cell>
          <cell r="D64">
            <v>1</v>
          </cell>
          <cell r="E64" t="str">
            <v>D.blue+orgn</v>
          </cell>
          <cell r="F64">
            <v>30</v>
          </cell>
          <cell r="G64">
            <v>1.2</v>
          </cell>
          <cell r="H64">
            <v>36</v>
          </cell>
        </row>
        <row r="65">
          <cell r="A65" t="str">
            <v>YDS-CX2800i</v>
          </cell>
          <cell r="B65" t="str">
            <v>YDS-CX2800i</v>
          </cell>
          <cell r="C65">
            <v>2800</v>
          </cell>
          <cell r="D65">
            <v>1</v>
          </cell>
          <cell r="E65" t="str">
            <v>D.blue+Grn</v>
          </cell>
          <cell r="F65">
            <v>31.200000000000003</v>
          </cell>
          <cell r="G65">
            <v>1.2</v>
          </cell>
          <cell r="H65">
            <v>37.440000000000005</v>
          </cell>
        </row>
        <row r="66">
          <cell r="A66" t="str">
            <v>YDS-CY2750i</v>
          </cell>
          <cell r="B66" t="str">
            <v>YDS-CY2750i</v>
          </cell>
          <cell r="C66">
            <v>2750</v>
          </cell>
          <cell r="D66">
            <v>1</v>
          </cell>
          <cell r="E66" t="str">
            <v>Brown + Yel</v>
          </cell>
          <cell r="F66">
            <v>48</v>
          </cell>
          <cell r="G66">
            <v>1.2</v>
          </cell>
          <cell r="H66">
            <v>57.599999999999994</v>
          </cell>
        </row>
        <row r="67">
          <cell r="A67" t="str">
            <v>YDS-CY2850i</v>
          </cell>
          <cell r="B67" t="str">
            <v>YDS-CY2850i</v>
          </cell>
          <cell r="C67">
            <v>2850</v>
          </cell>
          <cell r="D67">
            <v>1</v>
          </cell>
          <cell r="E67" t="str">
            <v>Brown + Red</v>
          </cell>
          <cell r="F67">
            <v>52</v>
          </cell>
          <cell r="G67">
            <v>1.2</v>
          </cell>
          <cell r="H67">
            <v>62.4</v>
          </cell>
        </row>
        <row r="68">
          <cell r="A68" t="str">
            <v>YDS-CY3050i</v>
          </cell>
          <cell r="B68" t="str">
            <v>YDS-CY3050i</v>
          </cell>
          <cell r="C68">
            <v>3050</v>
          </cell>
          <cell r="D68">
            <v>1</v>
          </cell>
          <cell r="E68" t="str">
            <v>Brown+Green</v>
          </cell>
          <cell r="F68">
            <v>56</v>
          </cell>
          <cell r="G68">
            <v>1.2</v>
          </cell>
          <cell r="H68">
            <v>67.2</v>
          </cell>
        </row>
        <row r="69">
          <cell r="A69" t="str">
            <v>YDS-CY3300i</v>
          </cell>
          <cell r="B69" t="str">
            <v>YDS-CY3300i</v>
          </cell>
          <cell r="C69">
            <v>3300</v>
          </cell>
          <cell r="D69">
            <v>1</v>
          </cell>
          <cell r="E69" t="str">
            <v>Brown + Blue</v>
          </cell>
          <cell r="F69">
            <v>60</v>
          </cell>
          <cell r="G69">
            <v>1.2</v>
          </cell>
          <cell r="H69">
            <v>72</v>
          </cell>
        </row>
        <row r="70">
          <cell r="A70" t="str">
            <v>YDS-CZ4000</v>
          </cell>
          <cell r="B70" t="str">
            <v>YDS-CZ4000</v>
          </cell>
          <cell r="C70">
            <v>4000</v>
          </cell>
          <cell r="D70">
            <v>1</v>
          </cell>
          <cell r="E70" t="str">
            <v>Brown + Blue</v>
          </cell>
          <cell r="F70">
            <v>68</v>
          </cell>
          <cell r="G70">
            <v>1.2</v>
          </cell>
          <cell r="H70">
            <v>81.599999999999994</v>
          </cell>
        </row>
        <row r="73">
          <cell r="B73" t="str">
            <v>Models :  RM-1A, RM-2B, RM-2BX, RM-2BY, RM-3C, RM-4D.</v>
          </cell>
        </row>
        <row r="74">
          <cell r="C74" t="str">
            <v>Rated</v>
          </cell>
          <cell r="D74" t="str">
            <v>Rated</v>
          </cell>
          <cell r="E74" t="str">
            <v>Color</v>
          </cell>
          <cell r="F74" t="str">
            <v>Unit</v>
          </cell>
          <cell r="H74" t="str">
            <v>Landed</v>
          </cell>
        </row>
        <row r="75">
          <cell r="B75" t="str">
            <v>Model</v>
          </cell>
          <cell r="C75" t="str">
            <v>Load</v>
          </cell>
          <cell r="D75" t="str">
            <v>Defl.</v>
          </cell>
          <cell r="E75" t="str">
            <v>code</v>
          </cell>
          <cell r="F75" t="str">
            <v>Price</v>
          </cell>
          <cell r="H75" t="str">
            <v>Cost</v>
          </cell>
        </row>
        <row r="76">
          <cell r="C76" t="str">
            <v>Kg</v>
          </cell>
          <cell r="D76" t="str">
            <v>mm</v>
          </cell>
          <cell r="F76" t="str">
            <v>USD</v>
          </cell>
          <cell r="H76" t="str">
            <v>USD</v>
          </cell>
        </row>
        <row r="77">
          <cell r="A77" t="str">
            <v>RM-1A-white</v>
          </cell>
          <cell r="B77" t="str">
            <v>RM-1A</v>
          </cell>
          <cell r="C77" t="str">
            <v>1-18</v>
          </cell>
          <cell r="E77" t="str">
            <v>white</v>
          </cell>
          <cell r="F77">
            <v>2.2000000000000002</v>
          </cell>
          <cell r="G77">
            <v>1.2</v>
          </cell>
          <cell r="H77">
            <v>2.64</v>
          </cell>
        </row>
        <row r="78">
          <cell r="A78" t="str">
            <v>RM-1A-yellow</v>
          </cell>
          <cell r="B78" t="str">
            <v>RM-1A</v>
          </cell>
          <cell r="C78" t="str">
            <v>2-36</v>
          </cell>
          <cell r="D78">
            <v>6</v>
          </cell>
          <cell r="E78" t="str">
            <v>yellow</v>
          </cell>
          <cell r="F78">
            <v>2.2000000000000002</v>
          </cell>
          <cell r="G78">
            <v>1.2</v>
          </cell>
          <cell r="H78">
            <v>2.64</v>
          </cell>
        </row>
        <row r="79">
          <cell r="A79" t="str">
            <v>RM-1A-orange</v>
          </cell>
          <cell r="B79" t="str">
            <v>RM-1A</v>
          </cell>
          <cell r="C79" t="str">
            <v>3-56</v>
          </cell>
          <cell r="E79" t="str">
            <v>orange</v>
          </cell>
          <cell r="F79">
            <v>2.2000000000000002</v>
          </cell>
          <cell r="G79">
            <v>1.2</v>
          </cell>
          <cell r="H79">
            <v>2.64</v>
          </cell>
        </row>
        <row r="80">
          <cell r="A80" t="str">
            <v>-</v>
          </cell>
          <cell r="G80">
            <v>1.2</v>
          </cell>
          <cell r="H80">
            <v>0</v>
          </cell>
        </row>
        <row r="81">
          <cell r="A81" t="str">
            <v>RM-2B-yellow</v>
          </cell>
          <cell r="B81" t="str">
            <v>RM-2B</v>
          </cell>
          <cell r="C81" t="str">
            <v>4-50</v>
          </cell>
          <cell r="E81" t="str">
            <v>yellow</v>
          </cell>
          <cell r="F81">
            <v>2.6</v>
          </cell>
          <cell r="G81">
            <v>1.2</v>
          </cell>
          <cell r="H81">
            <v>3.12</v>
          </cell>
        </row>
        <row r="82">
          <cell r="A82" t="str">
            <v>RM-2B-orange</v>
          </cell>
          <cell r="B82" t="str">
            <v>RM-2B</v>
          </cell>
          <cell r="C82" t="str">
            <v>5-70</v>
          </cell>
          <cell r="D82">
            <v>7.5</v>
          </cell>
          <cell r="E82" t="str">
            <v>orange</v>
          </cell>
          <cell r="F82">
            <v>2.6</v>
          </cell>
          <cell r="G82">
            <v>1.2</v>
          </cell>
          <cell r="H82">
            <v>3.12</v>
          </cell>
        </row>
        <row r="83">
          <cell r="A83" t="str">
            <v>RM-2B-red</v>
          </cell>
          <cell r="B83" t="str">
            <v>RM-2B</v>
          </cell>
          <cell r="C83" t="str">
            <v>6-90</v>
          </cell>
          <cell r="E83" t="str">
            <v>red</v>
          </cell>
          <cell r="F83">
            <v>2.6</v>
          </cell>
          <cell r="G83">
            <v>1.2</v>
          </cell>
          <cell r="H83">
            <v>3.12</v>
          </cell>
        </row>
        <row r="84">
          <cell r="A84" t="str">
            <v>-</v>
          </cell>
          <cell r="H84">
            <v>0</v>
          </cell>
        </row>
        <row r="85">
          <cell r="A85" t="str">
            <v>RM-2BX-orange</v>
          </cell>
          <cell r="B85" t="str">
            <v>RM-2BX</v>
          </cell>
          <cell r="C85" t="str">
            <v>9  - 90</v>
          </cell>
          <cell r="E85" t="str">
            <v>orange</v>
          </cell>
          <cell r="F85">
            <v>3</v>
          </cell>
          <cell r="G85">
            <v>1.2</v>
          </cell>
          <cell r="H85">
            <v>3.5999999999999996</v>
          </cell>
        </row>
        <row r="86">
          <cell r="A86" t="str">
            <v>RM-2BX-red</v>
          </cell>
          <cell r="B86" t="str">
            <v>RM-2BX</v>
          </cell>
          <cell r="C86" t="str">
            <v>12  - 120</v>
          </cell>
          <cell r="D86">
            <v>7.5</v>
          </cell>
          <cell r="E86" t="str">
            <v>red</v>
          </cell>
          <cell r="F86">
            <v>3</v>
          </cell>
          <cell r="G86">
            <v>1.2</v>
          </cell>
          <cell r="H86">
            <v>3.5999999999999996</v>
          </cell>
        </row>
        <row r="87">
          <cell r="A87" t="str">
            <v>-</v>
          </cell>
          <cell r="H87">
            <v>0</v>
          </cell>
        </row>
        <row r="88">
          <cell r="A88" t="str">
            <v>RM-2BY-orange</v>
          </cell>
          <cell r="B88" t="str">
            <v>RM-2BY</v>
          </cell>
          <cell r="C88" t="str">
            <v>5 - 100</v>
          </cell>
          <cell r="E88" t="str">
            <v>orange</v>
          </cell>
          <cell r="F88">
            <v>3.8</v>
          </cell>
          <cell r="G88">
            <v>1.2</v>
          </cell>
          <cell r="H88">
            <v>4.5599999999999996</v>
          </cell>
        </row>
        <row r="89">
          <cell r="A89" t="str">
            <v>RM-2BY-red</v>
          </cell>
          <cell r="B89" t="str">
            <v>RM-2BY</v>
          </cell>
          <cell r="C89" t="str">
            <v>10 -165</v>
          </cell>
          <cell r="D89">
            <v>7.5</v>
          </cell>
          <cell r="E89" t="str">
            <v>red</v>
          </cell>
          <cell r="F89">
            <v>3.8</v>
          </cell>
          <cell r="G89">
            <v>1.2</v>
          </cell>
          <cell r="H89">
            <v>4.5599999999999996</v>
          </cell>
        </row>
        <row r="90">
          <cell r="A90" t="str">
            <v>RM-2BY-grey</v>
          </cell>
          <cell r="B90" t="str">
            <v>RM-2BY</v>
          </cell>
          <cell r="C90" t="str">
            <v>15 - 235</v>
          </cell>
          <cell r="E90" t="str">
            <v>grey</v>
          </cell>
          <cell r="F90">
            <v>3.8</v>
          </cell>
          <cell r="G90">
            <v>1.2</v>
          </cell>
          <cell r="H90">
            <v>4.5599999999999996</v>
          </cell>
        </row>
        <row r="91">
          <cell r="A91" t="str">
            <v>-</v>
          </cell>
          <cell r="H91">
            <v>0</v>
          </cell>
        </row>
        <row r="92">
          <cell r="A92" t="str">
            <v>-</v>
          </cell>
          <cell r="H92">
            <v>0</v>
          </cell>
        </row>
        <row r="93">
          <cell r="A93" t="str">
            <v>RM-3C-orange</v>
          </cell>
          <cell r="B93" t="str">
            <v>RM-3C</v>
          </cell>
          <cell r="C93" t="str">
            <v>15 - 240</v>
          </cell>
          <cell r="E93" t="str">
            <v>orange</v>
          </cell>
          <cell r="F93">
            <v>8</v>
          </cell>
          <cell r="G93">
            <v>1.2</v>
          </cell>
          <cell r="H93">
            <v>9.6</v>
          </cell>
        </row>
        <row r="94">
          <cell r="A94" t="str">
            <v>RM-3C-red</v>
          </cell>
          <cell r="B94" t="str">
            <v>RM-3C</v>
          </cell>
          <cell r="C94" t="str">
            <v>20 - 330</v>
          </cell>
          <cell r="D94">
            <v>10.5</v>
          </cell>
          <cell r="E94" t="str">
            <v>red</v>
          </cell>
          <cell r="F94">
            <v>8</v>
          </cell>
          <cell r="G94">
            <v>1.2</v>
          </cell>
          <cell r="H94">
            <v>9.6</v>
          </cell>
        </row>
        <row r="95">
          <cell r="A95" t="str">
            <v>RM-3C-grey</v>
          </cell>
          <cell r="B95" t="str">
            <v>RM-3C</v>
          </cell>
          <cell r="C95" t="str">
            <v>25 - 450</v>
          </cell>
          <cell r="E95" t="str">
            <v>grey</v>
          </cell>
          <cell r="F95">
            <v>8</v>
          </cell>
          <cell r="G95">
            <v>1.2</v>
          </cell>
          <cell r="H95">
            <v>9.6</v>
          </cell>
        </row>
        <row r="96">
          <cell r="A96" t="str">
            <v>-</v>
          </cell>
          <cell r="H96">
            <v>0</v>
          </cell>
        </row>
        <row r="97">
          <cell r="A97" t="str">
            <v>RM-4D-red</v>
          </cell>
          <cell r="B97" t="str">
            <v>RM-4D</v>
          </cell>
          <cell r="C97" t="str">
            <v>25 - 700</v>
          </cell>
          <cell r="E97" t="str">
            <v>red</v>
          </cell>
          <cell r="F97">
            <v>15</v>
          </cell>
          <cell r="G97">
            <v>1.2</v>
          </cell>
          <cell r="H97">
            <v>18</v>
          </cell>
        </row>
        <row r="98">
          <cell r="A98" t="str">
            <v>RM-4D-grey</v>
          </cell>
          <cell r="B98" t="str">
            <v>RM-4D</v>
          </cell>
          <cell r="C98" t="str">
            <v>40 - 1010</v>
          </cell>
          <cell r="D98">
            <v>10.5</v>
          </cell>
          <cell r="E98" t="str">
            <v>grey</v>
          </cell>
          <cell r="F98">
            <v>15</v>
          </cell>
          <cell r="G98">
            <v>1.2</v>
          </cell>
          <cell r="H98">
            <v>18</v>
          </cell>
        </row>
        <row r="99">
          <cell r="A99" t="str">
            <v>-</v>
          </cell>
          <cell r="H99">
            <v>0</v>
          </cell>
        </row>
      </sheetData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SELECTION"/>
      <sheetName val="TotComp"/>
      <sheetName val="BASIC"/>
      <sheetName val="BlowerPricing"/>
      <sheetName val="Motor"/>
      <sheetName val="Comp Price"/>
      <sheetName val="LandedCoil"/>
      <sheetName val="ISOLATOR"/>
      <sheetName val="YDS"/>
      <sheetName val="Taperlock"/>
      <sheetName val="V--Belt"/>
      <sheetName val="Sele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</row>
        <row r="2">
          <cell r="A2" t="str">
            <v>PRICELIST: Tomahawk Floor Mounted, Unhoused, 1-inch Deflection;</v>
          </cell>
        </row>
        <row r="3">
          <cell r="A3" t="str">
            <v>CUSTOMER: PT. O.Y.L. Sentral Manufacturing ( Attn: Ms. Tanti )</v>
          </cell>
          <cell r="H3">
            <v>37777</v>
          </cell>
        </row>
        <row r="4">
          <cell r="A4" t="str">
            <v>PT OYL SENTRA Part No. (If Any)</v>
          </cell>
          <cell r="B4" t="str">
            <v>Model</v>
          </cell>
          <cell r="C4" t="str">
            <v>Rated</v>
          </cell>
          <cell r="D4" t="str">
            <v>Rated</v>
          </cell>
          <cell r="E4" t="str">
            <v>Color</v>
          </cell>
          <cell r="F4" t="str">
            <v>Unit Price</v>
          </cell>
          <cell r="H4" t="str">
            <v>Landed</v>
          </cell>
        </row>
        <row r="5">
          <cell r="B5" t="str">
            <v xml:space="preserve"> /</v>
          </cell>
          <cell r="C5" t="str">
            <v>Load</v>
          </cell>
          <cell r="D5" t="str">
            <v>Defl.</v>
          </cell>
          <cell r="F5" t="str">
            <v xml:space="preserve">NET, </v>
          </cell>
          <cell r="G5" t="str">
            <v>LCF</v>
          </cell>
          <cell r="H5" t="str">
            <v>Cost</v>
          </cell>
        </row>
        <row r="6">
          <cell r="B6" t="str">
            <v>Size</v>
          </cell>
          <cell r="C6" t="str">
            <v>Lbs</v>
          </cell>
          <cell r="D6" t="str">
            <v>Ins.</v>
          </cell>
          <cell r="E6" t="str">
            <v>Code</v>
          </cell>
          <cell r="F6" t="str">
            <v>USD</v>
          </cell>
          <cell r="H6" t="str">
            <v>USD</v>
          </cell>
        </row>
        <row r="7">
          <cell r="A7" t="str">
            <v>YDS-A4e</v>
          </cell>
          <cell r="B7" t="str">
            <v>YDS-A4e</v>
          </cell>
          <cell r="C7">
            <v>4</v>
          </cell>
          <cell r="D7">
            <v>1.35</v>
          </cell>
          <cell r="E7" t="str">
            <v>gold</v>
          </cell>
          <cell r="F7">
            <v>4</v>
          </cell>
          <cell r="G7">
            <v>1.2</v>
          </cell>
          <cell r="H7">
            <v>4.8</v>
          </cell>
        </row>
        <row r="8">
          <cell r="A8" t="str">
            <v>YDS-A8e</v>
          </cell>
          <cell r="B8" t="str">
            <v>YDS-A8e</v>
          </cell>
          <cell r="C8">
            <v>8</v>
          </cell>
          <cell r="D8">
            <v>1.4</v>
          </cell>
          <cell r="E8" t="str">
            <v>brown</v>
          </cell>
          <cell r="F8">
            <v>4</v>
          </cell>
          <cell r="G8">
            <v>1.2</v>
          </cell>
          <cell r="H8">
            <v>4.8</v>
          </cell>
        </row>
        <row r="9">
          <cell r="A9" t="str">
            <v>YDS-A10e</v>
          </cell>
          <cell r="B9" t="str">
            <v>YDS-A10e</v>
          </cell>
          <cell r="C9">
            <v>10</v>
          </cell>
          <cell r="D9">
            <v>1.35</v>
          </cell>
          <cell r="E9" t="str">
            <v>grey</v>
          </cell>
          <cell r="F9">
            <v>4</v>
          </cell>
          <cell r="G9">
            <v>1.2</v>
          </cell>
          <cell r="H9">
            <v>4.8</v>
          </cell>
        </row>
        <row r="10">
          <cell r="A10" t="str">
            <v>YDS-A12e</v>
          </cell>
          <cell r="B10" t="str">
            <v>YDS-A12e</v>
          </cell>
          <cell r="C10">
            <v>12</v>
          </cell>
          <cell r="D10">
            <v>1.31</v>
          </cell>
          <cell r="E10" t="str">
            <v>red</v>
          </cell>
          <cell r="F10">
            <v>4.8000000000000016</v>
          </cell>
          <cell r="G10">
            <v>1.2</v>
          </cell>
          <cell r="H10">
            <v>5.7600000000000016</v>
          </cell>
        </row>
        <row r="11">
          <cell r="A11" t="str">
            <v>YDS-A20e</v>
          </cell>
          <cell r="B11" t="str">
            <v>YDS-A20e</v>
          </cell>
          <cell r="C11">
            <v>20</v>
          </cell>
          <cell r="D11">
            <v>1.35</v>
          </cell>
          <cell r="E11" t="str">
            <v>orange</v>
          </cell>
          <cell r="F11">
            <v>4.8000000000000016</v>
          </cell>
          <cell r="G11">
            <v>1.2</v>
          </cell>
          <cell r="H11">
            <v>5.7600000000000016</v>
          </cell>
        </row>
        <row r="12">
          <cell r="A12" t="str">
            <v>YDS-A25e</v>
          </cell>
          <cell r="B12" t="str">
            <v>YDS-A25e</v>
          </cell>
          <cell r="C12">
            <v>25</v>
          </cell>
          <cell r="D12">
            <v>1.35</v>
          </cell>
          <cell r="E12" t="str">
            <v>green</v>
          </cell>
          <cell r="F12">
            <v>4.8000000000000016</v>
          </cell>
          <cell r="G12">
            <v>1.2</v>
          </cell>
          <cell r="H12">
            <v>5.7600000000000016</v>
          </cell>
        </row>
        <row r="13">
          <cell r="A13" t="str">
            <v>YDS-A36e</v>
          </cell>
          <cell r="B13" t="str">
            <v>YDS-A36e</v>
          </cell>
          <cell r="C13">
            <v>36</v>
          </cell>
          <cell r="D13">
            <v>1.3</v>
          </cell>
          <cell r="E13" t="str">
            <v>blue</v>
          </cell>
          <cell r="F13">
            <v>4.8000000000000016</v>
          </cell>
          <cell r="G13">
            <v>1.2</v>
          </cell>
          <cell r="H13">
            <v>5.7600000000000016</v>
          </cell>
        </row>
        <row r="14">
          <cell r="A14" t="str">
            <v>YDS-A50e</v>
          </cell>
          <cell r="B14" t="str">
            <v>YDS-A50e</v>
          </cell>
          <cell r="C14">
            <v>50</v>
          </cell>
          <cell r="D14">
            <v>1.45</v>
          </cell>
          <cell r="E14" t="str">
            <v>white</v>
          </cell>
          <cell r="F14">
            <v>5.2</v>
          </cell>
          <cell r="G14">
            <v>1.2</v>
          </cell>
          <cell r="H14">
            <v>6.24</v>
          </cell>
        </row>
        <row r="15">
          <cell r="A15" t="str">
            <v>YDS-A75e</v>
          </cell>
          <cell r="B15" t="str">
            <v>YDS-A75e</v>
          </cell>
          <cell r="C15">
            <v>75</v>
          </cell>
          <cell r="D15">
            <v>1.38</v>
          </cell>
          <cell r="E15" t="str">
            <v>yellow</v>
          </cell>
          <cell r="F15">
            <v>5.2</v>
          </cell>
          <cell r="G15">
            <v>1.2</v>
          </cell>
          <cell r="H15">
            <v>6.24</v>
          </cell>
        </row>
        <row r="16">
          <cell r="A16" t="str">
            <v>YDS-A100e</v>
          </cell>
          <cell r="B16" t="str">
            <v>YDS-A100e</v>
          </cell>
          <cell r="C16">
            <v>100</v>
          </cell>
          <cell r="D16">
            <v>1.32</v>
          </cell>
          <cell r="E16" t="str">
            <v>grey</v>
          </cell>
          <cell r="F16">
            <v>5.2</v>
          </cell>
          <cell r="G16">
            <v>1.2</v>
          </cell>
          <cell r="H16">
            <v>6.24</v>
          </cell>
        </row>
        <row r="17">
          <cell r="A17" t="str">
            <v>YDS-A125e</v>
          </cell>
          <cell r="B17" t="str">
            <v>YDS-A125e</v>
          </cell>
          <cell r="C17">
            <v>125</v>
          </cell>
          <cell r="D17">
            <v>1.25</v>
          </cell>
          <cell r="E17" t="str">
            <v>orange</v>
          </cell>
          <cell r="F17">
            <v>5.6000000000000005</v>
          </cell>
          <cell r="G17">
            <v>1.2</v>
          </cell>
          <cell r="H17">
            <v>6.7200000000000006</v>
          </cell>
        </row>
        <row r="18">
          <cell r="A18" t="str">
            <v>YDS-A160e</v>
          </cell>
          <cell r="B18" t="str">
            <v>YDS-A160e</v>
          </cell>
          <cell r="C18">
            <v>160</v>
          </cell>
          <cell r="D18">
            <v>1.18</v>
          </cell>
          <cell r="E18" t="str">
            <v>tan</v>
          </cell>
          <cell r="F18">
            <v>5.6000000000000005</v>
          </cell>
          <cell r="G18">
            <v>1.2</v>
          </cell>
          <cell r="H18">
            <v>6.7200000000000006</v>
          </cell>
        </row>
        <row r="19">
          <cell r="A19" t="str">
            <v>YDS-A190e</v>
          </cell>
          <cell r="B19" t="str">
            <v>YDS-A190e</v>
          </cell>
          <cell r="C19">
            <v>190</v>
          </cell>
          <cell r="D19">
            <v>1.1200000000000001</v>
          </cell>
          <cell r="E19" t="str">
            <v>dark green</v>
          </cell>
          <cell r="F19">
            <v>5.6000000000000005</v>
          </cell>
          <cell r="G19">
            <v>1.2</v>
          </cell>
          <cell r="H19">
            <v>6.7200000000000006</v>
          </cell>
        </row>
        <row r="20">
          <cell r="A20" t="str">
            <v>YDS-A210e</v>
          </cell>
          <cell r="B20" t="str">
            <v>YDS-A210e</v>
          </cell>
          <cell r="C20">
            <v>210</v>
          </cell>
          <cell r="D20">
            <v>1.1000000000000001</v>
          </cell>
          <cell r="E20" t="str">
            <v>red</v>
          </cell>
          <cell r="F20">
            <v>5.6000000000000005</v>
          </cell>
          <cell r="G20">
            <v>1.2</v>
          </cell>
          <cell r="H20">
            <v>6.7200000000000006</v>
          </cell>
        </row>
        <row r="21">
          <cell r="A21" t="str">
            <v>YDS-A270e</v>
          </cell>
          <cell r="B21" t="str">
            <v>YDS-A270e</v>
          </cell>
          <cell r="C21">
            <v>270</v>
          </cell>
          <cell r="D21">
            <v>1.08</v>
          </cell>
          <cell r="E21" t="str">
            <v>dark blue</v>
          </cell>
          <cell r="F21">
            <v>5.6000000000000005</v>
          </cell>
          <cell r="G21">
            <v>1.2</v>
          </cell>
          <cell r="H21">
            <v>6.7200000000000006</v>
          </cell>
        </row>
        <row r="22">
          <cell r="A22" t="str">
            <v>YDS-A300e</v>
          </cell>
          <cell r="B22" t="str">
            <v>YDS-A300e</v>
          </cell>
          <cell r="C22">
            <v>300</v>
          </cell>
          <cell r="D22">
            <v>1.06</v>
          </cell>
          <cell r="E22" t="str">
            <v>brown</v>
          </cell>
          <cell r="F22">
            <v>6</v>
          </cell>
          <cell r="G22">
            <v>1.2</v>
          </cell>
          <cell r="H22">
            <v>7.1999999999999993</v>
          </cell>
        </row>
        <row r="23">
          <cell r="A23" t="str">
            <v>YDS-A325e</v>
          </cell>
          <cell r="B23" t="str">
            <v>YDS-A325e</v>
          </cell>
          <cell r="C23">
            <v>325</v>
          </cell>
          <cell r="D23">
            <v>1.04</v>
          </cell>
          <cell r="E23" t="str">
            <v>grey</v>
          </cell>
          <cell r="F23">
            <v>6.4</v>
          </cell>
          <cell r="G23">
            <v>1.2</v>
          </cell>
          <cell r="H23">
            <v>7.68</v>
          </cell>
        </row>
        <row r="24">
          <cell r="A24" t="str">
            <v>YDS-A350e</v>
          </cell>
          <cell r="B24" t="str">
            <v>YDS-A350e</v>
          </cell>
          <cell r="C24">
            <v>350</v>
          </cell>
          <cell r="D24">
            <v>1</v>
          </cell>
          <cell r="E24" t="str">
            <v>blue</v>
          </cell>
          <cell r="F24">
            <v>6.8000000000000007</v>
          </cell>
          <cell r="G24">
            <v>1.2</v>
          </cell>
          <cell r="H24">
            <v>8.16</v>
          </cell>
        </row>
        <row r="25">
          <cell r="A25" t="str">
            <v>YDS-A425e</v>
          </cell>
          <cell r="B25" t="str">
            <v>YDS-A425e</v>
          </cell>
          <cell r="C25">
            <v>425</v>
          </cell>
          <cell r="D25">
            <v>1</v>
          </cell>
          <cell r="E25" t="str">
            <v>orange</v>
          </cell>
          <cell r="F25">
            <v>7.2</v>
          </cell>
          <cell r="G25">
            <v>1.2</v>
          </cell>
          <cell r="H25">
            <v>8.64</v>
          </cell>
        </row>
        <row r="26">
          <cell r="A26" t="str">
            <v>YDS-A450e</v>
          </cell>
          <cell r="B26" t="str">
            <v>YDS-A450e</v>
          </cell>
          <cell r="C26">
            <v>450</v>
          </cell>
          <cell r="D26">
            <v>1</v>
          </cell>
          <cell r="E26" t="str">
            <v>green</v>
          </cell>
          <cell r="F26">
            <v>7.2</v>
          </cell>
          <cell r="G26">
            <v>1.2</v>
          </cell>
          <cell r="H26">
            <v>8.64</v>
          </cell>
        </row>
        <row r="27">
          <cell r="A27" t="str">
            <v>YDS-A620e</v>
          </cell>
          <cell r="B27" t="str">
            <v>YDS-A620e</v>
          </cell>
          <cell r="C27">
            <v>620</v>
          </cell>
          <cell r="D27">
            <v>1</v>
          </cell>
          <cell r="E27" t="str">
            <v>Black</v>
          </cell>
          <cell r="F27">
            <v>7.2</v>
          </cell>
          <cell r="G27">
            <v>1.2</v>
          </cell>
          <cell r="H27">
            <v>8.64</v>
          </cell>
        </row>
        <row r="28">
          <cell r="F28" t="str">
            <v>U.Price</v>
          </cell>
        </row>
        <row r="29">
          <cell r="A29" t="str">
            <v>YDS-B90</v>
          </cell>
          <cell r="B29" t="str">
            <v>YDS-B90</v>
          </cell>
          <cell r="C29">
            <v>90</v>
          </cell>
          <cell r="D29">
            <v>1.85</v>
          </cell>
          <cell r="E29" t="str">
            <v>brown</v>
          </cell>
          <cell r="F29">
            <v>8.8000000000000007</v>
          </cell>
          <cell r="G29">
            <v>1.2</v>
          </cell>
          <cell r="H29">
            <v>10.56</v>
          </cell>
        </row>
        <row r="30">
          <cell r="A30" t="str">
            <v>YDS-B120</v>
          </cell>
          <cell r="B30" t="str">
            <v>YDS-B120</v>
          </cell>
          <cell r="C30">
            <v>120</v>
          </cell>
          <cell r="D30">
            <v>1.78</v>
          </cell>
          <cell r="E30" t="str">
            <v>white</v>
          </cell>
          <cell r="F30">
            <v>8.8000000000000007</v>
          </cell>
          <cell r="G30">
            <v>1.2</v>
          </cell>
          <cell r="H30">
            <v>10.56</v>
          </cell>
        </row>
        <row r="31">
          <cell r="A31" t="str">
            <v>YDS-B155</v>
          </cell>
          <cell r="B31" t="str">
            <v>YDS-B155</v>
          </cell>
          <cell r="C31">
            <v>155</v>
          </cell>
          <cell r="D31">
            <v>1.67</v>
          </cell>
          <cell r="E31" t="str">
            <v>orange</v>
          </cell>
          <cell r="F31">
            <v>9.6000000000000032</v>
          </cell>
          <cell r="G31">
            <v>1.2</v>
          </cell>
          <cell r="H31">
            <v>11.520000000000003</v>
          </cell>
        </row>
        <row r="32">
          <cell r="A32" t="str">
            <v>YDS-B200</v>
          </cell>
          <cell r="B32" t="str">
            <v>YDS-B200</v>
          </cell>
          <cell r="C32">
            <v>200</v>
          </cell>
          <cell r="D32">
            <v>1.56</v>
          </cell>
          <cell r="E32" t="str">
            <v>tan</v>
          </cell>
          <cell r="F32">
            <v>9.6000000000000032</v>
          </cell>
          <cell r="G32">
            <v>1.2</v>
          </cell>
          <cell r="H32">
            <v>11.520000000000003</v>
          </cell>
        </row>
        <row r="33">
          <cell r="A33" t="str">
            <v>YDS-B270</v>
          </cell>
          <cell r="B33" t="str">
            <v>YDS-B270</v>
          </cell>
          <cell r="C33">
            <v>270</v>
          </cell>
          <cell r="D33">
            <v>1.45</v>
          </cell>
          <cell r="E33" t="str">
            <v>red</v>
          </cell>
          <cell r="F33">
            <v>10</v>
          </cell>
          <cell r="G33">
            <v>1.2</v>
          </cell>
          <cell r="H33">
            <v>12</v>
          </cell>
        </row>
        <row r="34">
          <cell r="A34" t="str">
            <v>YDS-B320</v>
          </cell>
          <cell r="B34" t="str">
            <v>YDS-B320</v>
          </cell>
          <cell r="C34">
            <v>320</v>
          </cell>
          <cell r="D34">
            <v>1.32</v>
          </cell>
          <cell r="E34" t="str">
            <v>green</v>
          </cell>
          <cell r="F34">
            <v>10</v>
          </cell>
          <cell r="G34">
            <v>1.2</v>
          </cell>
          <cell r="H34">
            <v>12</v>
          </cell>
        </row>
        <row r="35">
          <cell r="A35" t="str">
            <v>YDS-B445</v>
          </cell>
          <cell r="B35" t="str">
            <v>YDS-B445</v>
          </cell>
          <cell r="C35">
            <v>445</v>
          </cell>
          <cell r="D35">
            <v>1.3</v>
          </cell>
          <cell r="E35" t="str">
            <v>blue</v>
          </cell>
          <cell r="F35">
            <v>10.4</v>
          </cell>
          <cell r="G35">
            <v>1.2</v>
          </cell>
          <cell r="H35">
            <v>12.48</v>
          </cell>
        </row>
        <row r="36">
          <cell r="A36" t="str">
            <v>YDS-B500</v>
          </cell>
          <cell r="B36" t="str">
            <v>YDS-B500</v>
          </cell>
          <cell r="C36">
            <v>500</v>
          </cell>
          <cell r="D36">
            <v>1.25</v>
          </cell>
          <cell r="E36" t="str">
            <v>pink</v>
          </cell>
          <cell r="F36">
            <v>10.4</v>
          </cell>
          <cell r="G36">
            <v>1.2</v>
          </cell>
          <cell r="H36">
            <v>12.48</v>
          </cell>
        </row>
        <row r="37">
          <cell r="A37" t="str">
            <v>YDS-B550</v>
          </cell>
          <cell r="B37" t="str">
            <v>YDS-B550</v>
          </cell>
          <cell r="C37">
            <v>550</v>
          </cell>
          <cell r="D37">
            <v>1.2</v>
          </cell>
          <cell r="E37" t="str">
            <v>orange</v>
          </cell>
          <cell r="F37">
            <v>10.4</v>
          </cell>
          <cell r="G37">
            <v>1.2</v>
          </cell>
          <cell r="H37">
            <v>12.48</v>
          </cell>
        </row>
        <row r="38">
          <cell r="A38" t="str">
            <v>YDS-B630</v>
          </cell>
          <cell r="B38" t="str">
            <v>YDS-B630</v>
          </cell>
          <cell r="C38">
            <v>630</v>
          </cell>
          <cell r="D38">
            <v>1.1200000000000001</v>
          </cell>
          <cell r="E38" t="str">
            <v>grey</v>
          </cell>
          <cell r="F38">
            <v>10.8</v>
          </cell>
          <cell r="G38">
            <v>1.2</v>
          </cell>
          <cell r="H38">
            <v>12.96</v>
          </cell>
        </row>
        <row r="39">
          <cell r="A39" t="str">
            <v>YDS-B815</v>
          </cell>
          <cell r="B39" t="str">
            <v>YDS-B815</v>
          </cell>
          <cell r="C39">
            <v>815</v>
          </cell>
          <cell r="D39">
            <v>1.05</v>
          </cell>
          <cell r="E39" t="str">
            <v>black</v>
          </cell>
          <cell r="F39">
            <v>10.8</v>
          </cell>
          <cell r="G39">
            <v>1.2</v>
          </cell>
          <cell r="H39">
            <v>12.96</v>
          </cell>
        </row>
        <row r="40">
          <cell r="A40" t="str">
            <v>YDS-B910</v>
          </cell>
          <cell r="B40" t="str">
            <v>YDS-B910</v>
          </cell>
          <cell r="C40">
            <v>910</v>
          </cell>
          <cell r="D40">
            <v>1</v>
          </cell>
          <cell r="E40" t="str">
            <v>yellow</v>
          </cell>
          <cell r="F40">
            <v>11.200000000000001</v>
          </cell>
          <cell r="G40">
            <v>1.2</v>
          </cell>
          <cell r="H40">
            <v>13.440000000000001</v>
          </cell>
        </row>
        <row r="41">
          <cell r="A41" t="str">
            <v>YDS-B1000i</v>
          </cell>
          <cell r="B41" t="str">
            <v>YDS-B1000i</v>
          </cell>
          <cell r="C41">
            <v>1000</v>
          </cell>
          <cell r="D41">
            <v>1</v>
          </cell>
          <cell r="E41" t="str">
            <v>Blk + White</v>
          </cell>
          <cell r="F41">
            <v>12</v>
          </cell>
          <cell r="G41">
            <v>1.2</v>
          </cell>
          <cell r="H41">
            <v>14.399999999999999</v>
          </cell>
        </row>
        <row r="42">
          <cell r="A42" t="str">
            <v>YDS-B1220i</v>
          </cell>
          <cell r="B42" t="str">
            <v>YDS-B1220i</v>
          </cell>
          <cell r="C42">
            <v>1220</v>
          </cell>
          <cell r="D42">
            <v>1</v>
          </cell>
          <cell r="E42" t="str">
            <v>Blk + Yellow</v>
          </cell>
          <cell r="F42">
            <v>14</v>
          </cell>
          <cell r="G42">
            <v>1.2</v>
          </cell>
          <cell r="H42">
            <v>16.8</v>
          </cell>
        </row>
        <row r="43">
          <cell r="A43" t="str">
            <v>YDS-B1350i</v>
          </cell>
          <cell r="B43" t="str">
            <v>YDS-B1350i</v>
          </cell>
          <cell r="C43">
            <v>1350</v>
          </cell>
          <cell r="D43">
            <v>1</v>
          </cell>
          <cell r="E43" t="str">
            <v>yellow+red</v>
          </cell>
          <cell r="F43">
            <v>14.4</v>
          </cell>
          <cell r="G43">
            <v>1.2</v>
          </cell>
          <cell r="H43">
            <v>17.28</v>
          </cell>
        </row>
        <row r="45">
          <cell r="A45" t="str">
            <v>YDS-C140</v>
          </cell>
          <cell r="B45" t="str">
            <v>YDS-C140</v>
          </cell>
          <cell r="C45">
            <v>140</v>
          </cell>
          <cell r="D45">
            <v>1.95</v>
          </cell>
          <cell r="E45" t="str">
            <v>brown</v>
          </cell>
          <cell r="F45">
            <v>10.4</v>
          </cell>
          <cell r="G45">
            <v>1.2</v>
          </cell>
          <cell r="H45">
            <v>12.48</v>
          </cell>
        </row>
        <row r="46">
          <cell r="A46" t="str">
            <v>YDS-C240</v>
          </cell>
          <cell r="B46" t="str">
            <v>YDS-C240</v>
          </cell>
          <cell r="C46">
            <v>240</v>
          </cell>
          <cell r="D46">
            <v>1.77</v>
          </cell>
          <cell r="E46" t="str">
            <v>blue</v>
          </cell>
          <cell r="F46">
            <v>10.4</v>
          </cell>
          <cell r="G46">
            <v>1.2</v>
          </cell>
          <cell r="H46">
            <v>12.48</v>
          </cell>
        </row>
        <row r="47">
          <cell r="A47" t="str">
            <v>YDS-C380</v>
          </cell>
          <cell r="B47" t="str">
            <v>YDS-C380</v>
          </cell>
          <cell r="C47">
            <v>380</v>
          </cell>
          <cell r="D47">
            <v>1.62</v>
          </cell>
          <cell r="E47" t="str">
            <v>green</v>
          </cell>
          <cell r="F47">
            <v>11.200000000000001</v>
          </cell>
          <cell r="G47">
            <v>1.2</v>
          </cell>
          <cell r="H47">
            <v>13.440000000000001</v>
          </cell>
        </row>
        <row r="48">
          <cell r="A48" t="str">
            <v>YDS-C410</v>
          </cell>
          <cell r="B48" t="str">
            <v>YDS-C410</v>
          </cell>
          <cell r="C48">
            <v>410</v>
          </cell>
          <cell r="D48">
            <v>1.57</v>
          </cell>
          <cell r="E48" t="str">
            <v>grey</v>
          </cell>
          <cell r="F48">
            <v>11.200000000000001</v>
          </cell>
          <cell r="G48">
            <v>1.2</v>
          </cell>
          <cell r="H48">
            <v>13.440000000000001</v>
          </cell>
        </row>
        <row r="49">
          <cell r="A49" t="str">
            <v>YDS-C530</v>
          </cell>
          <cell r="B49" t="str">
            <v>YDS-C530</v>
          </cell>
          <cell r="C49">
            <v>530</v>
          </cell>
          <cell r="D49">
            <v>1.42</v>
          </cell>
          <cell r="E49" t="str">
            <v>red</v>
          </cell>
          <cell r="F49">
            <v>12</v>
          </cell>
          <cell r="G49">
            <v>1.2</v>
          </cell>
          <cell r="H49">
            <v>14.399999999999999</v>
          </cell>
        </row>
        <row r="50">
          <cell r="A50" t="str">
            <v>YDS-C650</v>
          </cell>
          <cell r="B50" t="str">
            <v>YDS-C650</v>
          </cell>
          <cell r="C50">
            <v>650</v>
          </cell>
          <cell r="D50">
            <v>1.38</v>
          </cell>
          <cell r="E50" t="str">
            <v>yellow</v>
          </cell>
          <cell r="F50">
            <v>12.8</v>
          </cell>
          <cell r="G50">
            <v>1.2</v>
          </cell>
          <cell r="H50">
            <v>15.36</v>
          </cell>
        </row>
        <row r="51">
          <cell r="A51" t="str">
            <v>YDS-C750</v>
          </cell>
          <cell r="B51" t="str">
            <v>YDS-C750</v>
          </cell>
          <cell r="C51">
            <v>750</v>
          </cell>
          <cell r="D51">
            <v>1.28</v>
          </cell>
          <cell r="E51" t="str">
            <v>orange</v>
          </cell>
          <cell r="F51">
            <v>13.600000000000001</v>
          </cell>
          <cell r="G51">
            <v>1.2</v>
          </cell>
          <cell r="H51">
            <v>16.32</v>
          </cell>
        </row>
        <row r="52">
          <cell r="A52" t="str">
            <v>YDS-C900i</v>
          </cell>
          <cell r="B52" t="str">
            <v>YDS-C900i</v>
          </cell>
          <cell r="C52">
            <v>900</v>
          </cell>
          <cell r="D52">
            <v>1.28</v>
          </cell>
          <cell r="E52" t="str">
            <v>orgn+tan</v>
          </cell>
          <cell r="F52">
            <v>14.4</v>
          </cell>
          <cell r="G52">
            <v>1.2</v>
          </cell>
          <cell r="H52">
            <v>17.28</v>
          </cell>
        </row>
        <row r="53">
          <cell r="A53" t="str">
            <v>YDS-C1040</v>
          </cell>
          <cell r="B53" t="str">
            <v>YDS-C1040</v>
          </cell>
          <cell r="C53">
            <v>1040</v>
          </cell>
          <cell r="D53">
            <v>1.1000000000000001</v>
          </cell>
          <cell r="E53" t="str">
            <v>white</v>
          </cell>
          <cell r="F53">
            <v>14.4</v>
          </cell>
          <cell r="G53">
            <v>1.2</v>
          </cell>
          <cell r="H53">
            <v>17.28</v>
          </cell>
        </row>
        <row r="54">
          <cell r="A54" t="str">
            <v>YDS-C1260i</v>
          </cell>
          <cell r="B54" t="str">
            <v>YDS-C1260i</v>
          </cell>
          <cell r="C54">
            <v>1260</v>
          </cell>
          <cell r="D54">
            <v>1.1000000000000001</v>
          </cell>
          <cell r="E54" t="str">
            <v>whi+grn</v>
          </cell>
          <cell r="F54">
            <v>16</v>
          </cell>
          <cell r="G54">
            <v>1.2</v>
          </cell>
          <cell r="H54">
            <v>19.2</v>
          </cell>
        </row>
        <row r="55">
          <cell r="A55" t="str">
            <v>YDS-C1470</v>
          </cell>
          <cell r="B55" t="str">
            <v>YDS-C1470</v>
          </cell>
          <cell r="C55">
            <v>1470</v>
          </cell>
          <cell r="D55">
            <v>1</v>
          </cell>
          <cell r="E55" t="str">
            <v>black</v>
          </cell>
          <cell r="F55">
            <v>17.600000000000001</v>
          </cell>
          <cell r="G55">
            <v>1.2</v>
          </cell>
          <cell r="H55">
            <v>21.12</v>
          </cell>
        </row>
        <row r="56">
          <cell r="A56" t="str">
            <v>YDS-C1720i</v>
          </cell>
          <cell r="B56" t="str">
            <v>YDS-C1720i</v>
          </cell>
          <cell r="C56">
            <v>1720</v>
          </cell>
          <cell r="D56">
            <v>1</v>
          </cell>
          <cell r="E56" t="str">
            <v>blk+red</v>
          </cell>
          <cell r="F56">
            <v>18.400000000000002</v>
          </cell>
          <cell r="G56">
            <v>1.2</v>
          </cell>
          <cell r="H56">
            <v>22.080000000000002</v>
          </cell>
        </row>
        <row r="57">
          <cell r="A57" t="str">
            <v>YDS-C1880i</v>
          </cell>
          <cell r="B57" t="str">
            <v>YDS-C1880i</v>
          </cell>
          <cell r="C57">
            <v>1880</v>
          </cell>
          <cell r="D57">
            <v>1</v>
          </cell>
          <cell r="E57" t="str">
            <v>blk+orgn</v>
          </cell>
          <cell r="F57">
            <v>19.200000000000006</v>
          </cell>
          <cell r="G57">
            <v>1.2</v>
          </cell>
          <cell r="H57">
            <v>23.040000000000006</v>
          </cell>
        </row>
        <row r="58">
          <cell r="A58" t="str">
            <v xml:space="preserve">YDS-C1900 </v>
          </cell>
          <cell r="B58" t="str">
            <v xml:space="preserve">YDS-C1900 </v>
          </cell>
          <cell r="C58">
            <v>1900</v>
          </cell>
          <cell r="D58">
            <v>1</v>
          </cell>
          <cell r="E58" t="str">
            <v>yellow</v>
          </cell>
          <cell r="F58">
            <v>19.400000000000002</v>
          </cell>
          <cell r="G58">
            <v>1.2</v>
          </cell>
          <cell r="H58">
            <v>23.28</v>
          </cell>
        </row>
        <row r="59">
          <cell r="A59" t="str">
            <v>YDS-C2080i</v>
          </cell>
          <cell r="B59" t="str">
            <v>YDS-C2080i</v>
          </cell>
          <cell r="C59">
            <v>2080</v>
          </cell>
          <cell r="D59">
            <v>1</v>
          </cell>
          <cell r="E59" t="str">
            <v>blk+blue</v>
          </cell>
          <cell r="F59">
            <v>20</v>
          </cell>
          <cell r="G59">
            <v>1.2</v>
          </cell>
          <cell r="H59">
            <v>24</v>
          </cell>
        </row>
        <row r="60">
          <cell r="A60" t="str">
            <v>YDS-C2330i</v>
          </cell>
          <cell r="B60" t="str">
            <v>YDS-C2330i</v>
          </cell>
          <cell r="C60">
            <v>2330</v>
          </cell>
          <cell r="D60">
            <v>1</v>
          </cell>
          <cell r="E60" t="str">
            <v>Yel+ Orange</v>
          </cell>
          <cell r="F60">
            <v>20.400000000000002</v>
          </cell>
          <cell r="G60">
            <v>1.2</v>
          </cell>
          <cell r="H60">
            <v>24.48</v>
          </cell>
        </row>
        <row r="61">
          <cell r="A61" t="str">
            <v>YDS-C2510i</v>
          </cell>
          <cell r="B61" t="str">
            <v>YDS-C2510i</v>
          </cell>
          <cell r="C61">
            <v>2510</v>
          </cell>
          <cell r="D61">
            <v>1</v>
          </cell>
          <cell r="E61" t="str">
            <v>Yel+Blue</v>
          </cell>
          <cell r="F61">
            <v>20.8</v>
          </cell>
          <cell r="G61">
            <v>1.2</v>
          </cell>
          <cell r="H61">
            <v>24.96</v>
          </cell>
        </row>
        <row r="63">
          <cell r="A63" t="str">
            <v>YDS-CX2570i</v>
          </cell>
          <cell r="B63" t="str">
            <v>YDS-CX2570i</v>
          </cell>
          <cell r="C63">
            <v>2570</v>
          </cell>
          <cell r="D63">
            <v>1</v>
          </cell>
          <cell r="E63" t="str">
            <v>D.blue+yel</v>
          </cell>
          <cell r="F63">
            <v>28.8</v>
          </cell>
          <cell r="G63">
            <v>1.2</v>
          </cell>
          <cell r="H63">
            <v>34.56</v>
          </cell>
        </row>
        <row r="64">
          <cell r="A64" t="str">
            <v>YDS-CX2650i</v>
          </cell>
          <cell r="B64" t="str">
            <v>YDS-CX2650i</v>
          </cell>
          <cell r="C64">
            <v>2650</v>
          </cell>
          <cell r="D64">
            <v>1</v>
          </cell>
          <cell r="E64" t="str">
            <v>D.blue+orgn</v>
          </cell>
          <cell r="F64">
            <v>30</v>
          </cell>
          <cell r="G64">
            <v>1.2</v>
          </cell>
          <cell r="H64">
            <v>36</v>
          </cell>
        </row>
        <row r="65">
          <cell r="A65" t="str">
            <v>YDS-CX2800i</v>
          </cell>
          <cell r="B65" t="str">
            <v>YDS-CX2800i</v>
          </cell>
          <cell r="C65">
            <v>2800</v>
          </cell>
          <cell r="D65">
            <v>1</v>
          </cell>
          <cell r="E65" t="str">
            <v>D.blue+Grn</v>
          </cell>
          <cell r="F65">
            <v>31.200000000000003</v>
          </cell>
          <cell r="G65">
            <v>1.2</v>
          </cell>
          <cell r="H65">
            <v>37.440000000000005</v>
          </cell>
        </row>
        <row r="66">
          <cell r="A66" t="str">
            <v>YDS-CY2750i</v>
          </cell>
          <cell r="B66" t="str">
            <v>YDS-CY2750i</v>
          </cell>
          <cell r="C66">
            <v>2750</v>
          </cell>
          <cell r="D66">
            <v>1</v>
          </cell>
          <cell r="E66" t="str">
            <v>Brown + Yel</v>
          </cell>
          <cell r="F66">
            <v>48</v>
          </cell>
          <cell r="G66">
            <v>1.2</v>
          </cell>
          <cell r="H66">
            <v>57.599999999999994</v>
          </cell>
        </row>
        <row r="67">
          <cell r="A67" t="str">
            <v>YDS-CY2850i</v>
          </cell>
          <cell r="B67" t="str">
            <v>YDS-CY2850i</v>
          </cell>
          <cell r="C67">
            <v>2850</v>
          </cell>
          <cell r="D67">
            <v>1</v>
          </cell>
          <cell r="E67" t="str">
            <v>Brown + Red</v>
          </cell>
          <cell r="F67">
            <v>52</v>
          </cell>
          <cell r="G67">
            <v>1.2</v>
          </cell>
          <cell r="H67">
            <v>62.4</v>
          </cell>
        </row>
        <row r="68">
          <cell r="A68" t="str">
            <v>YDS-CY3050i</v>
          </cell>
          <cell r="B68" t="str">
            <v>YDS-CY3050i</v>
          </cell>
          <cell r="C68">
            <v>3050</v>
          </cell>
          <cell r="D68">
            <v>1</v>
          </cell>
          <cell r="E68" t="str">
            <v>Brown+Green</v>
          </cell>
          <cell r="F68">
            <v>56</v>
          </cell>
          <cell r="G68">
            <v>1.2</v>
          </cell>
          <cell r="H68">
            <v>67.2</v>
          </cell>
        </row>
        <row r="69">
          <cell r="A69" t="str">
            <v>YDS-CY3300i</v>
          </cell>
          <cell r="B69" t="str">
            <v>YDS-CY3300i</v>
          </cell>
          <cell r="C69">
            <v>3300</v>
          </cell>
          <cell r="D69">
            <v>1</v>
          </cell>
          <cell r="E69" t="str">
            <v>Brown + Blue</v>
          </cell>
          <cell r="F69">
            <v>60</v>
          </cell>
          <cell r="G69">
            <v>1.2</v>
          </cell>
          <cell r="H69">
            <v>72</v>
          </cell>
        </row>
        <row r="70">
          <cell r="A70" t="str">
            <v>YDS-CZ4000</v>
          </cell>
          <cell r="B70" t="str">
            <v>YDS-CZ4000</v>
          </cell>
          <cell r="C70">
            <v>4000</v>
          </cell>
          <cell r="D70">
            <v>1</v>
          </cell>
          <cell r="E70" t="str">
            <v>Brown + Blue</v>
          </cell>
          <cell r="F70">
            <v>68</v>
          </cell>
          <cell r="G70">
            <v>1.2</v>
          </cell>
          <cell r="H70">
            <v>81.599999999999994</v>
          </cell>
        </row>
        <row r="73">
          <cell r="B73" t="str">
            <v xml:space="preserve">Models :  RM-1A, RM-2B, RM-2BX, RM-2BY, RM-3C, RM-4D. </v>
          </cell>
        </row>
        <row r="74">
          <cell r="C74" t="str">
            <v>Rated</v>
          </cell>
          <cell r="D74" t="str">
            <v>Rated</v>
          </cell>
          <cell r="E74" t="str">
            <v>Color</v>
          </cell>
          <cell r="F74" t="str">
            <v>Unit</v>
          </cell>
          <cell r="H74" t="str">
            <v>Landed</v>
          </cell>
        </row>
        <row r="75">
          <cell r="B75" t="str">
            <v>Model</v>
          </cell>
          <cell r="C75" t="str">
            <v>Load</v>
          </cell>
          <cell r="D75" t="str">
            <v>Defl.</v>
          </cell>
          <cell r="E75" t="str">
            <v>code</v>
          </cell>
          <cell r="F75" t="str">
            <v>Price</v>
          </cell>
          <cell r="H75" t="str">
            <v>Cost</v>
          </cell>
        </row>
        <row r="76">
          <cell r="C76" t="str">
            <v>Kg</v>
          </cell>
          <cell r="D76" t="str">
            <v>mm</v>
          </cell>
          <cell r="F76" t="str">
            <v>USD</v>
          </cell>
          <cell r="H76" t="str">
            <v>USD</v>
          </cell>
        </row>
        <row r="77">
          <cell r="A77" t="str">
            <v>RM-1A-white</v>
          </cell>
          <cell r="B77" t="str">
            <v>RM-1A</v>
          </cell>
          <cell r="C77" t="str">
            <v>1-18</v>
          </cell>
          <cell r="E77" t="str">
            <v>white</v>
          </cell>
          <cell r="F77">
            <v>2.2000000000000002</v>
          </cell>
          <cell r="G77">
            <v>1.2</v>
          </cell>
          <cell r="H77">
            <v>2.64</v>
          </cell>
        </row>
        <row r="78">
          <cell r="A78" t="str">
            <v>RM-1A-yellow</v>
          </cell>
          <cell r="B78" t="str">
            <v>RM-1A</v>
          </cell>
          <cell r="C78" t="str">
            <v>2-36</v>
          </cell>
          <cell r="D78">
            <v>6</v>
          </cell>
          <cell r="E78" t="str">
            <v>yellow</v>
          </cell>
          <cell r="F78">
            <v>2.2000000000000002</v>
          </cell>
          <cell r="G78">
            <v>1.2</v>
          </cell>
          <cell r="H78">
            <v>2.64</v>
          </cell>
        </row>
        <row r="79">
          <cell r="A79" t="str">
            <v>RM-1A-orange</v>
          </cell>
          <cell r="B79" t="str">
            <v>RM-1A</v>
          </cell>
          <cell r="C79" t="str">
            <v>3-56</v>
          </cell>
          <cell r="E79" t="str">
            <v>orange</v>
          </cell>
          <cell r="F79">
            <v>2.2000000000000002</v>
          </cell>
          <cell r="G79">
            <v>1.2</v>
          </cell>
          <cell r="H79">
            <v>2.64</v>
          </cell>
        </row>
        <row r="80">
          <cell r="A80" t="str">
            <v>-</v>
          </cell>
          <cell r="G80">
            <v>1.2</v>
          </cell>
          <cell r="H80">
            <v>0</v>
          </cell>
        </row>
        <row r="81">
          <cell r="A81" t="str">
            <v>RM-2B-yellow</v>
          </cell>
          <cell r="B81" t="str">
            <v>RM-2B</v>
          </cell>
          <cell r="C81" t="str">
            <v>4-50</v>
          </cell>
          <cell r="E81" t="str">
            <v>yellow</v>
          </cell>
          <cell r="F81">
            <v>2.6</v>
          </cell>
          <cell r="G81">
            <v>1.2</v>
          </cell>
          <cell r="H81">
            <v>3.12</v>
          </cell>
        </row>
        <row r="82">
          <cell r="A82" t="str">
            <v>RM-2B-orange</v>
          </cell>
          <cell r="B82" t="str">
            <v>RM-2B</v>
          </cell>
          <cell r="C82" t="str">
            <v>5-70</v>
          </cell>
          <cell r="D82">
            <v>7.5</v>
          </cell>
          <cell r="E82" t="str">
            <v>orange</v>
          </cell>
          <cell r="F82">
            <v>2.6</v>
          </cell>
          <cell r="G82">
            <v>1.2</v>
          </cell>
          <cell r="H82">
            <v>3.12</v>
          </cell>
        </row>
        <row r="83">
          <cell r="A83" t="str">
            <v>RM-2B-red</v>
          </cell>
          <cell r="B83" t="str">
            <v>RM-2B</v>
          </cell>
          <cell r="C83" t="str">
            <v>6-90</v>
          </cell>
          <cell r="E83" t="str">
            <v>red</v>
          </cell>
          <cell r="F83">
            <v>2.6</v>
          </cell>
          <cell r="G83">
            <v>1.2</v>
          </cell>
          <cell r="H83">
            <v>3.12</v>
          </cell>
        </row>
        <row r="84">
          <cell r="A84" t="str">
            <v>-</v>
          </cell>
          <cell r="H84">
            <v>0</v>
          </cell>
        </row>
        <row r="85">
          <cell r="A85" t="str">
            <v>RM-2BX-orange</v>
          </cell>
          <cell r="B85" t="str">
            <v>RM-2BX</v>
          </cell>
          <cell r="C85" t="str">
            <v>9  - 90</v>
          </cell>
          <cell r="E85" t="str">
            <v>orange</v>
          </cell>
          <cell r="F85">
            <v>3</v>
          </cell>
          <cell r="G85">
            <v>1.2</v>
          </cell>
          <cell r="H85">
            <v>3.5999999999999996</v>
          </cell>
        </row>
        <row r="86">
          <cell r="A86" t="str">
            <v>RM-2BX-red</v>
          </cell>
          <cell r="B86" t="str">
            <v>RM-2BX</v>
          </cell>
          <cell r="C86" t="str">
            <v>12  - 120</v>
          </cell>
          <cell r="D86">
            <v>7.5</v>
          </cell>
          <cell r="E86" t="str">
            <v>red</v>
          </cell>
          <cell r="F86">
            <v>3</v>
          </cell>
          <cell r="G86">
            <v>1.2</v>
          </cell>
          <cell r="H86">
            <v>3.5999999999999996</v>
          </cell>
        </row>
        <row r="87">
          <cell r="A87" t="str">
            <v>-</v>
          </cell>
          <cell r="H87">
            <v>0</v>
          </cell>
        </row>
        <row r="88">
          <cell r="A88" t="str">
            <v>RM-2BY-orange</v>
          </cell>
          <cell r="B88" t="str">
            <v>RM-2BY</v>
          </cell>
          <cell r="C88" t="str">
            <v>5 - 100</v>
          </cell>
          <cell r="E88" t="str">
            <v>orange</v>
          </cell>
          <cell r="F88">
            <v>3.8</v>
          </cell>
          <cell r="G88">
            <v>1.2</v>
          </cell>
          <cell r="H88">
            <v>4.5599999999999996</v>
          </cell>
        </row>
        <row r="89">
          <cell r="A89" t="str">
            <v>RM-2BY-red</v>
          </cell>
          <cell r="B89" t="str">
            <v>RM-2BY</v>
          </cell>
          <cell r="C89" t="str">
            <v>10 -165</v>
          </cell>
          <cell r="D89">
            <v>7.5</v>
          </cell>
          <cell r="E89" t="str">
            <v>red</v>
          </cell>
          <cell r="F89">
            <v>3.8</v>
          </cell>
          <cell r="G89">
            <v>1.2</v>
          </cell>
          <cell r="H89">
            <v>4.5599999999999996</v>
          </cell>
        </row>
        <row r="90">
          <cell r="A90" t="str">
            <v>RM-2BY-grey</v>
          </cell>
          <cell r="B90" t="str">
            <v>RM-2BY</v>
          </cell>
          <cell r="C90" t="str">
            <v>15 - 235</v>
          </cell>
          <cell r="E90" t="str">
            <v>grey</v>
          </cell>
          <cell r="F90">
            <v>3.8</v>
          </cell>
          <cell r="G90">
            <v>1.2</v>
          </cell>
          <cell r="H90">
            <v>4.5599999999999996</v>
          </cell>
        </row>
        <row r="91">
          <cell r="A91" t="str">
            <v>-</v>
          </cell>
          <cell r="H91">
            <v>0</v>
          </cell>
        </row>
        <row r="92">
          <cell r="A92" t="str">
            <v>-</v>
          </cell>
          <cell r="H92">
            <v>0</v>
          </cell>
        </row>
        <row r="93">
          <cell r="A93" t="str">
            <v>RM-3C-orange</v>
          </cell>
          <cell r="B93" t="str">
            <v>RM-3C</v>
          </cell>
          <cell r="C93" t="str">
            <v>15 - 240</v>
          </cell>
          <cell r="E93" t="str">
            <v>orange</v>
          </cell>
          <cell r="F93">
            <v>8</v>
          </cell>
          <cell r="G93">
            <v>1.2</v>
          </cell>
          <cell r="H93">
            <v>9.6</v>
          </cell>
        </row>
        <row r="94">
          <cell r="A94" t="str">
            <v>RM-3C-red</v>
          </cell>
          <cell r="B94" t="str">
            <v>RM-3C</v>
          </cell>
          <cell r="C94" t="str">
            <v>20 - 330</v>
          </cell>
          <cell r="D94">
            <v>10.5</v>
          </cell>
          <cell r="E94" t="str">
            <v>red</v>
          </cell>
          <cell r="F94">
            <v>8</v>
          </cell>
          <cell r="G94">
            <v>1.2</v>
          </cell>
          <cell r="H94">
            <v>9.6</v>
          </cell>
        </row>
        <row r="95">
          <cell r="A95" t="str">
            <v>RM-3C-grey</v>
          </cell>
          <cell r="B95" t="str">
            <v>RM-3C</v>
          </cell>
          <cell r="C95" t="str">
            <v>25 - 450</v>
          </cell>
          <cell r="E95" t="str">
            <v>grey</v>
          </cell>
          <cell r="F95">
            <v>8</v>
          </cell>
          <cell r="G95">
            <v>1.2</v>
          </cell>
          <cell r="H95">
            <v>9.6</v>
          </cell>
        </row>
        <row r="96">
          <cell r="A96" t="str">
            <v>-</v>
          </cell>
          <cell r="H96">
            <v>0</v>
          </cell>
        </row>
        <row r="97">
          <cell r="A97" t="str">
            <v>RM-4D-red</v>
          </cell>
          <cell r="B97" t="str">
            <v>RM-4D</v>
          </cell>
          <cell r="C97" t="str">
            <v>25 - 700</v>
          </cell>
          <cell r="E97" t="str">
            <v>red</v>
          </cell>
          <cell r="F97">
            <v>15</v>
          </cell>
          <cell r="G97">
            <v>1.2</v>
          </cell>
          <cell r="H97">
            <v>18</v>
          </cell>
        </row>
        <row r="98">
          <cell r="A98" t="str">
            <v>RM-4D-grey</v>
          </cell>
          <cell r="B98" t="str">
            <v>RM-4D</v>
          </cell>
          <cell r="C98" t="str">
            <v>40 - 1010</v>
          </cell>
          <cell r="D98">
            <v>10.5</v>
          </cell>
          <cell r="E98" t="str">
            <v>grey</v>
          </cell>
          <cell r="F98">
            <v>15</v>
          </cell>
          <cell r="G98">
            <v>1.2</v>
          </cell>
          <cell r="H98">
            <v>18</v>
          </cell>
        </row>
        <row r="99">
          <cell r="A99" t="str">
            <v>-</v>
          </cell>
          <cell r="H99">
            <v>0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4F25-19AA-44A7-8629-05F9B52709CA}">
  <dimension ref="A2:S40"/>
  <sheetViews>
    <sheetView topLeftCell="B1" workbookViewId="0">
      <selection activeCell="K8" sqref="K8"/>
    </sheetView>
  </sheetViews>
  <sheetFormatPr defaultRowHeight="15"/>
  <cols>
    <col min="1" max="1" width="0" hidden="1" customWidth="1"/>
    <col min="5" max="6" width="16.28515625" customWidth="1"/>
    <col min="7" max="10" width="16.5703125" customWidth="1"/>
    <col min="11" max="11" width="14" customWidth="1"/>
    <col min="12" max="12" width="18.140625" customWidth="1"/>
    <col min="13" max="13" width="11.28515625" bestFit="1" customWidth="1"/>
    <col min="14" max="14" width="19.85546875" customWidth="1"/>
    <col min="16" max="16" width="18.85546875" customWidth="1"/>
    <col min="17" max="17" width="14.5703125" customWidth="1"/>
    <col min="18" max="18" width="19" customWidth="1"/>
  </cols>
  <sheetData>
    <row r="2" spans="1:19" ht="26.25">
      <c r="A2" s="2121" t="s">
        <v>2610</v>
      </c>
      <c r="B2" s="2121"/>
      <c r="C2" s="2121"/>
      <c r="D2" s="2121"/>
      <c r="E2" s="2121"/>
      <c r="F2" s="2121"/>
      <c r="G2" s="2121"/>
      <c r="H2" s="2121"/>
      <c r="I2" s="2121"/>
      <c r="J2" s="2121"/>
      <c r="K2" s="2121"/>
      <c r="L2" s="2121"/>
      <c r="M2" s="2121"/>
      <c r="N2" s="2121"/>
      <c r="O2" s="2121"/>
      <c r="P2" s="2121"/>
      <c r="Q2" s="2121"/>
    </row>
    <row r="4" spans="1:19" ht="15.75">
      <c r="B4" s="2115" t="s">
        <v>1283</v>
      </c>
      <c r="C4" s="2115" t="s">
        <v>2611</v>
      </c>
      <c r="D4" s="2115" t="s">
        <v>2612</v>
      </c>
      <c r="E4" s="2122" t="s">
        <v>2613</v>
      </c>
      <c r="F4" s="2123"/>
      <c r="G4" s="2123"/>
      <c r="H4" s="2123"/>
      <c r="I4" s="2123"/>
      <c r="J4" s="2124"/>
      <c r="K4" s="2125" t="s">
        <v>1370</v>
      </c>
      <c r="L4" s="2126"/>
      <c r="M4" s="2126"/>
      <c r="N4" s="2126"/>
      <c r="O4" s="2126"/>
      <c r="P4" s="2126"/>
      <c r="Q4" s="2126"/>
      <c r="R4" s="2126"/>
    </row>
    <row r="5" spans="1:19">
      <c r="B5" s="2116"/>
      <c r="C5" s="2116"/>
      <c r="D5" s="2116"/>
      <c r="E5" s="1793" t="s">
        <v>2614</v>
      </c>
      <c r="F5" s="1793" t="s">
        <v>2615</v>
      </c>
      <c r="G5" s="1794" t="s">
        <v>2616</v>
      </c>
      <c r="H5" s="1794" t="s">
        <v>2615</v>
      </c>
      <c r="I5" s="1795" t="s">
        <v>2617</v>
      </c>
      <c r="J5" s="1795" t="s">
        <v>2615</v>
      </c>
      <c r="K5" s="1793" t="s">
        <v>2614</v>
      </c>
      <c r="L5" s="1793" t="s">
        <v>2618</v>
      </c>
      <c r="M5" s="1794" t="s">
        <v>2616</v>
      </c>
      <c r="N5" s="1794" t="s">
        <v>2618</v>
      </c>
      <c r="O5" s="1795" t="s">
        <v>2617</v>
      </c>
      <c r="P5" s="1796" t="s">
        <v>2618</v>
      </c>
      <c r="Q5" s="1797" t="s">
        <v>2619</v>
      </c>
      <c r="R5" s="1798" t="s">
        <v>2618</v>
      </c>
    </row>
    <row r="6" spans="1:19">
      <c r="B6" s="1799">
        <v>0.25</v>
      </c>
      <c r="C6" s="1799">
        <v>0.35</v>
      </c>
      <c r="D6" s="2113" t="s">
        <v>2620</v>
      </c>
      <c r="E6" s="1793" t="s">
        <v>2621</v>
      </c>
      <c r="F6" s="1793"/>
      <c r="G6" s="1800">
        <v>1540008</v>
      </c>
      <c r="H6" s="1800"/>
      <c r="I6" s="1795" t="s">
        <v>2621</v>
      </c>
      <c r="J6" s="1795"/>
      <c r="K6" s="1793" t="s">
        <v>2622</v>
      </c>
      <c r="L6" s="1793"/>
      <c r="M6" s="1794" t="s">
        <v>2622</v>
      </c>
      <c r="N6" s="1794"/>
      <c r="O6" s="1795" t="s">
        <v>2622</v>
      </c>
      <c r="P6" s="1796"/>
      <c r="Q6" s="1797" t="s">
        <v>2622</v>
      </c>
      <c r="R6" s="1801"/>
    </row>
    <row r="7" spans="1:19">
      <c r="B7" s="1799">
        <v>0.37</v>
      </c>
      <c r="C7" s="1799">
        <v>0.5</v>
      </c>
      <c r="D7" s="2113"/>
      <c r="E7" s="1802">
        <v>1408243</v>
      </c>
      <c r="F7" s="1802">
        <f>50%*E7</f>
        <v>704121.5</v>
      </c>
      <c r="G7" s="1800">
        <v>1622362</v>
      </c>
      <c r="H7" s="1800">
        <f>50%*G7</f>
        <v>811181</v>
      </c>
      <c r="I7" s="1803">
        <v>2067070</v>
      </c>
      <c r="J7" s="1803">
        <f>I7*50%</f>
        <v>1033535</v>
      </c>
      <c r="K7" s="1793">
        <v>67</v>
      </c>
      <c r="L7" s="1804">
        <f>(K7+(1%*K7)-(5%*K7))*12299</f>
        <v>791071.68</v>
      </c>
      <c r="M7" s="1794">
        <v>73</v>
      </c>
      <c r="N7" s="1805">
        <f>(M7+(1%*M7)-(5%*M7))*12299</f>
        <v>861913.91999999993</v>
      </c>
      <c r="O7" s="1795">
        <v>95</v>
      </c>
      <c r="P7" s="1806">
        <f>(O7+(1%*O7)-(5%*O7))*12299</f>
        <v>1121668.8</v>
      </c>
      <c r="Q7" s="1797">
        <v>133</v>
      </c>
      <c r="R7" s="1807">
        <f>(Q7+(1%*Q7)-(5%*Q7))*12299</f>
        <v>1570336.32</v>
      </c>
    </row>
    <row r="8" spans="1:19">
      <c r="B8" s="1799">
        <v>0.55000000000000004</v>
      </c>
      <c r="C8" s="1799">
        <v>0.75</v>
      </c>
      <c r="D8" s="2113"/>
      <c r="E8" s="1802">
        <v>1589420</v>
      </c>
      <c r="F8" s="1802">
        <f t="shared" ref="F8:F20" si="0">50%*E8</f>
        <v>794710</v>
      </c>
      <c r="G8" s="1800">
        <v>1918834</v>
      </c>
      <c r="H8" s="1800">
        <f t="shared" ref="H8:H20" si="1">50%*G8</f>
        <v>959417</v>
      </c>
      <c r="I8" s="1803">
        <v>2330600</v>
      </c>
      <c r="J8" s="1803">
        <f t="shared" ref="J8:J20" si="2">I8*50%</f>
        <v>1165300</v>
      </c>
      <c r="K8" s="1793">
        <v>73</v>
      </c>
      <c r="L8" s="1804">
        <f t="shared" ref="L8:L19" si="3">(K8+(1%*K8)-(5%*K8))*12299</f>
        <v>861913.91999999993</v>
      </c>
      <c r="M8" s="1794">
        <v>97</v>
      </c>
      <c r="N8" s="1805">
        <f t="shared" ref="N8:N19" si="4">(M8+(1%*M8)-(5%*M8))*12299</f>
        <v>1145282.8800000001</v>
      </c>
      <c r="O8" s="1795">
        <v>106</v>
      </c>
      <c r="P8" s="1806">
        <f t="shared" ref="P8:P19" si="5">(O8+(1%*O8)-(5%*O8))*12299</f>
        <v>1251546.24</v>
      </c>
      <c r="Q8" s="1797">
        <v>147</v>
      </c>
      <c r="R8" s="1807">
        <f t="shared" ref="R8:R19" si="6">(Q8+(1%*Q8)-(5%*Q8))*12299</f>
        <v>1735634.8800000001</v>
      </c>
    </row>
    <row r="9" spans="1:19">
      <c r="B9" s="1799">
        <v>0.75</v>
      </c>
      <c r="C9" s="1799">
        <v>1</v>
      </c>
      <c r="D9" s="2113"/>
      <c r="E9" s="1802">
        <v>2034129</v>
      </c>
      <c r="F9" s="1802">
        <f t="shared" si="0"/>
        <v>1017064.5</v>
      </c>
      <c r="G9" s="1800">
        <v>2075306</v>
      </c>
      <c r="H9" s="1800">
        <f t="shared" si="1"/>
        <v>1037653</v>
      </c>
      <c r="I9" s="1803">
        <v>2610602</v>
      </c>
      <c r="J9" s="1803">
        <f t="shared" si="2"/>
        <v>1305301</v>
      </c>
      <c r="K9" s="1793">
        <v>91</v>
      </c>
      <c r="L9" s="1804">
        <f t="shared" si="3"/>
        <v>1074440.6399999999</v>
      </c>
      <c r="M9" s="1794">
        <v>105</v>
      </c>
      <c r="N9" s="1805">
        <f t="shared" si="4"/>
        <v>1239739.2</v>
      </c>
      <c r="O9" s="1795">
        <v>129</v>
      </c>
      <c r="P9" s="1806">
        <f t="shared" si="5"/>
        <v>1523108.16</v>
      </c>
      <c r="Q9" s="1797">
        <v>168</v>
      </c>
      <c r="R9" s="1807">
        <f t="shared" si="6"/>
        <v>1983582.72</v>
      </c>
    </row>
    <row r="10" spans="1:19">
      <c r="B10" s="1799">
        <v>1.1000000000000001</v>
      </c>
      <c r="C10" s="1799">
        <v>1.5</v>
      </c>
      <c r="D10" s="2113"/>
      <c r="E10" s="1802">
        <v>2157658</v>
      </c>
      <c r="F10" s="1802">
        <f t="shared" si="0"/>
        <v>1078829</v>
      </c>
      <c r="G10" s="1800">
        <v>2610602</v>
      </c>
      <c r="H10" s="1800">
        <f t="shared" si="1"/>
        <v>1305301</v>
      </c>
      <c r="I10" s="1803">
        <v>3063546</v>
      </c>
      <c r="J10" s="1803">
        <f t="shared" si="2"/>
        <v>1531773</v>
      </c>
      <c r="K10" s="1793">
        <v>102</v>
      </c>
      <c r="L10" s="1804">
        <f t="shared" si="3"/>
        <v>1204318.08</v>
      </c>
      <c r="M10" s="1794">
        <v>120</v>
      </c>
      <c r="N10" s="1805">
        <f t="shared" si="4"/>
        <v>1416844.8</v>
      </c>
      <c r="O10" s="1795">
        <v>148</v>
      </c>
      <c r="P10" s="1806">
        <f t="shared" si="5"/>
        <v>1747441.9199999997</v>
      </c>
      <c r="Q10" s="1797">
        <v>204</v>
      </c>
      <c r="R10" s="1807">
        <f t="shared" si="6"/>
        <v>2408636.16</v>
      </c>
    </row>
    <row r="11" spans="1:19">
      <c r="B11" s="1799">
        <v>1.5</v>
      </c>
      <c r="C11" s="1799">
        <v>2</v>
      </c>
      <c r="D11" s="2113"/>
      <c r="E11" s="1802">
        <v>2610602</v>
      </c>
      <c r="F11" s="1802">
        <f t="shared" si="0"/>
        <v>1305301</v>
      </c>
      <c r="G11" s="1800">
        <v>3005899</v>
      </c>
      <c r="H11" s="1800">
        <f t="shared" si="1"/>
        <v>1502949.5</v>
      </c>
      <c r="I11" s="1803">
        <v>3755314</v>
      </c>
      <c r="J11" s="1803">
        <f t="shared" si="2"/>
        <v>1877657</v>
      </c>
      <c r="K11" s="1793">
        <v>123</v>
      </c>
      <c r="L11" s="1804">
        <f t="shared" si="3"/>
        <v>1452265.92</v>
      </c>
      <c r="M11" s="1794">
        <v>136</v>
      </c>
      <c r="N11" s="1805">
        <f t="shared" si="4"/>
        <v>1605757.44</v>
      </c>
      <c r="O11" s="1795">
        <v>166</v>
      </c>
      <c r="P11" s="1806">
        <f t="shared" si="5"/>
        <v>1959968.64</v>
      </c>
      <c r="Q11" s="1797">
        <v>251</v>
      </c>
      <c r="R11" s="1807">
        <f t="shared" si="6"/>
        <v>2963567.0399999996</v>
      </c>
    </row>
    <row r="12" spans="1:19">
      <c r="B12" s="1799">
        <v>2.2000000000000002</v>
      </c>
      <c r="C12" s="1799">
        <v>3</v>
      </c>
      <c r="D12" s="2113"/>
      <c r="E12" s="1802">
        <v>3047075</v>
      </c>
      <c r="F12" s="1802">
        <f t="shared" si="0"/>
        <v>1523537.5</v>
      </c>
      <c r="G12" s="1800">
        <v>3804726</v>
      </c>
      <c r="H12" s="1800">
        <f t="shared" si="1"/>
        <v>1902363</v>
      </c>
      <c r="I12" s="1803">
        <v>5015321</v>
      </c>
      <c r="J12" s="1803">
        <f t="shared" si="2"/>
        <v>2507660.5</v>
      </c>
      <c r="K12" s="1793">
        <v>141</v>
      </c>
      <c r="L12" s="1804">
        <f t="shared" si="3"/>
        <v>1664792.64</v>
      </c>
      <c r="M12" s="1794">
        <v>170</v>
      </c>
      <c r="N12" s="1805">
        <f t="shared" si="4"/>
        <v>2007196.7999999998</v>
      </c>
      <c r="O12" s="1795">
        <v>216</v>
      </c>
      <c r="P12" s="1806">
        <f t="shared" si="5"/>
        <v>2550320.6399999997</v>
      </c>
      <c r="Q12" s="1797">
        <v>292</v>
      </c>
      <c r="R12" s="1807">
        <f t="shared" si="6"/>
        <v>3447655.6799999997</v>
      </c>
    </row>
    <row r="13" spans="1:19">
      <c r="B13" s="1799">
        <v>3</v>
      </c>
      <c r="C13" s="1799">
        <v>4</v>
      </c>
      <c r="D13" s="2113"/>
      <c r="E13" s="1802">
        <v>3944727</v>
      </c>
      <c r="F13" s="1802">
        <f t="shared" si="0"/>
        <v>1972363.5</v>
      </c>
      <c r="G13" s="1800">
        <v>4397670</v>
      </c>
      <c r="H13" s="1800">
        <f t="shared" si="1"/>
        <v>2198835</v>
      </c>
      <c r="I13" s="1803">
        <v>6374152</v>
      </c>
      <c r="J13" s="1803">
        <f t="shared" si="2"/>
        <v>3187076</v>
      </c>
      <c r="K13" s="1793">
        <v>182</v>
      </c>
      <c r="L13" s="1804">
        <f t="shared" si="3"/>
        <v>2148881.2799999998</v>
      </c>
      <c r="M13" s="1794">
        <v>191</v>
      </c>
      <c r="N13" s="1805">
        <f t="shared" si="4"/>
        <v>2255144.6399999997</v>
      </c>
      <c r="O13" s="1795">
        <v>277</v>
      </c>
      <c r="P13" s="1806">
        <f t="shared" si="5"/>
        <v>3270550.0799999996</v>
      </c>
      <c r="Q13" s="1797">
        <v>326</v>
      </c>
      <c r="R13" s="1807">
        <f t="shared" si="6"/>
        <v>3849095.0399999996</v>
      </c>
    </row>
    <row r="14" spans="1:19">
      <c r="B14" s="1799">
        <v>4</v>
      </c>
      <c r="C14" s="1799">
        <v>5.5</v>
      </c>
      <c r="D14" s="2113"/>
      <c r="E14" s="1802">
        <v>4900026</v>
      </c>
      <c r="F14" s="1802">
        <f t="shared" si="0"/>
        <v>2450013</v>
      </c>
      <c r="G14" s="1800">
        <v>5624735</v>
      </c>
      <c r="H14" s="1800">
        <f t="shared" si="1"/>
        <v>2812367.5</v>
      </c>
      <c r="I14" s="1803">
        <v>7403569</v>
      </c>
      <c r="J14" s="1803">
        <f t="shared" si="2"/>
        <v>3701784.5</v>
      </c>
      <c r="K14" s="1793">
        <v>216</v>
      </c>
      <c r="L14" s="1804">
        <f t="shared" si="3"/>
        <v>2550320.6399999997</v>
      </c>
      <c r="M14" s="1794">
        <v>245</v>
      </c>
      <c r="N14" s="1805">
        <f t="shared" si="4"/>
        <v>2892724.8</v>
      </c>
      <c r="O14" s="1795">
        <v>322</v>
      </c>
      <c r="P14" s="1806">
        <f t="shared" si="5"/>
        <v>3801866.88</v>
      </c>
      <c r="Q14" s="1797">
        <v>479</v>
      </c>
      <c r="R14" s="1807">
        <f t="shared" si="6"/>
        <v>5655572.1600000001</v>
      </c>
    </row>
    <row r="15" spans="1:19">
      <c r="B15" s="1799">
        <v>5.5</v>
      </c>
      <c r="C15" s="1799">
        <v>7.5</v>
      </c>
      <c r="D15" s="2113"/>
      <c r="E15" s="1802">
        <v>7082391</v>
      </c>
      <c r="F15" s="1802">
        <f t="shared" si="0"/>
        <v>3541195.5</v>
      </c>
      <c r="G15" s="1800">
        <v>7205920</v>
      </c>
      <c r="H15" s="1800">
        <f t="shared" si="1"/>
        <v>3602960</v>
      </c>
      <c r="I15" s="1803">
        <v>8836518</v>
      </c>
      <c r="J15" s="1803">
        <f t="shared" si="2"/>
        <v>4418259</v>
      </c>
      <c r="K15" s="1793">
        <v>314</v>
      </c>
      <c r="L15" s="1804">
        <f t="shared" si="3"/>
        <v>3707410.56</v>
      </c>
      <c r="M15" s="1794">
        <v>303</v>
      </c>
      <c r="N15" s="1805">
        <f t="shared" si="4"/>
        <v>3577533.12</v>
      </c>
      <c r="O15" s="1795">
        <v>377</v>
      </c>
      <c r="P15" s="1806">
        <f t="shared" si="5"/>
        <v>4451254.0799999991</v>
      </c>
      <c r="Q15" s="1797">
        <v>527</v>
      </c>
      <c r="R15" s="1807">
        <f t="shared" si="6"/>
        <v>6222310.0799999991</v>
      </c>
    </row>
    <row r="16" spans="1:19">
      <c r="B16" s="1799">
        <v>7.5</v>
      </c>
      <c r="C16" s="1799">
        <v>10</v>
      </c>
      <c r="D16" s="2113"/>
      <c r="E16" s="1802">
        <v>7815336</v>
      </c>
      <c r="F16" s="1802">
        <f t="shared" si="0"/>
        <v>3907668</v>
      </c>
      <c r="G16" s="1800">
        <v>8581222</v>
      </c>
      <c r="H16" s="1800">
        <f t="shared" si="1"/>
        <v>4290611</v>
      </c>
      <c r="I16" s="1803">
        <v>12328301</v>
      </c>
      <c r="J16" s="1803">
        <f t="shared" si="2"/>
        <v>6164150.5</v>
      </c>
      <c r="K16" s="1793">
        <v>339</v>
      </c>
      <c r="L16" s="1804">
        <f t="shared" si="3"/>
        <v>4002586.56</v>
      </c>
      <c r="M16" s="1794">
        <v>362</v>
      </c>
      <c r="N16" s="1805">
        <f t="shared" si="4"/>
        <v>4274148.4799999995</v>
      </c>
      <c r="O16" s="1795">
        <v>512</v>
      </c>
      <c r="P16" s="1806">
        <f t="shared" si="5"/>
        <v>6045204.4799999995</v>
      </c>
      <c r="Q16" s="1808">
        <v>620</v>
      </c>
      <c r="R16" s="1807">
        <f t="shared" si="6"/>
        <v>7320364.8000000007</v>
      </c>
      <c r="S16" s="1809"/>
    </row>
    <row r="17" spans="2:18">
      <c r="B17" s="1799">
        <v>11</v>
      </c>
      <c r="C17" s="1799">
        <v>15</v>
      </c>
      <c r="D17" s="2113"/>
      <c r="E17" s="1802">
        <v>12649479</v>
      </c>
      <c r="F17" s="1802">
        <f t="shared" si="0"/>
        <v>6324739.5</v>
      </c>
      <c r="G17" s="1800">
        <v>13085952</v>
      </c>
      <c r="H17" s="1800">
        <f t="shared" si="1"/>
        <v>6542976</v>
      </c>
      <c r="I17" s="1803">
        <v>15218904</v>
      </c>
      <c r="J17" s="1803">
        <f t="shared" si="2"/>
        <v>7609452</v>
      </c>
      <c r="K17" s="1793">
        <v>522</v>
      </c>
      <c r="L17" s="1804">
        <f t="shared" si="3"/>
        <v>6163274.8799999999</v>
      </c>
      <c r="M17" s="1794">
        <v>541</v>
      </c>
      <c r="N17" s="1805">
        <f t="shared" si="4"/>
        <v>6387608.6400000006</v>
      </c>
      <c r="O17" s="1795">
        <v>632</v>
      </c>
      <c r="P17" s="1806">
        <f t="shared" si="5"/>
        <v>7462049.2800000003</v>
      </c>
      <c r="Q17" s="1808">
        <v>837</v>
      </c>
      <c r="R17" s="1807">
        <f t="shared" si="6"/>
        <v>9882492.4800000004</v>
      </c>
    </row>
    <row r="18" spans="2:18">
      <c r="B18" s="1799">
        <v>15</v>
      </c>
      <c r="C18" s="1799">
        <v>20</v>
      </c>
      <c r="D18" s="2113"/>
      <c r="E18" s="1802">
        <v>13958898</v>
      </c>
      <c r="F18" s="1802">
        <f t="shared" si="0"/>
        <v>6979449</v>
      </c>
      <c r="G18" s="1800">
        <v>15433023</v>
      </c>
      <c r="H18" s="1800">
        <f t="shared" si="1"/>
        <v>7716511.5</v>
      </c>
      <c r="I18" s="1803">
        <v>19954223</v>
      </c>
      <c r="J18" s="1803">
        <f t="shared" si="2"/>
        <v>9977111.5</v>
      </c>
      <c r="K18" s="1793">
        <v>578</v>
      </c>
      <c r="L18" s="1804">
        <f t="shared" si="3"/>
        <v>6824469.1200000001</v>
      </c>
      <c r="M18" s="1794">
        <v>645</v>
      </c>
      <c r="N18" s="1805">
        <f t="shared" si="4"/>
        <v>7615540.8000000007</v>
      </c>
      <c r="O18" s="1795">
        <v>856</v>
      </c>
      <c r="P18" s="1806">
        <f t="shared" si="5"/>
        <v>10106826.24</v>
      </c>
      <c r="Q18" s="1808">
        <v>1081</v>
      </c>
      <c r="R18" s="1807">
        <f t="shared" si="6"/>
        <v>12763410.24</v>
      </c>
    </row>
    <row r="19" spans="2:18">
      <c r="B19" s="1799">
        <v>18.5</v>
      </c>
      <c r="C19" s="1799">
        <v>25</v>
      </c>
      <c r="D19" s="2113"/>
      <c r="E19" s="1802">
        <v>16190674</v>
      </c>
      <c r="F19" s="1802">
        <f t="shared" si="0"/>
        <v>8095337</v>
      </c>
      <c r="G19" s="1800">
        <v>19740105</v>
      </c>
      <c r="H19" s="1800">
        <f t="shared" si="1"/>
        <v>9870052.5</v>
      </c>
      <c r="I19" s="1803">
        <v>24911897</v>
      </c>
      <c r="J19" s="1803">
        <f t="shared" si="2"/>
        <v>12455948.5</v>
      </c>
      <c r="K19" s="1793">
        <v>639</v>
      </c>
      <c r="L19" s="1804">
        <f t="shared" si="3"/>
        <v>7544698.5599999996</v>
      </c>
      <c r="M19" s="1794">
        <v>819</v>
      </c>
      <c r="N19" s="1805">
        <f t="shared" si="4"/>
        <v>9669965.7599999998</v>
      </c>
      <c r="O19" s="1795">
        <v>1021</v>
      </c>
      <c r="P19" s="1806">
        <f t="shared" si="5"/>
        <v>12054987.840000002</v>
      </c>
      <c r="Q19" s="1808">
        <v>1351</v>
      </c>
      <c r="R19" s="1807">
        <f t="shared" si="6"/>
        <v>15951311.040000001</v>
      </c>
    </row>
    <row r="20" spans="2:18">
      <c r="B20" s="1799">
        <v>22</v>
      </c>
      <c r="C20" s="1799">
        <v>30</v>
      </c>
      <c r="D20" s="2113"/>
      <c r="E20" s="1802">
        <v>20810699</v>
      </c>
      <c r="F20" s="1802">
        <f t="shared" si="0"/>
        <v>10405349.5</v>
      </c>
      <c r="G20" s="1800">
        <v>21543644</v>
      </c>
      <c r="H20" s="1800">
        <f t="shared" si="1"/>
        <v>10771822</v>
      </c>
      <c r="I20" s="1803">
        <v>26756613</v>
      </c>
      <c r="J20" s="1803">
        <f t="shared" si="2"/>
        <v>13378306.5</v>
      </c>
      <c r="K20" s="1810"/>
      <c r="L20" s="1810"/>
      <c r="M20" s="1811"/>
      <c r="N20" s="1811"/>
      <c r="O20" s="1812"/>
      <c r="P20" s="1813"/>
      <c r="Q20" s="1814"/>
      <c r="R20" s="1815"/>
    </row>
    <row r="23" spans="2:18" ht="18.75">
      <c r="B23" s="2114" t="s">
        <v>2623</v>
      </c>
      <c r="C23" s="2114"/>
      <c r="D23" s="2114"/>
      <c r="E23" s="2114"/>
      <c r="F23" s="2114"/>
      <c r="G23" s="2114"/>
      <c r="H23" s="2114"/>
      <c r="I23" s="2114"/>
      <c r="J23" s="2114"/>
      <c r="K23" s="1816"/>
      <c r="L23" s="1816"/>
    </row>
    <row r="24" spans="2:18">
      <c r="B24" s="2115" t="s">
        <v>1283</v>
      </c>
      <c r="C24" s="2115" t="s">
        <v>2611</v>
      </c>
      <c r="D24" s="2117" t="s">
        <v>2612</v>
      </c>
      <c r="E24" s="2119" t="s">
        <v>2624</v>
      </c>
      <c r="F24" s="2119" t="s">
        <v>2625</v>
      </c>
      <c r="G24" s="2120" t="s">
        <v>2626</v>
      </c>
      <c r="H24" s="2120" t="s">
        <v>2625</v>
      </c>
      <c r="I24" s="2111" t="s">
        <v>2627</v>
      </c>
      <c r="J24" s="2111" t="s">
        <v>2625</v>
      </c>
      <c r="L24" s="1488"/>
      <c r="M24" s="1488"/>
      <c r="N24" s="1817"/>
    </row>
    <row r="25" spans="2:18">
      <c r="B25" s="2116"/>
      <c r="C25" s="2116"/>
      <c r="D25" s="2118"/>
      <c r="E25" s="2119"/>
      <c r="F25" s="2119"/>
      <c r="G25" s="2120"/>
      <c r="H25" s="2120"/>
      <c r="I25" s="2111"/>
      <c r="J25" s="2111"/>
      <c r="L25" s="1488"/>
      <c r="N25" s="1817"/>
    </row>
    <row r="26" spans="2:18">
      <c r="B26" s="1799">
        <v>0.25</v>
      </c>
      <c r="C26" s="1799">
        <v>0.35</v>
      </c>
      <c r="D26" s="2112" t="s">
        <v>2620</v>
      </c>
      <c r="E26" s="1818"/>
      <c r="F26" s="1818"/>
      <c r="G26" s="1819"/>
      <c r="H26" s="1819"/>
      <c r="I26" s="1820"/>
      <c r="J26" s="1820"/>
      <c r="L26" s="1817"/>
      <c r="N26" s="1817"/>
    </row>
    <row r="27" spans="2:18">
      <c r="B27" s="1799">
        <v>0.37</v>
      </c>
      <c r="C27" s="1799">
        <v>0.5</v>
      </c>
      <c r="D27" s="2112"/>
      <c r="E27" s="1821">
        <f>F7-L7</f>
        <v>-86950.180000000051</v>
      </c>
      <c r="F27" s="1822">
        <f>E27/F7</f>
        <v>-0.12348746629665484</v>
      </c>
      <c r="G27" s="1823">
        <f t="shared" ref="G27:G39" si="7">H7-N7</f>
        <v>-50732.919999999925</v>
      </c>
      <c r="H27" s="1824">
        <f>G27/H7</f>
        <v>-6.254204671953599E-2</v>
      </c>
      <c r="I27" s="1825">
        <f t="shared" ref="I27:I39" si="8">J7-P7</f>
        <v>-88133.800000000047</v>
      </c>
      <c r="J27" s="1826">
        <f>I27/J7</f>
        <v>-8.527413198391931E-2</v>
      </c>
      <c r="L27" s="1817"/>
      <c r="N27" s="1817"/>
    </row>
    <row r="28" spans="2:18">
      <c r="B28" s="1799">
        <v>0.55000000000000004</v>
      </c>
      <c r="C28" s="1799">
        <v>0.75</v>
      </c>
      <c r="D28" s="2112"/>
      <c r="E28" s="1821">
        <f t="shared" ref="E28:E39" si="9">F8-L8</f>
        <v>-67203.919999999925</v>
      </c>
      <c r="F28" s="1822">
        <f>E28/F8</f>
        <v>-8.4564079978860118E-2</v>
      </c>
      <c r="G28" s="1823">
        <f t="shared" si="7"/>
        <v>-185865.88000000012</v>
      </c>
      <c r="H28" s="1824">
        <f t="shared" ref="H28:H38" si="10">G28/H8</f>
        <v>-0.19372794103085533</v>
      </c>
      <c r="I28" s="1825">
        <f t="shared" si="8"/>
        <v>-86246.239999999991</v>
      </c>
      <c r="J28" s="1826">
        <f t="shared" ref="J28:J39" si="11">I28/J8</f>
        <v>-7.4012048399553748E-2</v>
      </c>
      <c r="L28" s="1817"/>
      <c r="N28" s="1817"/>
    </row>
    <row r="29" spans="2:18">
      <c r="B29" s="1799">
        <v>0.75</v>
      </c>
      <c r="C29" s="1799">
        <v>1</v>
      </c>
      <c r="D29" s="2112"/>
      <c r="E29" s="1821">
        <f t="shared" si="9"/>
        <v>-57376.139999999898</v>
      </c>
      <c r="F29" s="1822">
        <f t="shared" ref="F29:F39" si="12">E29/F9</f>
        <v>-5.6413472301904057E-2</v>
      </c>
      <c r="G29" s="1823">
        <f t="shared" si="7"/>
        <v>-202086.19999999995</v>
      </c>
      <c r="H29" s="1824">
        <f t="shared" si="10"/>
        <v>-0.19475315929313552</v>
      </c>
      <c r="I29" s="1825">
        <f t="shared" si="8"/>
        <v>-217807.15999999992</v>
      </c>
      <c r="J29" s="1826">
        <f t="shared" si="11"/>
        <v>-0.1668635510123718</v>
      </c>
      <c r="L29" s="1817"/>
      <c r="N29" s="1817"/>
    </row>
    <row r="30" spans="2:18">
      <c r="B30" s="1799">
        <v>1.1000000000000001</v>
      </c>
      <c r="C30" s="1799">
        <v>1.5</v>
      </c>
      <c r="D30" s="2112"/>
      <c r="E30" s="1821">
        <f t="shared" si="9"/>
        <v>-125489.08000000007</v>
      </c>
      <c r="F30" s="1822">
        <f t="shared" si="12"/>
        <v>-0.11631971331879294</v>
      </c>
      <c r="G30" s="1823">
        <f t="shared" si="7"/>
        <v>-111543.80000000005</v>
      </c>
      <c r="H30" s="1824">
        <f t="shared" si="10"/>
        <v>-8.5454466058020373E-2</v>
      </c>
      <c r="I30" s="1825">
        <f t="shared" si="8"/>
        <v>-215668.91999999969</v>
      </c>
      <c r="J30" s="1826">
        <f t="shared" si="11"/>
        <v>-0.14079691964801552</v>
      </c>
      <c r="L30" s="1817"/>
      <c r="N30" s="1817"/>
    </row>
    <row r="31" spans="2:18">
      <c r="B31" s="1799">
        <v>1.5</v>
      </c>
      <c r="C31" s="1799">
        <v>2</v>
      </c>
      <c r="D31" s="2112"/>
      <c r="E31" s="1821">
        <f t="shared" si="9"/>
        <v>-146964.91999999993</v>
      </c>
      <c r="F31" s="1822">
        <f t="shared" si="12"/>
        <v>-0.11259082770947079</v>
      </c>
      <c r="G31" s="1823">
        <f t="shared" si="7"/>
        <v>-102807.93999999994</v>
      </c>
      <c r="H31" s="1824">
        <f t="shared" si="10"/>
        <v>-6.840412136269379E-2</v>
      </c>
      <c r="I31" s="1825">
        <f t="shared" si="8"/>
        <v>-82311.639999999898</v>
      </c>
      <c r="J31" s="1826">
        <f t="shared" si="11"/>
        <v>-4.3837420785585383E-2</v>
      </c>
      <c r="L31" s="1817"/>
      <c r="N31" s="1817"/>
    </row>
    <row r="32" spans="2:18">
      <c r="B32" s="1799">
        <v>2.2000000000000002</v>
      </c>
      <c r="C32" s="1799">
        <v>3</v>
      </c>
      <c r="D32" s="2112"/>
      <c r="E32" s="1821">
        <f t="shared" si="9"/>
        <v>-141255.1399999999</v>
      </c>
      <c r="F32" s="1822">
        <f t="shared" si="12"/>
        <v>-9.271523674343421E-2</v>
      </c>
      <c r="G32" s="1823">
        <f t="shared" si="7"/>
        <v>-104833.79999999981</v>
      </c>
      <c r="H32" s="1824">
        <f t="shared" si="10"/>
        <v>-5.5107148320273164E-2</v>
      </c>
      <c r="I32" s="1825">
        <f t="shared" si="8"/>
        <v>-42660.139999999665</v>
      </c>
      <c r="J32" s="1826">
        <f t="shared" si="11"/>
        <v>-1.7011928050068844E-2</v>
      </c>
      <c r="L32" s="1817"/>
      <c r="N32" s="1817"/>
    </row>
    <row r="33" spans="2:14">
      <c r="B33" s="1799">
        <v>3</v>
      </c>
      <c r="C33" s="1799">
        <v>4</v>
      </c>
      <c r="D33" s="2112"/>
      <c r="E33" s="1821">
        <f t="shared" si="9"/>
        <v>-176517.7799999998</v>
      </c>
      <c r="F33" s="1822">
        <f t="shared" si="12"/>
        <v>-8.9495562050301472E-2</v>
      </c>
      <c r="G33" s="1823">
        <f t="shared" si="7"/>
        <v>-56309.639999999665</v>
      </c>
      <c r="H33" s="1824">
        <f t="shared" si="10"/>
        <v>-2.5608851960242429E-2</v>
      </c>
      <c r="I33" s="1825">
        <f t="shared" si="8"/>
        <v>-83474.079999999609</v>
      </c>
      <c r="J33" s="1826">
        <f t="shared" si="11"/>
        <v>-2.6191430640499194E-2</v>
      </c>
      <c r="L33" s="1817"/>
      <c r="N33" s="1817"/>
    </row>
    <row r="34" spans="2:14">
      <c r="B34" s="1799">
        <v>4</v>
      </c>
      <c r="C34" s="1799">
        <v>5.5</v>
      </c>
      <c r="D34" s="2112"/>
      <c r="E34" s="1821">
        <f t="shared" si="9"/>
        <v>-100307.63999999966</v>
      </c>
      <c r="F34" s="1822">
        <f t="shared" si="12"/>
        <v>-4.0941676636001387E-2</v>
      </c>
      <c r="G34" s="1823">
        <f t="shared" si="7"/>
        <v>-80357.299999999814</v>
      </c>
      <c r="H34" s="1824">
        <f t="shared" si="10"/>
        <v>-2.8572830542238813E-2</v>
      </c>
      <c r="I34" s="1825">
        <f t="shared" si="8"/>
        <v>-100082.37999999989</v>
      </c>
      <c r="J34" s="1826">
        <f t="shared" si="11"/>
        <v>-2.7036252380439729E-2</v>
      </c>
      <c r="L34" s="1817"/>
      <c r="N34" s="1817"/>
    </row>
    <row r="35" spans="2:14">
      <c r="B35" s="1799">
        <v>5.5</v>
      </c>
      <c r="C35" s="1799">
        <v>7.5</v>
      </c>
      <c r="D35" s="2112"/>
      <c r="E35" s="1821">
        <f t="shared" si="9"/>
        <v>-166215.06000000006</v>
      </c>
      <c r="F35" s="1822">
        <f t="shared" si="12"/>
        <v>-4.693755541031272E-2</v>
      </c>
      <c r="G35" s="1823">
        <f t="shared" si="7"/>
        <v>25426.879999999888</v>
      </c>
      <c r="H35" s="1824">
        <f t="shared" si="10"/>
        <v>7.0572196194239982E-3</v>
      </c>
      <c r="I35" s="1825">
        <f t="shared" si="8"/>
        <v>-32995.079999999143</v>
      </c>
      <c r="J35" s="1826">
        <f t="shared" si="11"/>
        <v>-7.467891764606634E-3</v>
      </c>
      <c r="L35" s="1817"/>
      <c r="N35" s="1817"/>
    </row>
    <row r="36" spans="2:14">
      <c r="B36" s="1799">
        <v>7.5</v>
      </c>
      <c r="C36" s="1799">
        <v>10</v>
      </c>
      <c r="D36" s="2112"/>
      <c r="E36" s="1821">
        <f t="shared" si="9"/>
        <v>-94918.560000000056</v>
      </c>
      <c r="F36" s="1822">
        <f t="shared" si="12"/>
        <v>-2.4290333774517194E-2</v>
      </c>
      <c r="G36" s="1823">
        <f t="shared" si="7"/>
        <v>16462.520000000484</v>
      </c>
      <c r="H36" s="1824">
        <f t="shared" si="10"/>
        <v>3.836870786002386E-3</v>
      </c>
      <c r="I36" s="1825">
        <f t="shared" si="8"/>
        <v>118946.02000000048</v>
      </c>
      <c r="J36" s="1826">
        <f t="shared" si="11"/>
        <v>1.9296417243544018E-2</v>
      </c>
      <c r="L36" s="1817"/>
      <c r="N36" s="1817"/>
    </row>
    <row r="37" spans="2:14">
      <c r="B37" s="1799">
        <v>11</v>
      </c>
      <c r="C37" s="1799">
        <v>15</v>
      </c>
      <c r="D37" s="2112"/>
      <c r="E37" s="1821">
        <f t="shared" si="9"/>
        <v>161464.62000000011</v>
      </c>
      <c r="F37" s="1822">
        <f t="shared" si="12"/>
        <v>2.5529054595845427E-2</v>
      </c>
      <c r="G37" s="1823">
        <f t="shared" si="7"/>
        <v>155367.3599999994</v>
      </c>
      <c r="H37" s="1824">
        <f t="shared" si="10"/>
        <v>2.3745671694348169E-2</v>
      </c>
      <c r="I37" s="1825">
        <f t="shared" si="8"/>
        <v>147402.71999999974</v>
      </c>
      <c r="J37" s="1826">
        <f t="shared" si="11"/>
        <v>1.9371003325863643E-2</v>
      </c>
      <c r="L37" s="1817"/>
    </row>
    <row r="38" spans="2:14">
      <c r="B38" s="1799">
        <v>15</v>
      </c>
      <c r="C38" s="1799">
        <v>20</v>
      </c>
      <c r="D38" s="2112"/>
      <c r="E38" s="1821">
        <f t="shared" si="9"/>
        <v>154979.87999999989</v>
      </c>
      <c r="F38" s="1822">
        <f t="shared" si="12"/>
        <v>2.2205174076062435E-2</v>
      </c>
      <c r="G38" s="1823">
        <f t="shared" si="7"/>
        <v>100970.69999999925</v>
      </c>
      <c r="H38" s="1824">
        <f t="shared" si="10"/>
        <v>1.3085019052974814E-2</v>
      </c>
      <c r="I38" s="1825">
        <f t="shared" si="8"/>
        <v>-129714.74000000022</v>
      </c>
      <c r="J38" s="1826">
        <f t="shared" si="11"/>
        <v>-1.3001231869564676E-2</v>
      </c>
      <c r="L38" s="1817"/>
    </row>
    <row r="39" spans="2:14">
      <c r="B39" s="1799">
        <v>18.5</v>
      </c>
      <c r="C39" s="1799">
        <v>25</v>
      </c>
      <c r="D39" s="2112"/>
      <c r="E39" s="1821">
        <f t="shared" si="9"/>
        <v>550638.44000000041</v>
      </c>
      <c r="F39" s="1822">
        <f t="shared" si="12"/>
        <v>6.8019211553515369E-2</v>
      </c>
      <c r="G39" s="1823">
        <f t="shared" si="7"/>
        <v>200086.74000000022</v>
      </c>
      <c r="H39" s="1824">
        <f>G39/H19</f>
        <v>2.0272104935612066E-2</v>
      </c>
      <c r="I39" s="1825">
        <f t="shared" si="8"/>
        <v>400960.65999999829</v>
      </c>
      <c r="J39" s="1826">
        <f t="shared" si="11"/>
        <v>3.2190295263343313E-2</v>
      </c>
    </row>
    <row r="40" spans="2:14">
      <c r="B40" s="1799">
        <v>22</v>
      </c>
      <c r="C40" s="1799">
        <v>30</v>
      </c>
      <c r="D40" s="2112"/>
      <c r="E40" s="1821"/>
      <c r="F40" s="1822"/>
      <c r="G40" s="1819"/>
      <c r="H40" s="1824"/>
      <c r="I40" s="1820"/>
      <c r="J40" s="1820"/>
    </row>
  </sheetData>
  <mergeCells count="18">
    <mergeCell ref="A2:Q2"/>
    <mergeCell ref="B4:B5"/>
    <mergeCell ref="C4:C5"/>
    <mergeCell ref="D4:D5"/>
    <mergeCell ref="E4:J4"/>
    <mergeCell ref="K4:R4"/>
    <mergeCell ref="J24:J25"/>
    <mergeCell ref="D26:D40"/>
    <mergeCell ref="D6:D20"/>
    <mergeCell ref="B23:J23"/>
    <mergeCell ref="B24:B25"/>
    <mergeCell ref="C24:C25"/>
    <mergeCell ref="D24:D25"/>
    <mergeCell ref="E24:E25"/>
    <mergeCell ref="F24:F25"/>
    <mergeCell ref="G24:G25"/>
    <mergeCell ref="H24:H25"/>
    <mergeCell ref="I24:I2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5286-2DF5-45DF-BD8F-CCD2840F4C24}">
  <dimension ref="A1:J14"/>
  <sheetViews>
    <sheetView showGridLines="0" workbookViewId="0">
      <selection activeCell="C33" sqref="C33"/>
    </sheetView>
  </sheetViews>
  <sheetFormatPr defaultColWidth="9.140625" defaultRowHeight="14.25"/>
  <cols>
    <col min="1" max="1" width="2.42578125" style="1786" bestFit="1" customWidth="1"/>
    <col min="2" max="2" width="31.42578125" style="368" customWidth="1"/>
    <col min="3" max="3" width="18.7109375" style="368" customWidth="1"/>
    <col min="4" max="4" width="9.5703125" style="1786" customWidth="1"/>
    <col min="5" max="5" width="7.7109375" style="1786" bestFit="1" customWidth="1"/>
    <col min="6" max="6" width="7.5703125" style="1786" bestFit="1" customWidth="1"/>
    <col min="7" max="7" width="7.7109375" style="1786" bestFit="1" customWidth="1"/>
    <col min="8" max="8" width="9.28515625" style="1786" customWidth="1"/>
    <col min="9" max="9" width="18.28515625" style="368" customWidth="1"/>
    <col min="10" max="10" width="11.28515625" style="368" bestFit="1" customWidth="1"/>
    <col min="11" max="16384" width="9.140625" style="368"/>
  </cols>
  <sheetData>
    <row r="1" spans="1:10" s="1785" customFormat="1">
      <c r="A1" s="1784" t="s">
        <v>117</v>
      </c>
      <c r="D1" s="1784"/>
      <c r="E1" s="1784"/>
      <c r="F1" s="1784"/>
      <c r="G1" s="1784"/>
      <c r="H1" s="1784"/>
    </row>
    <row r="2" spans="1:10" ht="23.25">
      <c r="B2" s="2127" t="s">
        <v>2590</v>
      </c>
      <c r="C2" s="2127"/>
      <c r="D2" s="2127"/>
      <c r="E2" s="2127"/>
      <c r="F2" s="2127"/>
      <c r="G2" s="2127"/>
      <c r="H2" s="2127"/>
      <c r="I2" s="2127"/>
    </row>
    <row r="3" spans="1:10" ht="15">
      <c r="B3" s="1787" t="s">
        <v>1058</v>
      </c>
      <c r="C3" s="1788" t="s">
        <v>2591</v>
      </c>
      <c r="D3" s="1788" t="s">
        <v>2592</v>
      </c>
      <c r="E3" s="1787" t="s">
        <v>2593</v>
      </c>
      <c r="F3" s="1787" t="s">
        <v>2594</v>
      </c>
      <c r="G3" s="1789" t="s">
        <v>2595</v>
      </c>
      <c r="H3" s="1787" t="s">
        <v>2596</v>
      </c>
      <c r="I3" s="1787" t="s">
        <v>2597</v>
      </c>
      <c r="J3" s="319" t="s">
        <v>46</v>
      </c>
    </row>
    <row r="4" spans="1:10" s="476" customFormat="1">
      <c r="A4" s="510"/>
      <c r="B4" s="349" t="s">
        <v>2598</v>
      </c>
      <c r="C4" s="1790">
        <v>1.1399999999999999</v>
      </c>
      <c r="D4" s="1790"/>
      <c r="E4" s="1790">
        <v>1</v>
      </c>
      <c r="F4" s="1790"/>
      <c r="G4" s="1790">
        <v>1</v>
      </c>
      <c r="H4" s="1790">
        <v>1</v>
      </c>
      <c r="I4" s="1791">
        <v>577.9</v>
      </c>
      <c r="J4" s="1792">
        <f>I4*0.77</f>
        <v>444.983</v>
      </c>
    </row>
    <row r="5" spans="1:10" s="476" customFormat="1">
      <c r="A5" s="510"/>
      <c r="B5" s="349" t="s">
        <v>2599</v>
      </c>
      <c r="C5" s="1790">
        <v>1.65</v>
      </c>
      <c r="D5" s="1790"/>
      <c r="E5" s="1790"/>
      <c r="F5" s="1790">
        <v>1</v>
      </c>
      <c r="G5" s="1790"/>
      <c r="H5" s="1790"/>
      <c r="I5" s="1791">
        <v>712</v>
      </c>
      <c r="J5" s="1792">
        <f t="shared" ref="J5:J14" si="0">I5*0.77</f>
        <v>548.24</v>
      </c>
    </row>
    <row r="6" spans="1:10" s="476" customFormat="1">
      <c r="A6" s="510"/>
      <c r="B6" s="349" t="s">
        <v>2600</v>
      </c>
      <c r="C6" s="1790">
        <v>3.03</v>
      </c>
      <c r="D6" s="1790"/>
      <c r="E6" s="1790"/>
      <c r="F6" s="1790">
        <v>1</v>
      </c>
      <c r="G6" s="1790"/>
      <c r="H6" s="1790"/>
      <c r="I6" s="1791">
        <v>810.3</v>
      </c>
      <c r="J6" s="1792">
        <f t="shared" si="0"/>
        <v>623.93099999999993</v>
      </c>
    </row>
    <row r="7" spans="1:10" s="476" customFormat="1">
      <c r="A7" s="510"/>
      <c r="B7" s="349" t="s">
        <v>2601</v>
      </c>
      <c r="C7" s="1790">
        <v>2.56</v>
      </c>
      <c r="D7" s="1790">
        <v>1</v>
      </c>
      <c r="E7" s="1790">
        <v>1</v>
      </c>
      <c r="F7" s="1790"/>
      <c r="G7" s="1790"/>
      <c r="H7" s="1790">
        <v>1</v>
      </c>
      <c r="I7" s="1791">
        <v>911</v>
      </c>
      <c r="J7" s="1792">
        <f t="shared" si="0"/>
        <v>701.47</v>
      </c>
    </row>
    <row r="8" spans="1:10" s="476" customFormat="1">
      <c r="A8" s="510"/>
      <c r="B8" s="349" t="s">
        <v>2602</v>
      </c>
      <c r="C8" s="1790">
        <v>3.25</v>
      </c>
      <c r="D8" s="1790"/>
      <c r="E8" s="1790"/>
      <c r="F8" s="1790">
        <v>1</v>
      </c>
      <c r="G8" s="1790"/>
      <c r="H8" s="1790">
        <v>1</v>
      </c>
      <c r="I8" s="1791">
        <v>1046.2</v>
      </c>
      <c r="J8" s="1792">
        <f t="shared" si="0"/>
        <v>805.57400000000007</v>
      </c>
    </row>
    <row r="9" spans="1:10" s="476" customFormat="1">
      <c r="A9" s="510"/>
      <c r="B9" s="349" t="s">
        <v>2603</v>
      </c>
      <c r="C9" s="1790">
        <v>0.81499999999999995</v>
      </c>
      <c r="D9" s="1790"/>
      <c r="E9" s="1790">
        <v>1</v>
      </c>
      <c r="F9" s="1790"/>
      <c r="G9" s="1790">
        <v>1</v>
      </c>
      <c r="H9" s="1790">
        <v>1</v>
      </c>
      <c r="I9" s="1791">
        <v>765</v>
      </c>
      <c r="J9" s="1792">
        <f t="shared" si="0"/>
        <v>589.05000000000007</v>
      </c>
    </row>
    <row r="10" spans="1:10" s="476" customFormat="1">
      <c r="A10" s="510"/>
      <c r="B10" s="349" t="s">
        <v>2604</v>
      </c>
      <c r="C10" s="1790">
        <v>5.7</v>
      </c>
      <c r="D10" s="1790">
        <v>1</v>
      </c>
      <c r="E10" s="1790"/>
      <c r="F10" s="1790">
        <v>1</v>
      </c>
      <c r="G10" s="1790">
        <v>1</v>
      </c>
      <c r="H10" s="1790"/>
      <c r="I10" s="1791">
        <v>1350</v>
      </c>
      <c r="J10" s="1792">
        <f t="shared" si="0"/>
        <v>1039.5</v>
      </c>
    </row>
    <row r="11" spans="1:10" s="476" customFormat="1">
      <c r="A11" s="510"/>
      <c r="B11" s="349" t="s">
        <v>2605</v>
      </c>
      <c r="C11" s="1790">
        <v>4.13</v>
      </c>
      <c r="D11" s="1790"/>
      <c r="E11" s="1790"/>
      <c r="F11" s="1790"/>
      <c r="G11" s="1790"/>
      <c r="H11" s="1790">
        <v>1</v>
      </c>
      <c r="I11" s="1791">
        <v>1150</v>
      </c>
      <c r="J11" s="1792">
        <f t="shared" si="0"/>
        <v>885.5</v>
      </c>
    </row>
    <row r="12" spans="1:10" s="476" customFormat="1">
      <c r="A12" s="510"/>
      <c r="B12" s="349" t="s">
        <v>2606</v>
      </c>
      <c r="C12" s="1790">
        <v>4.8</v>
      </c>
      <c r="D12" s="1790"/>
      <c r="E12" s="1790">
        <v>1</v>
      </c>
      <c r="F12" s="1790"/>
      <c r="G12" s="1790">
        <v>1</v>
      </c>
      <c r="H12" s="1790">
        <v>1</v>
      </c>
      <c r="I12" s="1791">
        <v>1200</v>
      </c>
      <c r="J12" s="1792">
        <f t="shared" si="0"/>
        <v>924</v>
      </c>
    </row>
    <row r="13" spans="1:10" s="476" customFormat="1">
      <c r="A13" s="510"/>
      <c r="B13" s="349" t="s">
        <v>2607</v>
      </c>
      <c r="C13" s="1790">
        <v>6.85</v>
      </c>
      <c r="D13" s="1790"/>
      <c r="E13" s="1790">
        <v>1</v>
      </c>
      <c r="F13" s="1790">
        <v>1</v>
      </c>
      <c r="G13" s="1790">
        <v>1</v>
      </c>
      <c r="H13" s="1790">
        <v>1</v>
      </c>
      <c r="I13" s="1791">
        <v>1950</v>
      </c>
      <c r="J13" s="1792">
        <f t="shared" si="0"/>
        <v>1501.5</v>
      </c>
    </row>
    <row r="14" spans="1:10" s="476" customFormat="1">
      <c r="A14" s="510"/>
      <c r="B14" s="349" t="s">
        <v>2608</v>
      </c>
      <c r="C14" s="1790">
        <v>3.45</v>
      </c>
      <c r="D14" s="1790"/>
      <c r="E14" s="1790"/>
      <c r="F14" s="1790"/>
      <c r="G14" s="1790"/>
      <c r="H14" s="1790">
        <v>1</v>
      </c>
      <c r="I14" s="1791">
        <v>1450</v>
      </c>
      <c r="J14" s="1792">
        <f t="shared" si="0"/>
        <v>1116.5</v>
      </c>
    </row>
  </sheetData>
  <mergeCells count="1">
    <mergeCell ref="B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37"/>
  <sheetViews>
    <sheetView topLeftCell="K1" zoomScale="85" zoomScaleNormal="85" workbookViewId="0">
      <selection activeCell="Q4" sqref="Q4"/>
    </sheetView>
  </sheetViews>
  <sheetFormatPr defaultColWidth="9.140625" defaultRowHeight="12.75"/>
  <cols>
    <col min="1" max="1" width="20.5703125" style="249" customWidth="1"/>
    <col min="2" max="2" width="11.85546875" style="249" bestFit="1" customWidth="1"/>
    <col min="3" max="3" width="20.5703125" style="249" customWidth="1"/>
    <col min="4" max="4" width="10.5703125" style="249" bestFit="1" customWidth="1"/>
    <col min="5" max="5" width="9.140625" style="249"/>
    <col min="6" max="6" width="16.28515625" style="249" bestFit="1" customWidth="1"/>
    <col min="7" max="7" width="11.140625" style="249" bestFit="1" customWidth="1"/>
    <col min="8" max="9" width="9.140625" style="249"/>
    <col min="10" max="10" width="37.7109375" style="249" customWidth="1"/>
    <col min="11" max="11" width="19" style="249" customWidth="1"/>
    <col min="12" max="13" width="9.140625" style="249"/>
    <col min="14" max="14" width="3.42578125" style="249" bestFit="1" customWidth="1"/>
    <col min="15" max="15" width="14" style="249" bestFit="1" customWidth="1"/>
    <col min="16" max="16" width="9.140625" style="249"/>
    <col min="17" max="17" width="10" style="249" bestFit="1" customWidth="1"/>
    <col min="18" max="18" width="9.140625" style="249"/>
    <col min="19" max="19" width="10" style="249" bestFit="1" customWidth="1"/>
    <col min="20" max="20" width="9.140625" style="249"/>
    <col min="21" max="21" width="10" style="249" bestFit="1" customWidth="1"/>
    <col min="22" max="22" width="9.140625" style="249"/>
    <col min="23" max="23" width="10" style="249" bestFit="1" customWidth="1"/>
    <col min="24" max="28" width="9.140625" style="249"/>
    <col min="29" max="29" width="23.5703125" style="249" bestFit="1" customWidth="1"/>
    <col min="30" max="30" width="10.140625" style="249" customWidth="1"/>
    <col min="31" max="31" width="11.5703125" style="249" bestFit="1" customWidth="1"/>
    <col min="32" max="16384" width="9.140625" style="249"/>
  </cols>
  <sheetData>
    <row r="1" spans="1:31" ht="21" customHeight="1">
      <c r="A1" s="2137" t="s">
        <v>238</v>
      </c>
      <c r="B1" s="2140" t="s">
        <v>239</v>
      </c>
      <c r="C1" s="2141"/>
      <c r="F1" s="2132" t="s">
        <v>724</v>
      </c>
      <c r="G1" s="2132"/>
      <c r="J1" s="2132" t="s">
        <v>725</v>
      </c>
      <c r="K1" s="2132"/>
    </row>
    <row r="2" spans="1:31" ht="19.5" customHeight="1">
      <c r="A2" s="2138"/>
      <c r="B2" s="250" t="s">
        <v>240</v>
      </c>
      <c r="C2" s="251" t="s">
        <v>241</v>
      </c>
      <c r="F2" s="303" t="s">
        <v>656</v>
      </c>
      <c r="G2" s="304">
        <v>56.2</v>
      </c>
      <c r="J2" s="2134"/>
      <c r="K2" s="2134"/>
      <c r="M2"/>
      <c r="N2"/>
      <c r="O2" s="318"/>
      <c r="P2" s="318" t="s">
        <v>727</v>
      </c>
      <c r="Q2" s="318"/>
      <c r="R2" s="318" t="s">
        <v>728</v>
      </c>
      <c r="S2" s="318"/>
      <c r="T2" s="318" t="s">
        <v>729</v>
      </c>
      <c r="U2" s="318"/>
      <c r="V2" s="318" t="s">
        <v>730</v>
      </c>
      <c r="W2" s="318"/>
      <c r="X2" s="318" t="s">
        <v>731</v>
      </c>
      <c r="Y2" s="318"/>
      <c r="Z2" s="318" t="s">
        <v>1044</v>
      </c>
    </row>
    <row r="3" spans="1:31" ht="19.5" customHeight="1">
      <c r="A3" s="2139"/>
      <c r="B3" s="251" t="s">
        <v>242</v>
      </c>
      <c r="C3" s="250" t="s">
        <v>242</v>
      </c>
      <c r="F3" s="305" t="s">
        <v>657</v>
      </c>
      <c r="G3" s="304">
        <v>67</v>
      </c>
      <c r="J3" s="313"/>
      <c r="K3" s="313"/>
      <c r="M3"/>
      <c r="N3"/>
      <c r="O3" s="318" t="s">
        <v>87</v>
      </c>
      <c r="P3" s="318" t="s">
        <v>732</v>
      </c>
      <c r="Q3" s="318" t="s">
        <v>733</v>
      </c>
      <c r="R3" s="318" t="s">
        <v>732</v>
      </c>
      <c r="S3" s="318" t="s">
        <v>733</v>
      </c>
      <c r="T3" s="318" t="s">
        <v>734</v>
      </c>
      <c r="U3" s="318" t="s">
        <v>735</v>
      </c>
      <c r="V3" s="318" t="s">
        <v>734</v>
      </c>
      <c r="W3" s="318" t="s">
        <v>735</v>
      </c>
      <c r="X3" s="318" t="s">
        <v>732</v>
      </c>
      <c r="Y3" s="318" t="s">
        <v>733</v>
      </c>
      <c r="Z3" s="318" t="s">
        <v>142</v>
      </c>
      <c r="AC3" s="348" t="s">
        <v>87</v>
      </c>
      <c r="AD3" s="348" t="s">
        <v>167</v>
      </c>
      <c r="AE3" s="348" t="s">
        <v>1018</v>
      </c>
    </row>
    <row r="4" spans="1:31" ht="20.25" customHeight="1">
      <c r="A4" s="252" t="s">
        <v>219</v>
      </c>
      <c r="B4" s="253">
        <v>160000</v>
      </c>
      <c r="C4" s="253">
        <v>320000</v>
      </c>
      <c r="F4" s="306" t="s">
        <v>658</v>
      </c>
      <c r="G4" s="304">
        <v>73.5</v>
      </c>
      <c r="J4" s="2135" t="s">
        <v>721</v>
      </c>
      <c r="K4" s="314" t="s">
        <v>722</v>
      </c>
      <c r="M4"/>
      <c r="N4">
        <v>1</v>
      </c>
      <c r="O4" s="319" t="s">
        <v>737</v>
      </c>
      <c r="P4" s="319">
        <v>0.316</v>
      </c>
      <c r="Q4" s="363">
        <f>0.316*75000</f>
        <v>23700</v>
      </c>
      <c r="R4" s="319">
        <v>0.33600000000000002</v>
      </c>
      <c r="S4" s="363">
        <f>0.399*75000</f>
        <v>29925</v>
      </c>
      <c r="T4" s="319">
        <v>0.12</v>
      </c>
      <c r="U4" s="364">
        <v>15500</v>
      </c>
      <c r="V4" s="319">
        <v>0</v>
      </c>
      <c r="W4" s="320">
        <v>0</v>
      </c>
      <c r="X4" s="319">
        <v>0</v>
      </c>
      <c r="Y4" s="320">
        <v>0</v>
      </c>
      <c r="Z4" s="319">
        <v>15</v>
      </c>
      <c r="AC4" s="349" t="s">
        <v>1019</v>
      </c>
      <c r="AD4" s="350">
        <v>58</v>
      </c>
      <c r="AE4" s="351" t="s">
        <v>1011</v>
      </c>
    </row>
    <row r="5" spans="1:31" ht="19.5" customHeight="1">
      <c r="A5" s="252" t="s">
        <v>220</v>
      </c>
      <c r="B5" s="253">
        <v>180000</v>
      </c>
      <c r="C5" s="253">
        <v>360000</v>
      </c>
      <c r="F5" s="306" t="s">
        <v>659</v>
      </c>
      <c r="G5" s="304">
        <v>89.1</v>
      </c>
      <c r="J5" s="2135"/>
      <c r="K5" s="314" t="s">
        <v>723</v>
      </c>
      <c r="M5"/>
      <c r="N5">
        <v>2</v>
      </c>
      <c r="O5" s="319" t="s">
        <v>738</v>
      </c>
      <c r="P5" s="319">
        <v>0.316</v>
      </c>
      <c r="Q5" s="363">
        <f>0.316*80000</f>
        <v>25280</v>
      </c>
      <c r="R5" s="319">
        <v>0.33600000000000002</v>
      </c>
      <c r="S5" s="363">
        <f>0.336*80000</f>
        <v>26880</v>
      </c>
      <c r="T5" s="319">
        <v>0.12</v>
      </c>
      <c r="U5" s="364">
        <v>15500</v>
      </c>
      <c r="V5" s="319">
        <v>0</v>
      </c>
      <c r="W5" s="320">
        <v>0</v>
      </c>
      <c r="X5" s="319">
        <v>0</v>
      </c>
      <c r="Y5" s="320">
        <v>0</v>
      </c>
      <c r="Z5" s="319">
        <v>15</v>
      </c>
      <c r="AC5" s="349" t="s">
        <v>1021</v>
      </c>
      <c r="AD5" s="350">
        <v>59.9</v>
      </c>
      <c r="AE5" s="351" t="s">
        <v>1012</v>
      </c>
    </row>
    <row r="6" spans="1:31" ht="19.5" customHeight="1">
      <c r="A6" s="252" t="s">
        <v>221</v>
      </c>
      <c r="B6" s="253">
        <v>240000</v>
      </c>
      <c r="C6" s="253">
        <v>480000</v>
      </c>
      <c r="F6" s="306" t="s">
        <v>660</v>
      </c>
      <c r="G6" s="304">
        <v>95.5</v>
      </c>
      <c r="J6" s="315"/>
      <c r="K6" s="314"/>
      <c r="M6"/>
      <c r="N6">
        <v>3</v>
      </c>
      <c r="O6" s="319" t="s">
        <v>739</v>
      </c>
      <c r="P6" s="319">
        <v>0.83199999999999996</v>
      </c>
      <c r="Q6" s="363">
        <f>0.832*75000</f>
        <v>62400</v>
      </c>
      <c r="R6" s="319">
        <v>0.53900000000000003</v>
      </c>
      <c r="S6" s="363">
        <f>0.539*75000</f>
        <v>40425</v>
      </c>
      <c r="T6" s="319">
        <v>0.12388600000000001</v>
      </c>
      <c r="U6" s="320">
        <v>15500</v>
      </c>
      <c r="V6" s="319">
        <v>0</v>
      </c>
      <c r="W6" s="320">
        <v>0</v>
      </c>
      <c r="X6" s="319">
        <v>0</v>
      </c>
      <c r="Y6" s="320">
        <v>0</v>
      </c>
      <c r="Z6" s="319">
        <v>15</v>
      </c>
      <c r="AC6" s="349" t="s">
        <v>1022</v>
      </c>
      <c r="AD6" s="350">
        <v>39.799999999999997</v>
      </c>
      <c r="AE6" s="351" t="s">
        <v>1013</v>
      </c>
    </row>
    <row r="7" spans="1:31" ht="20.25" customHeight="1">
      <c r="A7" s="252" t="s">
        <v>222</v>
      </c>
      <c r="B7" s="253">
        <v>260000</v>
      </c>
      <c r="C7" s="253">
        <v>520000</v>
      </c>
      <c r="F7" s="306" t="s">
        <v>661</v>
      </c>
      <c r="G7" s="304">
        <v>114.5</v>
      </c>
      <c r="J7" s="2136"/>
      <c r="K7" s="2136"/>
      <c r="M7"/>
      <c r="N7">
        <v>4</v>
      </c>
      <c r="O7" s="319" t="s">
        <v>740</v>
      </c>
      <c r="P7" s="319">
        <v>0.83199999999999996</v>
      </c>
      <c r="Q7" s="363">
        <f>0.832*80000</f>
        <v>66560</v>
      </c>
      <c r="R7" s="319">
        <v>0.53900000000000003</v>
      </c>
      <c r="S7" s="363">
        <f>0.539*75000</f>
        <v>40425</v>
      </c>
      <c r="T7" s="319">
        <v>0.12388600000000001</v>
      </c>
      <c r="U7" s="320">
        <v>15500</v>
      </c>
      <c r="V7" s="319">
        <v>0</v>
      </c>
      <c r="W7" s="320">
        <v>0</v>
      </c>
      <c r="X7" s="319">
        <v>0</v>
      </c>
      <c r="Y7" s="320">
        <v>0</v>
      </c>
      <c r="Z7" s="319">
        <v>15</v>
      </c>
      <c r="AC7" s="349" t="s">
        <v>1023</v>
      </c>
      <c r="AD7" s="350">
        <v>40.9</v>
      </c>
      <c r="AE7" s="351" t="s">
        <v>1014</v>
      </c>
    </row>
    <row r="8" spans="1:31" ht="19.5" customHeight="1">
      <c r="A8" s="252" t="s">
        <v>223</v>
      </c>
      <c r="B8" s="253">
        <v>290000</v>
      </c>
      <c r="C8" s="253">
        <v>580000</v>
      </c>
      <c r="F8" s="306" t="s">
        <v>216</v>
      </c>
      <c r="G8" s="304">
        <v>132.30000000000001</v>
      </c>
      <c r="J8" s="338" t="s">
        <v>757</v>
      </c>
      <c r="K8" s="2103">
        <v>74</v>
      </c>
      <c r="L8" s="249">
        <v>5</v>
      </c>
      <c r="M8"/>
      <c r="N8">
        <v>5</v>
      </c>
      <c r="O8" s="319" t="s">
        <v>741</v>
      </c>
      <c r="P8" s="319">
        <v>1.337</v>
      </c>
      <c r="Q8" s="363">
        <f>(0.694+0.376)*75000+12500*4</f>
        <v>130249.99999999999</v>
      </c>
      <c r="R8" s="319">
        <f>0.378+0.517</f>
        <v>0.89500000000000002</v>
      </c>
      <c r="S8" s="363">
        <f>(0.378+0.517)*75000+12500*4</f>
        <v>117125</v>
      </c>
      <c r="T8" s="319">
        <v>0.13427</v>
      </c>
      <c r="U8" s="364">
        <f>(1.5*2)*15000</f>
        <v>45000</v>
      </c>
      <c r="V8" s="319">
        <v>3.5000000000000003E-2</v>
      </c>
      <c r="W8" s="364">
        <f>(0.4*15000)*2</f>
        <v>12000</v>
      </c>
      <c r="X8" s="319">
        <v>0.20200000000000001</v>
      </c>
      <c r="Y8" s="365">
        <f>X8*95000</f>
        <v>19190</v>
      </c>
      <c r="Z8" s="319">
        <v>25</v>
      </c>
      <c r="AC8" s="349" t="s">
        <v>1024</v>
      </c>
      <c r="AD8" s="350">
        <v>51.3</v>
      </c>
      <c r="AE8" s="351" t="s">
        <v>1015</v>
      </c>
    </row>
    <row r="9" spans="1:31" ht="20.25" customHeight="1">
      <c r="A9" s="252" t="s">
        <v>224</v>
      </c>
      <c r="B9" s="253">
        <v>300000</v>
      </c>
      <c r="C9" s="253">
        <v>600000</v>
      </c>
      <c r="F9" s="306" t="s">
        <v>662</v>
      </c>
      <c r="G9" s="304">
        <v>167.4</v>
      </c>
      <c r="J9" s="338" t="s">
        <v>886</v>
      </c>
      <c r="K9" s="2103">
        <v>82</v>
      </c>
      <c r="L9" s="249">
        <v>5</v>
      </c>
      <c r="M9"/>
      <c r="N9">
        <v>6</v>
      </c>
      <c r="O9" s="319" t="s">
        <v>742</v>
      </c>
      <c r="P9" s="319">
        <v>1.337</v>
      </c>
      <c r="Q9" s="363">
        <f>(0.694+0.376)*80000+12500*4</f>
        <v>135600</v>
      </c>
      <c r="R9" s="319">
        <v>1.2490000000000001</v>
      </c>
      <c r="S9" s="363">
        <f>(0.378+0.517)*80000+12500*4</f>
        <v>121600</v>
      </c>
      <c r="T9" s="319">
        <v>0.13427</v>
      </c>
      <c r="U9" s="364">
        <f>(1.5*2)*15000</f>
        <v>45000</v>
      </c>
      <c r="V9" s="319">
        <v>3.5000000000000003E-2</v>
      </c>
      <c r="W9" s="364">
        <f>(0.4*15000)*2</f>
        <v>12000</v>
      </c>
      <c r="X9" s="319">
        <v>0.20200000000000001</v>
      </c>
      <c r="Y9" s="365">
        <f t="shared" ref="Y9:Y11" si="0">X9*75000</f>
        <v>15150.000000000002</v>
      </c>
      <c r="Z9" s="319">
        <v>25</v>
      </c>
      <c r="AC9" s="349" t="s">
        <v>1025</v>
      </c>
      <c r="AD9" s="350">
        <v>53.5</v>
      </c>
      <c r="AE9" s="351" t="s">
        <v>1016</v>
      </c>
    </row>
    <row r="10" spans="1:31" ht="20.25" customHeight="1">
      <c r="A10" s="252" t="s">
        <v>225</v>
      </c>
      <c r="B10" s="253">
        <v>370000</v>
      </c>
      <c r="C10" s="253">
        <v>740000</v>
      </c>
      <c r="F10" s="306" t="s">
        <v>663</v>
      </c>
      <c r="G10" s="304">
        <v>198.8</v>
      </c>
      <c r="J10" s="338" t="s">
        <v>758</v>
      </c>
      <c r="K10" s="2103">
        <v>54</v>
      </c>
      <c r="L10" s="249">
        <v>6.6</v>
      </c>
      <c r="M10"/>
      <c r="N10">
        <v>7</v>
      </c>
      <c r="O10" s="319" t="s">
        <v>736</v>
      </c>
      <c r="P10" s="319">
        <v>1.7729999999999999</v>
      </c>
      <c r="Q10" s="363">
        <f>(1.083+0.376)*85000+12500*4</f>
        <v>174015</v>
      </c>
      <c r="R10" s="319">
        <f>0.576+0.517</f>
        <v>1.093</v>
      </c>
      <c r="S10" s="363">
        <f>(0.576+0.517)*75000+12500*4</f>
        <v>131975</v>
      </c>
      <c r="T10" s="319">
        <v>0.42476000000000003</v>
      </c>
      <c r="U10" s="364">
        <f>(2.8*2)*15000</f>
        <v>84000</v>
      </c>
      <c r="V10" s="319">
        <v>5.6627999999999998E-2</v>
      </c>
      <c r="W10" s="364">
        <v>24000</v>
      </c>
      <c r="X10" s="319">
        <v>0.20200000000000001</v>
      </c>
      <c r="Y10" s="365">
        <f t="shared" si="0"/>
        <v>15150.000000000002</v>
      </c>
      <c r="Z10" s="319">
        <v>50</v>
      </c>
      <c r="AC10" s="349" t="s">
        <v>1026</v>
      </c>
      <c r="AD10" s="350">
        <v>57.1</v>
      </c>
      <c r="AE10" s="351" t="s">
        <v>1017</v>
      </c>
    </row>
    <row r="11" spans="1:31" ht="19.5" customHeight="1">
      <c r="A11" s="252" t="s">
        <v>226</v>
      </c>
      <c r="B11" s="253">
        <v>660000</v>
      </c>
      <c r="C11" s="253">
        <v>1320000</v>
      </c>
      <c r="F11" s="306" t="s">
        <v>664</v>
      </c>
      <c r="G11" s="304">
        <v>285.8</v>
      </c>
      <c r="J11" s="338" t="s">
        <v>887</v>
      </c>
      <c r="K11" s="2103">
        <v>59</v>
      </c>
      <c r="L11" s="249">
        <v>6.6</v>
      </c>
      <c r="M11"/>
      <c r="N11">
        <v>8</v>
      </c>
      <c r="O11" s="319" t="s">
        <v>743</v>
      </c>
      <c r="P11" s="319">
        <v>1.7729999999999999</v>
      </c>
      <c r="Q11" s="363">
        <f>(1.083+0.376)*90000+12500*4</f>
        <v>181310</v>
      </c>
      <c r="R11" s="319">
        <v>1.4280000000000002</v>
      </c>
      <c r="S11" s="363">
        <f>(0.576+0.517)*80000+12500*4</f>
        <v>137440</v>
      </c>
      <c r="T11" s="319">
        <v>0.42476000000000003</v>
      </c>
      <c r="U11" s="364">
        <f>(2.8*2)*15000</f>
        <v>84000</v>
      </c>
      <c r="V11" s="319">
        <v>5.6627999999999998E-2</v>
      </c>
      <c r="W11" s="364">
        <v>24000</v>
      </c>
      <c r="X11" s="319">
        <v>0.20200000000000001</v>
      </c>
      <c r="Y11" s="365">
        <f t="shared" si="0"/>
        <v>15150.000000000002</v>
      </c>
      <c r="Z11" s="319">
        <v>50</v>
      </c>
      <c r="AC11" s="351" t="s">
        <v>1030</v>
      </c>
      <c r="AD11" s="352">
        <f>5300000/14000</f>
        <v>378.57142857142856</v>
      </c>
      <c r="AE11" s="351"/>
    </row>
    <row r="12" spans="1:31" ht="20.25" customHeight="1">
      <c r="A12" s="252" t="s">
        <v>227</v>
      </c>
      <c r="B12" s="253">
        <v>750000</v>
      </c>
      <c r="C12" s="253">
        <v>1500000</v>
      </c>
      <c r="F12" s="306" t="s">
        <v>665</v>
      </c>
      <c r="G12" s="304">
        <v>338.6</v>
      </c>
      <c r="J12" s="338" t="s">
        <v>759</v>
      </c>
      <c r="K12" s="2103">
        <v>56</v>
      </c>
      <c r="L12" s="249">
        <v>7.9</v>
      </c>
      <c r="M12"/>
      <c r="N12">
        <v>9</v>
      </c>
      <c r="O12" s="319" t="s">
        <v>744</v>
      </c>
      <c r="P12" s="319">
        <v>1.6120699999999999</v>
      </c>
      <c r="Q12" s="320">
        <v>126976.09399999998</v>
      </c>
      <c r="R12" s="319">
        <v>1.2431000000000001</v>
      </c>
      <c r="S12" s="320">
        <v>95095.755999999994</v>
      </c>
      <c r="T12" s="319">
        <v>0.21</v>
      </c>
      <c r="U12" s="320">
        <v>58597.979999999996</v>
      </c>
      <c r="V12" s="319">
        <v>0.04</v>
      </c>
      <c r="W12" s="320">
        <v>17807.16</v>
      </c>
      <c r="X12" s="319">
        <v>0.177586206896552</v>
      </c>
      <c r="Y12" s="320">
        <v>11905.95</v>
      </c>
      <c r="Z12" s="319">
        <v>50</v>
      </c>
      <c r="AC12" s="351" t="s">
        <v>1031</v>
      </c>
      <c r="AD12" s="352">
        <f>6300000/14000</f>
        <v>450</v>
      </c>
      <c r="AE12" s="351"/>
    </row>
    <row r="13" spans="1:31" ht="19.5" customHeight="1">
      <c r="A13" s="252" t="s">
        <v>228</v>
      </c>
      <c r="B13" s="253">
        <v>1060000</v>
      </c>
      <c r="C13" s="253">
        <v>2120000</v>
      </c>
      <c r="F13" s="306" t="s">
        <v>666</v>
      </c>
      <c r="G13" s="304">
        <v>494.7</v>
      </c>
      <c r="J13" s="338" t="s">
        <v>888</v>
      </c>
      <c r="K13" s="2103">
        <v>62</v>
      </c>
      <c r="L13" s="249">
        <v>7.9</v>
      </c>
      <c r="M13" t="s">
        <v>756</v>
      </c>
      <c r="N13">
        <v>10</v>
      </c>
      <c r="O13" s="319" t="s">
        <v>745</v>
      </c>
      <c r="P13" s="319">
        <v>1.9327586206896599</v>
      </c>
      <c r="Q13" s="320">
        <v>183475.86600000001</v>
      </c>
      <c r="R13" s="319">
        <v>1.5689655172413799</v>
      </c>
      <c r="S13" s="320">
        <v>154397.74</v>
      </c>
      <c r="T13" s="319">
        <v>0.21</v>
      </c>
      <c r="U13" s="320">
        <v>58597.979999999996</v>
      </c>
      <c r="V13" s="319">
        <v>0.04</v>
      </c>
      <c r="W13" s="320">
        <v>17807.16</v>
      </c>
      <c r="X13" s="319">
        <v>0.177586206896552</v>
      </c>
      <c r="Y13" s="320">
        <v>13769.489999999998</v>
      </c>
      <c r="Z13" s="319">
        <v>50</v>
      </c>
      <c r="AC13" s="351" t="s">
        <v>1032</v>
      </c>
      <c r="AD13" s="352">
        <f>8500000/14000</f>
        <v>607.14285714285711</v>
      </c>
    </row>
    <row r="14" spans="1:31" ht="20.25" customHeight="1">
      <c r="A14" s="252" t="s">
        <v>229</v>
      </c>
      <c r="B14" s="253">
        <v>1420000</v>
      </c>
      <c r="C14" s="253">
        <v>2840000</v>
      </c>
      <c r="F14" s="306" t="s">
        <v>667</v>
      </c>
      <c r="G14" s="304">
        <v>609.70000000000005</v>
      </c>
      <c r="J14" s="338" t="s">
        <v>760</v>
      </c>
      <c r="K14" s="2103">
        <v>59</v>
      </c>
      <c r="L14" s="249">
        <v>8.3000000000000007</v>
      </c>
      <c r="M14"/>
      <c r="N14">
        <v>11</v>
      </c>
      <c r="O14" s="319" t="s">
        <v>746</v>
      </c>
      <c r="P14" s="319">
        <v>4.9690000000000003</v>
      </c>
      <c r="Q14" s="320">
        <f>P14*65000</f>
        <v>322985</v>
      </c>
      <c r="R14" s="319">
        <v>4.2249999999999996</v>
      </c>
      <c r="S14" s="320">
        <f>R14*65000</f>
        <v>274625</v>
      </c>
      <c r="T14" s="319">
        <v>0.77200000000000002</v>
      </c>
      <c r="U14" s="320">
        <v>31390</v>
      </c>
      <c r="V14" s="319">
        <v>6.2E-2</v>
      </c>
      <c r="W14" s="320">
        <v>3719</v>
      </c>
      <c r="X14" s="319">
        <v>0</v>
      </c>
      <c r="Y14" s="320">
        <v>0</v>
      </c>
      <c r="Z14" s="319">
        <v>25</v>
      </c>
    </row>
    <row r="15" spans="1:31" ht="20.25" customHeight="1">
      <c r="A15" s="252" t="s">
        <v>230</v>
      </c>
      <c r="B15" s="253">
        <v>1750000</v>
      </c>
      <c r="C15" s="253">
        <v>3500000</v>
      </c>
      <c r="F15" s="306" t="s">
        <v>668</v>
      </c>
      <c r="G15" s="304">
        <v>710.1</v>
      </c>
      <c r="J15" s="338" t="s">
        <v>889</v>
      </c>
      <c r="K15" s="2103">
        <v>66</v>
      </c>
      <c r="L15" s="249">
        <v>8.3000000000000007</v>
      </c>
      <c r="M15"/>
      <c r="N15">
        <v>12</v>
      </c>
      <c r="O15" s="319" t="s">
        <v>747</v>
      </c>
      <c r="P15" s="319">
        <v>5.0810000000000004</v>
      </c>
      <c r="Q15" s="320">
        <f>P15*80000</f>
        <v>406480.00000000006</v>
      </c>
      <c r="R15" s="319">
        <v>4.3170000000000002</v>
      </c>
      <c r="S15" s="320">
        <f>R15*80000</f>
        <v>345360</v>
      </c>
      <c r="T15" s="319">
        <v>0.79200000000000004</v>
      </c>
      <c r="U15" s="320">
        <v>47203</v>
      </c>
      <c r="V15" s="319">
        <v>6.4000000000000001E-2</v>
      </c>
      <c r="W15" s="320">
        <v>3814</v>
      </c>
      <c r="X15" s="319">
        <v>0</v>
      </c>
      <c r="Y15" s="320">
        <v>0</v>
      </c>
      <c r="Z15" s="319">
        <v>25</v>
      </c>
    </row>
    <row r="16" spans="1:31" ht="21" customHeight="1">
      <c r="A16" s="252" t="s">
        <v>231</v>
      </c>
      <c r="B16" s="253">
        <v>2290000</v>
      </c>
      <c r="C16" s="253">
        <v>4580000</v>
      </c>
      <c r="F16" s="306" t="s">
        <v>669</v>
      </c>
      <c r="G16" s="304">
        <v>901.8</v>
      </c>
      <c r="J16" s="338" t="s">
        <v>761</v>
      </c>
      <c r="K16" s="2103">
        <v>65</v>
      </c>
      <c r="L16" s="249">
        <v>9.3000000000000007</v>
      </c>
      <c r="M16"/>
      <c r="N16">
        <v>13</v>
      </c>
      <c r="O16" s="319" t="s">
        <v>748</v>
      </c>
      <c r="P16" s="319">
        <v>6.1470000000000002</v>
      </c>
      <c r="Q16" s="320">
        <f>P16*65000</f>
        <v>399555</v>
      </c>
      <c r="R16" s="319">
        <v>5.0049999999999999</v>
      </c>
      <c r="S16" s="320">
        <f>R16*65000</f>
        <v>325325</v>
      </c>
      <c r="T16" s="319">
        <v>1.9139999999999999</v>
      </c>
      <c r="U16" s="320">
        <v>77809</v>
      </c>
      <c r="V16" s="319">
        <v>9.4E-2</v>
      </c>
      <c r="W16" s="320">
        <v>3805</v>
      </c>
      <c r="X16" s="319">
        <v>0</v>
      </c>
      <c r="Y16" s="320">
        <v>0</v>
      </c>
      <c r="Z16" s="319">
        <v>50</v>
      </c>
      <c r="AC16" s="351" t="s">
        <v>1027</v>
      </c>
      <c r="AD16" s="352">
        <f>675000/15000</f>
        <v>45</v>
      </c>
    </row>
    <row r="17" spans="1:30" ht="21" customHeight="1">
      <c r="A17" s="252" t="s">
        <v>232</v>
      </c>
      <c r="B17" s="253">
        <v>3100000</v>
      </c>
      <c r="C17" s="253">
        <v>5600000</v>
      </c>
      <c r="F17" s="306" t="s">
        <v>670</v>
      </c>
      <c r="G17" s="304">
        <v>1169.0999999999999</v>
      </c>
      <c r="J17" s="338" t="s">
        <v>890</v>
      </c>
      <c r="K17" s="2103">
        <v>72</v>
      </c>
      <c r="L17" s="249">
        <v>9.3000000000000007</v>
      </c>
      <c r="M17"/>
      <c r="N17">
        <v>14</v>
      </c>
      <c r="O17" s="319" t="s">
        <v>749</v>
      </c>
      <c r="P17" s="319">
        <v>6.2910000000000004</v>
      </c>
      <c r="Q17" s="320">
        <f>P17*80000</f>
        <v>503280.00000000006</v>
      </c>
      <c r="R17" s="319">
        <v>5.117</v>
      </c>
      <c r="S17" s="320">
        <f>R17*80000</f>
        <v>409360</v>
      </c>
      <c r="T17" s="319">
        <v>1.9630000000000001</v>
      </c>
      <c r="U17" s="320">
        <v>117007</v>
      </c>
      <c r="V17" s="319">
        <v>9.6000000000000002E-2</v>
      </c>
      <c r="W17" s="320">
        <v>5722</v>
      </c>
      <c r="X17" s="319">
        <v>0</v>
      </c>
      <c r="Y17" s="320">
        <v>0</v>
      </c>
      <c r="Z17" s="319">
        <v>50</v>
      </c>
      <c r="AC17" s="351" t="s">
        <v>1028</v>
      </c>
      <c r="AD17" s="352">
        <f>1600000/15000</f>
        <v>106.66666666666667</v>
      </c>
    </row>
    <row r="18" spans="1:30" ht="20.25" customHeight="1">
      <c r="A18" s="252" t="s">
        <v>233</v>
      </c>
      <c r="B18" s="253">
        <v>3700000</v>
      </c>
      <c r="C18" s="253">
        <v>6700000</v>
      </c>
      <c r="F18" s="306" t="s">
        <v>671</v>
      </c>
      <c r="G18" s="304">
        <v>1379.7</v>
      </c>
      <c r="J18" s="338" t="s">
        <v>762</v>
      </c>
      <c r="K18" s="2103">
        <v>86</v>
      </c>
      <c r="L18" s="249">
        <v>12.7</v>
      </c>
      <c r="M18"/>
      <c r="N18">
        <v>15</v>
      </c>
      <c r="O18" s="319" t="s">
        <v>750</v>
      </c>
      <c r="P18" s="319">
        <v>2.0739999999999998</v>
      </c>
      <c r="Q18" s="320">
        <v>745100</v>
      </c>
      <c r="R18" s="319">
        <v>1.897</v>
      </c>
      <c r="S18" s="320">
        <v>792400</v>
      </c>
      <c r="T18" s="319">
        <v>0.31</v>
      </c>
      <c r="U18" s="320">
        <v>740100</v>
      </c>
      <c r="V18" s="319">
        <v>9.4E-2</v>
      </c>
      <c r="W18" s="320">
        <v>176300</v>
      </c>
      <c r="X18" s="319">
        <v>0</v>
      </c>
      <c r="Y18" s="320">
        <v>0</v>
      </c>
      <c r="Z18" s="319">
        <v>25</v>
      </c>
    </row>
    <row r="19" spans="1:30" ht="21" customHeight="1">
      <c r="A19" s="252" t="s">
        <v>234</v>
      </c>
      <c r="B19" s="253">
        <v>4100000</v>
      </c>
      <c r="C19" s="253">
        <v>7400000</v>
      </c>
      <c r="F19" s="306" t="s">
        <v>672</v>
      </c>
      <c r="G19" s="304">
        <v>1714.5</v>
      </c>
      <c r="J19" s="338" t="s">
        <v>891</v>
      </c>
      <c r="K19" s="2103">
        <v>98</v>
      </c>
      <c r="L19" s="249">
        <v>12.7</v>
      </c>
      <c r="M19"/>
      <c r="N19">
        <v>16</v>
      </c>
      <c r="O19" s="319" t="s">
        <v>751</v>
      </c>
      <c r="P19" s="319">
        <v>2.0739999999999998</v>
      </c>
      <c r="Q19" s="320">
        <v>875200</v>
      </c>
      <c r="R19" s="319">
        <v>1.897</v>
      </c>
      <c r="S19" s="320">
        <v>922500</v>
      </c>
      <c r="T19" s="319">
        <v>0.31</v>
      </c>
      <c r="U19" s="320">
        <v>740100</v>
      </c>
      <c r="V19" s="319">
        <v>9.4E-2</v>
      </c>
      <c r="W19" s="320">
        <v>176300</v>
      </c>
      <c r="X19" s="319">
        <v>0</v>
      </c>
      <c r="Y19" s="320">
        <v>0</v>
      </c>
      <c r="Z19" s="319">
        <v>25</v>
      </c>
    </row>
    <row r="20" spans="1:30" ht="20.25" customHeight="1">
      <c r="A20" s="252" t="s">
        <v>235</v>
      </c>
      <c r="B20" s="253">
        <v>5100000</v>
      </c>
      <c r="C20" s="253">
        <v>8700000</v>
      </c>
      <c r="F20" s="306" t="s">
        <v>673</v>
      </c>
      <c r="G20" s="304">
        <v>2134.6999999999998</v>
      </c>
      <c r="J20" s="338" t="s">
        <v>763</v>
      </c>
      <c r="K20" s="2103">
        <v>92</v>
      </c>
      <c r="L20" s="249">
        <v>15.2</v>
      </c>
      <c r="M20"/>
      <c r="N20">
        <v>17</v>
      </c>
      <c r="O20" s="319" t="s">
        <v>752</v>
      </c>
      <c r="P20" s="319">
        <v>2.63</v>
      </c>
      <c r="Q20" s="320">
        <v>875200</v>
      </c>
      <c r="R20" s="319">
        <v>2.61</v>
      </c>
      <c r="S20" s="320">
        <v>863300</v>
      </c>
      <c r="T20" s="319">
        <v>0.49399999999999999</v>
      </c>
      <c r="U20" s="320">
        <v>775300</v>
      </c>
      <c r="V20" s="319">
        <v>0.15</v>
      </c>
      <c r="W20" s="320">
        <v>176300</v>
      </c>
      <c r="X20" s="319">
        <v>0</v>
      </c>
      <c r="Y20" s="320">
        <v>0</v>
      </c>
      <c r="Z20" s="319">
        <v>45</v>
      </c>
    </row>
    <row r="21" spans="1:30" ht="20.25" customHeight="1">
      <c r="A21" s="252" t="s">
        <v>236</v>
      </c>
      <c r="B21" s="253">
        <v>5800000</v>
      </c>
      <c r="C21" s="253">
        <v>8700000</v>
      </c>
      <c r="F21" s="306" t="s">
        <v>674</v>
      </c>
      <c r="G21" s="304">
        <v>2780</v>
      </c>
      <c r="J21" s="338" t="s">
        <v>892</v>
      </c>
      <c r="K21" s="2103">
        <v>104</v>
      </c>
      <c r="L21" s="249">
        <v>15.2</v>
      </c>
      <c r="M21"/>
      <c r="N21">
        <v>18</v>
      </c>
      <c r="O21" s="319" t="s">
        <v>753</v>
      </c>
      <c r="P21" s="319">
        <v>2.63</v>
      </c>
      <c r="Q21" s="320">
        <v>898800</v>
      </c>
      <c r="R21" s="319">
        <v>2.61</v>
      </c>
      <c r="S21" s="320">
        <v>887000</v>
      </c>
      <c r="T21" s="319">
        <v>0.49399999999999999</v>
      </c>
      <c r="U21" s="320">
        <v>775300</v>
      </c>
      <c r="V21" s="319">
        <v>0.15</v>
      </c>
      <c r="W21" s="320">
        <v>176300</v>
      </c>
      <c r="X21" s="319">
        <v>0</v>
      </c>
      <c r="Y21" s="320">
        <v>0</v>
      </c>
      <c r="Z21" s="319">
        <v>45</v>
      </c>
    </row>
    <row r="22" spans="1:30" ht="20.25" customHeight="1">
      <c r="A22" s="252" t="s">
        <v>237</v>
      </c>
      <c r="B22" s="253">
        <v>6800000</v>
      </c>
      <c r="C22" s="253">
        <v>10200000</v>
      </c>
      <c r="F22" s="306" t="s">
        <v>675</v>
      </c>
      <c r="G22" s="304">
        <v>3529.5</v>
      </c>
      <c r="J22" s="338" t="s">
        <v>764</v>
      </c>
      <c r="K22" s="2103">
        <v>107</v>
      </c>
      <c r="L22" s="249">
        <v>17.7</v>
      </c>
    </row>
    <row r="23" spans="1:30" ht="20.25" customHeight="1">
      <c r="A23" s="252" t="s">
        <v>1061</v>
      </c>
      <c r="B23" s="253">
        <v>26000000</v>
      </c>
      <c r="C23" s="253">
        <v>39000000</v>
      </c>
      <c r="F23" s="306" t="s">
        <v>676</v>
      </c>
      <c r="G23" s="304">
        <v>4286.6000000000004</v>
      </c>
      <c r="J23" s="338" t="s">
        <v>893</v>
      </c>
      <c r="K23" s="2103">
        <v>130</v>
      </c>
      <c r="L23" s="249">
        <v>17.7</v>
      </c>
      <c r="P23" s="249" t="s">
        <v>1071</v>
      </c>
      <c r="Q23" s="249" t="s">
        <v>1072</v>
      </c>
      <c r="R23" s="249" t="s">
        <v>1073</v>
      </c>
      <c r="S23" s="249" t="s">
        <v>37</v>
      </c>
    </row>
    <row r="24" spans="1:30" ht="20.25" customHeight="1">
      <c r="A24" s="252" t="s">
        <v>1062</v>
      </c>
      <c r="B24" s="253">
        <v>32000000</v>
      </c>
      <c r="C24" s="253">
        <v>48000000</v>
      </c>
      <c r="F24" s="305" t="s">
        <v>677</v>
      </c>
      <c r="G24" s="307">
        <f>57.3</f>
        <v>57.3</v>
      </c>
      <c r="J24" s="338" t="s">
        <v>1010</v>
      </c>
      <c r="K24" s="2103">
        <v>115</v>
      </c>
      <c r="L24" s="249">
        <v>20.6</v>
      </c>
      <c r="O24" s="249" t="s">
        <v>1070</v>
      </c>
      <c r="P24" s="249">
        <v>2</v>
      </c>
      <c r="Q24" s="249">
        <v>185</v>
      </c>
      <c r="R24" s="249">
        <v>1000</v>
      </c>
      <c r="S24" s="249">
        <f>8000*P24*Q24*R24/1000000000</f>
        <v>2.96</v>
      </c>
    </row>
    <row r="25" spans="1:30" ht="20.25" customHeight="1">
      <c r="A25" s="2133" t="s">
        <v>726</v>
      </c>
      <c r="B25" s="2133"/>
      <c r="C25" s="302">
        <v>48000000</v>
      </c>
      <c r="F25" s="305" t="s">
        <v>678</v>
      </c>
      <c r="G25" s="307">
        <f>73.5</f>
        <v>73.5</v>
      </c>
      <c r="J25" s="338" t="s">
        <v>894</v>
      </c>
      <c r="K25" s="2103">
        <v>137</v>
      </c>
      <c r="L25" s="249">
        <v>20.6</v>
      </c>
      <c r="O25" s="249" t="s">
        <v>1074</v>
      </c>
      <c r="P25" s="249">
        <v>2</v>
      </c>
      <c r="Q25" s="249">
        <v>273</v>
      </c>
      <c r="R25" s="249">
        <v>1000</v>
      </c>
      <c r="S25" s="249">
        <f>8000*P25*Q25*R25/1000000000</f>
        <v>4.3680000000000003</v>
      </c>
    </row>
    <row r="26" spans="1:30" ht="15">
      <c r="F26" s="306" t="s">
        <v>679</v>
      </c>
      <c r="G26" s="307">
        <f>85.4</f>
        <v>85.4</v>
      </c>
      <c r="J26" s="338" t="s">
        <v>765</v>
      </c>
      <c r="K26" s="2103">
        <v>150</v>
      </c>
      <c r="L26" s="249">
        <v>27</v>
      </c>
    </row>
    <row r="27" spans="1:30" ht="15">
      <c r="A27" s="2128" t="s">
        <v>247</v>
      </c>
      <c r="B27" s="2130" t="s">
        <v>248</v>
      </c>
      <c r="F27" s="306" t="s">
        <v>680</v>
      </c>
      <c r="G27" s="307">
        <f>90.8</f>
        <v>90.8</v>
      </c>
      <c r="J27" s="338" t="s">
        <v>766</v>
      </c>
      <c r="K27" s="2103">
        <v>180</v>
      </c>
      <c r="L27" s="249">
        <v>27</v>
      </c>
    </row>
    <row r="28" spans="1:30" ht="15">
      <c r="A28" s="2129"/>
      <c r="B28" s="2131"/>
      <c r="F28" s="306" t="s">
        <v>681</v>
      </c>
      <c r="G28" s="307">
        <f>107.5</f>
        <v>107.5</v>
      </c>
      <c r="J28" s="338" t="s">
        <v>767</v>
      </c>
      <c r="K28" s="2103">
        <v>166</v>
      </c>
      <c r="L28" s="249">
        <v>32.5</v>
      </c>
    </row>
    <row r="29" spans="1:30" ht="15">
      <c r="A29" s="254" t="s">
        <v>249</v>
      </c>
      <c r="B29" s="255">
        <v>470000</v>
      </c>
      <c r="F29" s="306" t="s">
        <v>682</v>
      </c>
      <c r="G29" s="307">
        <f>118.8</f>
        <v>118.8</v>
      </c>
      <c r="J29" s="338" t="s">
        <v>768</v>
      </c>
      <c r="K29" s="2103">
        <v>196</v>
      </c>
      <c r="L29" s="249">
        <v>32.5</v>
      </c>
    </row>
    <row r="30" spans="1:30" ht="15">
      <c r="A30" s="254" t="s">
        <v>250</v>
      </c>
      <c r="B30" s="255">
        <v>510000</v>
      </c>
      <c r="F30" s="306" t="s">
        <v>683</v>
      </c>
      <c r="G30" s="307">
        <f>142.6</f>
        <v>142.6</v>
      </c>
      <c r="J30" s="338" t="s">
        <v>885</v>
      </c>
      <c r="K30" s="2103">
        <v>430</v>
      </c>
      <c r="L30" s="249">
        <v>82.5</v>
      </c>
    </row>
    <row r="31" spans="1:30" ht="15">
      <c r="A31" s="254" t="s">
        <v>251</v>
      </c>
      <c r="B31" s="256">
        <v>570000</v>
      </c>
      <c r="F31" s="306" t="s">
        <v>684</v>
      </c>
      <c r="G31" s="307">
        <f>169.1</f>
        <v>169.1</v>
      </c>
      <c r="J31" s="338" t="s">
        <v>769</v>
      </c>
      <c r="K31" s="2103">
        <v>101</v>
      </c>
      <c r="L31" s="249">
        <v>9.5</v>
      </c>
    </row>
    <row r="32" spans="1:30" ht="15">
      <c r="A32" s="254" t="s">
        <v>252</v>
      </c>
      <c r="B32" s="255">
        <v>240000</v>
      </c>
      <c r="F32" s="306" t="s">
        <v>685</v>
      </c>
      <c r="G32" s="307">
        <f>208.5</f>
        <v>208.5</v>
      </c>
      <c r="J32" s="338" t="s">
        <v>770</v>
      </c>
      <c r="K32" s="2103">
        <v>98</v>
      </c>
      <c r="L32" s="249">
        <v>8.3000000000000007</v>
      </c>
    </row>
    <row r="33" spans="1:12" ht="15">
      <c r="A33" s="254" t="s">
        <v>253</v>
      </c>
      <c r="B33" s="256">
        <v>250000</v>
      </c>
      <c r="F33" s="306" t="s">
        <v>686</v>
      </c>
      <c r="G33" s="307">
        <f>290</f>
        <v>290</v>
      </c>
      <c r="J33" s="338" t="s">
        <v>771</v>
      </c>
      <c r="K33" s="2103">
        <v>100</v>
      </c>
      <c r="L33" s="249">
        <v>11</v>
      </c>
    </row>
    <row r="34" spans="1:12" ht="15">
      <c r="A34" s="254" t="s">
        <v>254</v>
      </c>
      <c r="B34" s="255">
        <v>260000</v>
      </c>
      <c r="F34" s="306" t="s">
        <v>687</v>
      </c>
      <c r="G34" s="307">
        <f>362.9</f>
        <v>362.9</v>
      </c>
      <c r="J34" s="338" t="s">
        <v>772</v>
      </c>
      <c r="K34" s="2103">
        <v>99</v>
      </c>
      <c r="L34" s="249">
        <v>9.8000000000000007</v>
      </c>
    </row>
    <row r="35" spans="1:12" ht="15">
      <c r="A35" s="254" t="s">
        <v>255</v>
      </c>
      <c r="B35" s="255">
        <v>320000</v>
      </c>
      <c r="F35" s="306" t="s">
        <v>688</v>
      </c>
      <c r="G35" s="307">
        <f>507.6</f>
        <v>507.6</v>
      </c>
      <c r="J35" s="338" t="s">
        <v>773</v>
      </c>
      <c r="K35" s="2103">
        <v>128</v>
      </c>
      <c r="L35" s="249">
        <v>18.399999999999999</v>
      </c>
    </row>
    <row r="36" spans="1:12" ht="15">
      <c r="A36" s="254" t="s">
        <v>256</v>
      </c>
      <c r="B36" s="255">
        <v>330000</v>
      </c>
      <c r="F36" s="306" t="s">
        <v>689</v>
      </c>
      <c r="G36" s="307">
        <f>639.4</f>
        <v>639.4</v>
      </c>
      <c r="J36" s="338" t="s">
        <v>774</v>
      </c>
      <c r="K36" s="2103">
        <v>141</v>
      </c>
      <c r="L36" s="249">
        <v>18.399999999999999</v>
      </c>
    </row>
    <row r="37" spans="1:12" ht="15">
      <c r="A37" s="254" t="s">
        <v>257</v>
      </c>
      <c r="B37" s="255">
        <v>350000</v>
      </c>
      <c r="F37" s="306" t="s">
        <v>690</v>
      </c>
      <c r="G37" s="307">
        <f>810.6</f>
        <v>810.6</v>
      </c>
      <c r="J37" s="338" t="s">
        <v>773</v>
      </c>
      <c r="K37" s="2103">
        <v>121</v>
      </c>
      <c r="L37" s="249">
        <v>18.399999999999999</v>
      </c>
    </row>
    <row r="38" spans="1:12" ht="15">
      <c r="A38" s="254" t="s">
        <v>258</v>
      </c>
      <c r="B38" s="255">
        <v>350000</v>
      </c>
      <c r="F38" s="306" t="s">
        <v>691</v>
      </c>
      <c r="G38" s="307">
        <f>911.6</f>
        <v>911.6</v>
      </c>
      <c r="J38" s="338" t="s">
        <v>775</v>
      </c>
      <c r="K38" s="2103">
        <v>117</v>
      </c>
      <c r="L38" s="249">
        <v>16</v>
      </c>
    </row>
    <row r="39" spans="1:12" ht="13.5" customHeight="1">
      <c r="A39" s="254" t="s">
        <v>259</v>
      </c>
      <c r="B39" s="255">
        <v>360000</v>
      </c>
      <c r="F39" s="306" t="s">
        <v>692</v>
      </c>
      <c r="G39" s="307">
        <f>1252.8</f>
        <v>1252.8</v>
      </c>
      <c r="J39" s="338" t="s">
        <v>776</v>
      </c>
      <c r="K39" s="2103">
        <v>146</v>
      </c>
      <c r="L39" s="249">
        <v>24.5</v>
      </c>
    </row>
    <row r="40" spans="1:12" ht="15">
      <c r="A40" s="257" t="s">
        <v>260</v>
      </c>
      <c r="B40" s="258">
        <v>390000</v>
      </c>
      <c r="F40" s="306" t="s">
        <v>693</v>
      </c>
      <c r="G40" s="307">
        <f>1400.3</f>
        <v>1400.3</v>
      </c>
      <c r="J40" s="338" t="s">
        <v>776</v>
      </c>
      <c r="K40" s="2103">
        <v>186</v>
      </c>
      <c r="L40" s="249">
        <v>24.5</v>
      </c>
    </row>
    <row r="41" spans="1:12" ht="15">
      <c r="A41" s="254" t="s">
        <v>261</v>
      </c>
      <c r="B41" s="255">
        <v>420000</v>
      </c>
      <c r="F41" s="306" t="s">
        <v>694</v>
      </c>
      <c r="G41" s="307">
        <f>1723.2</f>
        <v>1723.2</v>
      </c>
      <c r="J41" s="338" t="s">
        <v>777</v>
      </c>
      <c r="K41" s="2103">
        <v>180</v>
      </c>
      <c r="L41" s="249">
        <v>20.9</v>
      </c>
    </row>
    <row r="42" spans="1:12" ht="15">
      <c r="A42" s="254" t="s">
        <v>262</v>
      </c>
      <c r="B42" s="255">
        <v>440000</v>
      </c>
      <c r="F42" s="306" t="s">
        <v>695</v>
      </c>
      <c r="G42" s="307">
        <f>2210.3</f>
        <v>2210.3000000000002</v>
      </c>
      <c r="J42" s="338" t="s">
        <v>778</v>
      </c>
      <c r="K42" s="2103">
        <v>215</v>
      </c>
      <c r="L42" s="249">
        <v>38.200000000000003</v>
      </c>
    </row>
    <row r="43" spans="1:12" ht="15">
      <c r="A43" s="254" t="s">
        <v>263</v>
      </c>
      <c r="B43" s="255">
        <v>410000</v>
      </c>
      <c r="F43" s="306" t="s">
        <v>696</v>
      </c>
      <c r="G43" s="307">
        <f>2827.5</f>
        <v>2827.5</v>
      </c>
      <c r="J43" s="338" t="s">
        <v>778</v>
      </c>
      <c r="K43" s="2103">
        <v>239</v>
      </c>
      <c r="L43" s="249">
        <v>38.200000000000003</v>
      </c>
    </row>
    <row r="44" spans="1:12" ht="15">
      <c r="A44" s="254" t="s">
        <v>264</v>
      </c>
      <c r="B44" s="255">
        <v>510000</v>
      </c>
      <c r="F44" s="306" t="s">
        <v>697</v>
      </c>
      <c r="G44" s="307">
        <f>3411.8</f>
        <v>3411.8</v>
      </c>
      <c r="J44" s="338" t="s">
        <v>779</v>
      </c>
      <c r="K44" s="2103">
        <v>202</v>
      </c>
      <c r="L44" s="249">
        <v>33</v>
      </c>
    </row>
    <row r="45" spans="1:12" ht="15">
      <c r="A45" s="254" t="s">
        <v>265</v>
      </c>
      <c r="B45" s="255">
        <v>550000</v>
      </c>
      <c r="F45" s="306" t="s">
        <v>698</v>
      </c>
      <c r="G45" s="307">
        <f>4286.6</f>
        <v>4286.6000000000004</v>
      </c>
      <c r="J45" s="338" t="s">
        <v>779</v>
      </c>
      <c r="K45" s="2103">
        <v>225</v>
      </c>
      <c r="L45" s="249">
        <v>33</v>
      </c>
    </row>
    <row r="46" spans="1:12" ht="15">
      <c r="A46" s="254" t="s">
        <v>266</v>
      </c>
      <c r="B46" s="255">
        <v>600000</v>
      </c>
      <c r="F46" s="305" t="s">
        <v>699</v>
      </c>
      <c r="G46" s="308">
        <v>78.900000000000006</v>
      </c>
      <c r="J46" s="338" t="s">
        <v>780</v>
      </c>
      <c r="K46" s="2103">
        <v>83</v>
      </c>
      <c r="L46" s="249">
        <v>6</v>
      </c>
    </row>
    <row r="47" spans="1:12" ht="15">
      <c r="A47" s="254" t="s">
        <v>267</v>
      </c>
      <c r="B47" s="255">
        <v>620000</v>
      </c>
      <c r="F47" s="305" t="s">
        <v>700</v>
      </c>
      <c r="G47" s="308">
        <v>88.6</v>
      </c>
      <c r="J47" s="338" t="s">
        <v>781</v>
      </c>
      <c r="K47" s="2103">
        <v>64</v>
      </c>
      <c r="L47" s="249">
        <v>8.3000000000000007</v>
      </c>
    </row>
    <row r="48" spans="1:12" ht="15">
      <c r="A48" s="254" t="s">
        <v>268</v>
      </c>
      <c r="B48" s="255">
        <v>730000</v>
      </c>
      <c r="F48" s="306" t="s">
        <v>701</v>
      </c>
      <c r="G48" s="308">
        <v>97.2</v>
      </c>
      <c r="J48" s="338" t="s">
        <v>782</v>
      </c>
      <c r="K48" s="2103">
        <v>66</v>
      </c>
      <c r="L48" s="249">
        <v>9.5</v>
      </c>
    </row>
    <row r="49" spans="1:12" ht="15">
      <c r="A49" s="254" t="s">
        <v>269</v>
      </c>
      <c r="B49" s="255">
        <v>850000</v>
      </c>
      <c r="F49" s="306" t="s">
        <v>702</v>
      </c>
      <c r="G49" s="308">
        <v>115.6</v>
      </c>
      <c r="J49" s="338" t="s">
        <v>783</v>
      </c>
      <c r="K49" s="2103">
        <v>69</v>
      </c>
      <c r="L49" s="249">
        <v>9.8000000000000007</v>
      </c>
    </row>
    <row r="50" spans="1:12" ht="15">
      <c r="A50" s="254" t="s">
        <v>270</v>
      </c>
      <c r="B50" s="256">
        <v>850000</v>
      </c>
      <c r="F50" s="306" t="s">
        <v>703</v>
      </c>
      <c r="G50" s="308">
        <v>134.5</v>
      </c>
      <c r="J50" s="338" t="s">
        <v>784</v>
      </c>
      <c r="K50" s="2103">
        <v>75</v>
      </c>
      <c r="L50" s="249">
        <v>11</v>
      </c>
    </row>
    <row r="51" spans="1:12" ht="15">
      <c r="A51" s="254" t="s">
        <v>271</v>
      </c>
      <c r="B51" s="255">
        <v>920000</v>
      </c>
      <c r="F51" s="306" t="s">
        <v>704</v>
      </c>
      <c r="G51" s="308">
        <v>163.69999999999999</v>
      </c>
      <c r="J51" s="338" t="s">
        <v>785</v>
      </c>
      <c r="K51" s="2103">
        <v>96</v>
      </c>
      <c r="L51" s="249">
        <v>16</v>
      </c>
    </row>
    <row r="52" spans="1:12" ht="15">
      <c r="A52" s="254" t="s">
        <v>272</v>
      </c>
      <c r="B52" s="255">
        <v>1030000</v>
      </c>
      <c r="F52" s="306" t="s">
        <v>705</v>
      </c>
      <c r="G52" s="308">
        <v>193.4</v>
      </c>
      <c r="J52" s="338" t="s">
        <v>786</v>
      </c>
      <c r="K52" s="2103">
        <v>102</v>
      </c>
      <c r="L52" s="249">
        <v>18.399999999999999</v>
      </c>
    </row>
    <row r="53" spans="1:12" ht="15">
      <c r="A53" s="254" t="s">
        <v>273</v>
      </c>
      <c r="B53" s="256">
        <v>1200000</v>
      </c>
      <c r="F53" s="306" t="s">
        <v>706</v>
      </c>
      <c r="G53" s="308">
        <v>258.2</v>
      </c>
      <c r="J53" s="338" t="s">
        <v>787</v>
      </c>
      <c r="K53" s="2103">
        <v>112</v>
      </c>
      <c r="L53" s="249">
        <v>20.9</v>
      </c>
    </row>
    <row r="54" spans="1:12" ht="15">
      <c r="A54" s="254" t="s">
        <v>274</v>
      </c>
      <c r="B54" s="255">
        <v>1200000</v>
      </c>
      <c r="F54" s="306" t="s">
        <v>707</v>
      </c>
      <c r="G54" s="308">
        <v>337.5</v>
      </c>
      <c r="J54" s="338" t="s">
        <v>788</v>
      </c>
      <c r="K54" s="2103">
        <v>118</v>
      </c>
      <c r="L54" s="249">
        <v>24.5</v>
      </c>
    </row>
    <row r="55" spans="1:12" ht="15">
      <c r="A55" s="254" t="s">
        <v>275</v>
      </c>
      <c r="B55" s="255">
        <v>1470000</v>
      </c>
      <c r="F55" s="306" t="s">
        <v>708</v>
      </c>
      <c r="G55" s="308">
        <v>405</v>
      </c>
      <c r="J55" s="338" t="s">
        <v>789</v>
      </c>
      <c r="K55" s="2103">
        <v>164</v>
      </c>
      <c r="L55" s="249">
        <v>33</v>
      </c>
    </row>
    <row r="56" spans="1:12" ht="15">
      <c r="A56" s="254" t="s">
        <v>276</v>
      </c>
      <c r="B56" s="256">
        <v>1500000</v>
      </c>
      <c r="F56" s="306" t="s">
        <v>709</v>
      </c>
      <c r="G56" s="308">
        <v>533</v>
      </c>
      <c r="J56" s="338" t="s">
        <v>790</v>
      </c>
      <c r="K56" s="2103">
        <v>178</v>
      </c>
      <c r="L56" s="249">
        <v>38.200000000000003</v>
      </c>
    </row>
    <row r="57" spans="1:12" ht="15">
      <c r="A57" s="254" t="s">
        <v>277</v>
      </c>
      <c r="B57" s="255">
        <v>1900000</v>
      </c>
      <c r="F57" s="306" t="s">
        <v>710</v>
      </c>
      <c r="G57" s="308">
        <v>696.6</v>
      </c>
      <c r="J57" s="338" t="s">
        <v>791</v>
      </c>
      <c r="K57" s="2103">
        <v>372</v>
      </c>
      <c r="L57" s="249">
        <v>71</v>
      </c>
    </row>
    <row r="58" spans="1:12" ht="15">
      <c r="A58" s="254" t="s">
        <v>278</v>
      </c>
      <c r="B58" s="255">
        <v>2100000</v>
      </c>
      <c r="F58" s="306" t="s">
        <v>711</v>
      </c>
      <c r="G58" s="308">
        <v>907.2</v>
      </c>
      <c r="J58" s="338" t="s">
        <v>792</v>
      </c>
      <c r="K58" s="2103">
        <v>348</v>
      </c>
      <c r="L58" s="249">
        <v>78</v>
      </c>
    </row>
    <row r="59" spans="1:12" ht="15">
      <c r="A59" s="254" t="s">
        <v>279</v>
      </c>
      <c r="B59" s="255">
        <v>2200000</v>
      </c>
      <c r="F59" s="306" t="s">
        <v>712</v>
      </c>
      <c r="G59" s="308">
        <v>1038.5</v>
      </c>
      <c r="J59" s="338" t="s">
        <v>793</v>
      </c>
      <c r="K59" s="2103">
        <v>398</v>
      </c>
      <c r="L59" s="249">
        <v>78</v>
      </c>
    </row>
    <row r="60" spans="1:12" ht="15">
      <c r="A60" s="254" t="s">
        <v>280</v>
      </c>
      <c r="B60" s="255">
        <v>2900000</v>
      </c>
      <c r="F60" s="306" t="s">
        <v>713</v>
      </c>
      <c r="G60" s="308">
        <v>1370.6</v>
      </c>
      <c r="J60" s="338" t="s">
        <v>794</v>
      </c>
      <c r="K60" s="2103">
        <v>427</v>
      </c>
      <c r="L60" s="249">
        <v>73</v>
      </c>
    </row>
    <row r="61" spans="1:12" ht="15">
      <c r="A61" s="259" t="s">
        <v>281</v>
      </c>
      <c r="B61" s="256">
        <v>3200000</v>
      </c>
      <c r="F61" s="306" t="s">
        <v>714</v>
      </c>
      <c r="G61" s="308">
        <v>1634.6</v>
      </c>
      <c r="J61" s="338" t="s">
        <v>795</v>
      </c>
      <c r="K61" s="2103">
        <v>447</v>
      </c>
      <c r="L61" s="249">
        <v>82.5</v>
      </c>
    </row>
    <row r="62" spans="1:12" ht="15">
      <c r="A62" s="254" t="s">
        <v>282</v>
      </c>
      <c r="B62" s="256">
        <v>3900000</v>
      </c>
      <c r="F62" s="306" t="s">
        <v>715</v>
      </c>
      <c r="G62" s="308">
        <v>2235.1</v>
      </c>
      <c r="J62" s="338" t="s">
        <v>796</v>
      </c>
      <c r="K62" s="2103">
        <v>457</v>
      </c>
      <c r="L62" s="249">
        <v>93</v>
      </c>
    </row>
    <row r="63" spans="1:12" ht="15">
      <c r="A63" s="254" t="s">
        <v>283</v>
      </c>
      <c r="B63" s="256">
        <v>510000</v>
      </c>
      <c r="F63" s="306" t="s">
        <v>716</v>
      </c>
      <c r="G63" s="308">
        <v>2675.7</v>
      </c>
      <c r="J63" s="338" t="s">
        <v>797</v>
      </c>
      <c r="K63" s="2103">
        <v>466</v>
      </c>
      <c r="L63" s="249">
        <v>105</v>
      </c>
    </row>
    <row r="64" spans="1:12" ht="15">
      <c r="A64" s="254" t="s">
        <v>284</v>
      </c>
      <c r="B64" s="255">
        <v>560000</v>
      </c>
      <c r="F64" s="306" t="s">
        <v>717</v>
      </c>
      <c r="G64" s="308">
        <v>3240</v>
      </c>
      <c r="J64" s="338" t="s">
        <v>797</v>
      </c>
      <c r="K64" s="2103">
        <v>465</v>
      </c>
      <c r="L64" s="249">
        <v>105</v>
      </c>
    </row>
    <row r="65" spans="1:12" ht="15">
      <c r="A65" s="254" t="s">
        <v>285</v>
      </c>
      <c r="B65" s="256">
        <v>610000</v>
      </c>
      <c r="F65" s="306" t="s">
        <v>718</v>
      </c>
      <c r="G65" s="308">
        <v>4413.5</v>
      </c>
      <c r="J65" s="338" t="s">
        <v>798</v>
      </c>
      <c r="K65" s="2103">
        <v>558</v>
      </c>
      <c r="L65" s="249">
        <v>128</v>
      </c>
    </row>
    <row r="66" spans="1:12" ht="15">
      <c r="A66" s="254" t="s">
        <v>243</v>
      </c>
      <c r="B66" s="255">
        <v>270000</v>
      </c>
      <c r="F66" s="306" t="s">
        <v>719</v>
      </c>
      <c r="G66" s="308">
        <v>5433</v>
      </c>
      <c r="J66" s="338" t="s">
        <v>799</v>
      </c>
      <c r="K66" s="2103">
        <v>651</v>
      </c>
      <c r="L66" s="249">
        <v>138</v>
      </c>
    </row>
    <row r="67" spans="1:12" ht="15">
      <c r="A67" s="254" t="s">
        <v>286</v>
      </c>
      <c r="B67" s="255">
        <v>280000</v>
      </c>
      <c r="F67" s="306" t="s">
        <v>720</v>
      </c>
      <c r="G67" s="308">
        <v>6110.1</v>
      </c>
      <c r="J67" s="339" t="s">
        <v>895</v>
      </c>
      <c r="K67" s="2103">
        <v>135</v>
      </c>
      <c r="L67" s="249">
        <v>14.9</v>
      </c>
    </row>
    <row r="68" spans="1:12">
      <c r="A68" s="254" t="s">
        <v>287</v>
      </c>
      <c r="B68" s="256">
        <v>310000</v>
      </c>
      <c r="J68" s="339" t="s">
        <v>896</v>
      </c>
      <c r="K68" s="2103">
        <v>137</v>
      </c>
      <c r="L68" s="249">
        <v>18.100000000000001</v>
      </c>
    </row>
    <row r="69" spans="1:12">
      <c r="A69" s="254" t="s">
        <v>288</v>
      </c>
      <c r="B69" s="255">
        <v>380000</v>
      </c>
      <c r="J69" s="339" t="s">
        <v>897</v>
      </c>
      <c r="K69" s="2103">
        <v>141</v>
      </c>
      <c r="L69" s="249">
        <v>18.5</v>
      </c>
    </row>
    <row r="70" spans="1:12">
      <c r="A70" s="254" t="s">
        <v>289</v>
      </c>
      <c r="B70" s="255">
        <v>390000</v>
      </c>
      <c r="J70" s="339" t="s">
        <v>898</v>
      </c>
      <c r="K70" s="2103">
        <v>146</v>
      </c>
      <c r="L70" s="249">
        <v>21.1</v>
      </c>
    </row>
    <row r="71" spans="1:12">
      <c r="A71" s="254" t="s">
        <v>290</v>
      </c>
      <c r="B71" s="256">
        <v>400000</v>
      </c>
      <c r="J71" s="339" t="s">
        <v>899</v>
      </c>
      <c r="K71" s="2103">
        <v>190</v>
      </c>
      <c r="L71" s="249">
        <v>28.2</v>
      </c>
    </row>
    <row r="72" spans="1:12">
      <c r="A72" s="254" t="s">
        <v>291</v>
      </c>
      <c r="B72" s="255">
        <v>430000</v>
      </c>
      <c r="J72" s="339" t="s">
        <v>900</v>
      </c>
      <c r="K72" s="2103">
        <v>207</v>
      </c>
      <c r="L72" s="249">
        <v>33.799999999999997</v>
      </c>
    </row>
    <row r="73" spans="1:12">
      <c r="A73" s="254" t="s">
        <v>292</v>
      </c>
      <c r="B73" s="256">
        <v>450000</v>
      </c>
      <c r="J73" s="339" t="s">
        <v>901</v>
      </c>
      <c r="K73" s="2103">
        <v>252</v>
      </c>
      <c r="L73" s="249">
        <v>39.700000000000003</v>
      </c>
    </row>
    <row r="74" spans="1:12">
      <c r="A74" s="257" t="s">
        <v>293</v>
      </c>
      <c r="B74" s="256">
        <v>460000</v>
      </c>
      <c r="J74" s="339" t="s">
        <v>902</v>
      </c>
      <c r="K74" s="2103">
        <v>273</v>
      </c>
      <c r="L74" s="249">
        <v>45.3</v>
      </c>
    </row>
    <row r="75" spans="1:12">
      <c r="A75" s="254" t="s">
        <v>294</v>
      </c>
      <c r="B75" s="255">
        <v>480000</v>
      </c>
      <c r="J75" s="339" t="s">
        <v>903</v>
      </c>
      <c r="K75" s="2103">
        <v>329</v>
      </c>
      <c r="L75" s="249">
        <v>57.8</v>
      </c>
    </row>
    <row r="76" spans="1:12">
      <c r="A76" s="254" t="s">
        <v>295</v>
      </c>
      <c r="B76" s="255">
        <v>500000</v>
      </c>
      <c r="J76" s="339" t="s">
        <v>904</v>
      </c>
      <c r="K76" s="2103">
        <v>391</v>
      </c>
      <c r="L76" s="249">
        <v>70.5</v>
      </c>
    </row>
    <row r="77" spans="1:12">
      <c r="A77" s="254" t="s">
        <v>296</v>
      </c>
      <c r="B77" s="255">
        <v>5770000</v>
      </c>
      <c r="J77" s="337" t="s">
        <v>800</v>
      </c>
      <c r="K77" s="2104">
        <v>135</v>
      </c>
      <c r="L77" s="358">
        <v>7.8</v>
      </c>
    </row>
    <row r="78" spans="1:12">
      <c r="A78" s="254" t="s">
        <v>244</v>
      </c>
      <c r="B78" s="256">
        <v>620000</v>
      </c>
      <c r="J78" s="337" t="s">
        <v>801</v>
      </c>
      <c r="K78" s="2104">
        <v>137</v>
      </c>
      <c r="L78" s="358">
        <v>9.1</v>
      </c>
    </row>
    <row r="79" spans="1:12">
      <c r="A79" s="254" t="s">
        <v>297</v>
      </c>
      <c r="B79" s="256">
        <v>680000</v>
      </c>
      <c r="J79" s="337" t="s">
        <v>802</v>
      </c>
      <c r="K79" s="2104">
        <v>138</v>
      </c>
      <c r="L79" s="358">
        <v>10.7</v>
      </c>
    </row>
    <row r="80" spans="1:12">
      <c r="A80" s="254" t="s">
        <v>298</v>
      </c>
      <c r="B80" s="256">
        <v>800000</v>
      </c>
      <c r="J80" s="337" t="s">
        <v>803</v>
      </c>
      <c r="K80" s="2104">
        <v>142</v>
      </c>
      <c r="L80" s="358">
        <v>13</v>
      </c>
    </row>
    <row r="81" spans="1:12">
      <c r="A81" s="254" t="s">
        <v>299</v>
      </c>
      <c r="B81" s="255">
        <v>920000</v>
      </c>
      <c r="J81" s="337" t="s">
        <v>804</v>
      </c>
      <c r="K81" s="2104">
        <v>159</v>
      </c>
      <c r="L81" s="358">
        <v>18</v>
      </c>
    </row>
    <row r="82" spans="1:12">
      <c r="A82" s="254" t="s">
        <v>300</v>
      </c>
      <c r="B82" s="255">
        <v>990000</v>
      </c>
      <c r="J82" s="337" t="s">
        <v>805</v>
      </c>
      <c r="K82" s="2104">
        <v>170</v>
      </c>
      <c r="L82" s="358">
        <v>22</v>
      </c>
    </row>
    <row r="83" spans="1:12">
      <c r="A83" s="254" t="s">
        <v>301</v>
      </c>
      <c r="B83" s="255">
        <v>1190000</v>
      </c>
      <c r="J83" s="337" t="s">
        <v>806</v>
      </c>
      <c r="K83" s="2104">
        <v>207</v>
      </c>
      <c r="L83" s="358">
        <v>29</v>
      </c>
    </row>
    <row r="84" spans="1:12">
      <c r="A84" s="254" t="s">
        <v>302</v>
      </c>
      <c r="B84" s="256">
        <v>1080000</v>
      </c>
      <c r="J84" s="337" t="s">
        <v>807</v>
      </c>
      <c r="K84" s="2104">
        <v>244</v>
      </c>
      <c r="L84" s="358">
        <v>38</v>
      </c>
    </row>
    <row r="85" spans="1:12" ht="12.75" customHeight="1">
      <c r="A85" s="254" t="s">
        <v>303</v>
      </c>
      <c r="B85" s="255">
        <v>1210000</v>
      </c>
      <c r="J85" s="337" t="s">
        <v>808</v>
      </c>
      <c r="K85" s="2104">
        <v>324</v>
      </c>
      <c r="L85" s="358">
        <v>50</v>
      </c>
    </row>
    <row r="86" spans="1:12">
      <c r="A86" s="254" t="s">
        <v>304</v>
      </c>
      <c r="B86" s="256">
        <v>1230000</v>
      </c>
      <c r="J86" s="337" t="s">
        <v>809</v>
      </c>
      <c r="K86" s="2104">
        <v>390</v>
      </c>
      <c r="L86" s="358">
        <v>65</v>
      </c>
    </row>
    <row r="87" spans="1:12">
      <c r="A87" s="254" t="s">
        <v>305</v>
      </c>
      <c r="B87" s="256">
        <v>1420000</v>
      </c>
      <c r="J87" s="337" t="s">
        <v>810</v>
      </c>
      <c r="K87" s="2104">
        <v>482</v>
      </c>
      <c r="L87" s="358">
        <v>86</v>
      </c>
    </row>
    <row r="88" spans="1:12">
      <c r="A88" s="254" t="s">
        <v>306</v>
      </c>
      <c r="B88" s="256">
        <v>1420000</v>
      </c>
      <c r="J88" s="337" t="s">
        <v>811</v>
      </c>
      <c r="K88" s="2104">
        <v>674</v>
      </c>
      <c r="L88" s="358">
        <v>106</v>
      </c>
    </row>
    <row r="89" spans="1:12">
      <c r="A89" s="254" t="s">
        <v>307</v>
      </c>
      <c r="B89" s="255">
        <v>1710000</v>
      </c>
      <c r="J89" s="337" t="s">
        <v>812</v>
      </c>
      <c r="K89" s="2104">
        <v>850</v>
      </c>
      <c r="L89" s="358">
        <v>135</v>
      </c>
    </row>
    <row r="90" spans="1:12">
      <c r="A90" s="254" t="s">
        <v>308</v>
      </c>
      <c r="B90" s="255">
        <v>1700000</v>
      </c>
      <c r="J90" s="337" t="s">
        <v>813</v>
      </c>
      <c r="K90" s="2104">
        <v>187</v>
      </c>
      <c r="L90" s="358">
        <v>18</v>
      </c>
    </row>
    <row r="91" spans="1:12">
      <c r="A91" s="254" t="s">
        <v>309</v>
      </c>
      <c r="B91" s="255">
        <v>2200000</v>
      </c>
      <c r="J91" s="337" t="s">
        <v>814</v>
      </c>
      <c r="K91" s="2104">
        <v>202</v>
      </c>
      <c r="L91" s="358">
        <v>24</v>
      </c>
    </row>
    <row r="92" spans="1:12">
      <c r="A92" s="254" t="s">
        <v>310</v>
      </c>
      <c r="B92" s="256">
        <v>2500000</v>
      </c>
      <c r="J92" s="337" t="s">
        <v>815</v>
      </c>
      <c r="K92" s="2104">
        <v>217</v>
      </c>
      <c r="L92" s="358">
        <v>29</v>
      </c>
    </row>
    <row r="93" spans="1:12">
      <c r="A93" s="254" t="s">
        <v>311</v>
      </c>
      <c r="B93" s="255">
        <v>2700000</v>
      </c>
      <c r="J93" s="337" t="s">
        <v>816</v>
      </c>
      <c r="K93" s="2104">
        <v>268</v>
      </c>
      <c r="L93" s="358">
        <v>41</v>
      </c>
    </row>
    <row r="94" spans="1:12">
      <c r="A94" s="254" t="s">
        <v>312</v>
      </c>
      <c r="B94" s="255">
        <v>3800000</v>
      </c>
      <c r="J94" s="337" t="s">
        <v>817</v>
      </c>
      <c r="K94" s="2104">
        <v>337</v>
      </c>
      <c r="L94" s="358">
        <v>52</v>
      </c>
    </row>
    <row r="95" spans="1:12">
      <c r="A95" s="259" t="s">
        <v>313</v>
      </c>
      <c r="B95" s="255">
        <v>4200000</v>
      </c>
      <c r="J95" s="337" t="s">
        <v>818</v>
      </c>
      <c r="K95" s="2104">
        <v>437</v>
      </c>
      <c r="L95" s="358">
        <v>66</v>
      </c>
    </row>
    <row r="96" spans="1:12">
      <c r="A96" s="254" t="s">
        <v>314</v>
      </c>
      <c r="B96" s="256">
        <v>5100000</v>
      </c>
      <c r="J96" s="337" t="s">
        <v>819</v>
      </c>
      <c r="K96" s="2104">
        <v>518</v>
      </c>
      <c r="L96" s="358">
        <v>85</v>
      </c>
    </row>
    <row r="97" spans="1:12">
      <c r="A97" s="254" t="s">
        <v>315</v>
      </c>
      <c r="B97" s="255">
        <v>7300000</v>
      </c>
      <c r="J97" s="337" t="s">
        <v>820</v>
      </c>
      <c r="K97" s="2104">
        <v>694</v>
      </c>
      <c r="L97" s="358">
        <v>134</v>
      </c>
    </row>
    <row r="98" spans="1:12">
      <c r="A98" s="254" t="s">
        <v>316</v>
      </c>
      <c r="B98" s="260">
        <v>310000</v>
      </c>
      <c r="J98" s="337" t="s">
        <v>821</v>
      </c>
      <c r="K98" s="2104">
        <v>843</v>
      </c>
      <c r="L98" s="358">
        <v>170</v>
      </c>
    </row>
    <row r="99" spans="1:12" ht="14.25" customHeight="1">
      <c r="A99" s="254" t="s">
        <v>317</v>
      </c>
      <c r="B99" s="260">
        <v>330000</v>
      </c>
      <c r="J99" s="337" t="s">
        <v>822</v>
      </c>
      <c r="K99" s="2104">
        <v>984</v>
      </c>
      <c r="L99" s="358">
        <v>201</v>
      </c>
    </row>
    <row r="100" spans="1:12">
      <c r="A100" s="254" t="s">
        <v>318</v>
      </c>
      <c r="B100" s="260">
        <v>350000</v>
      </c>
      <c r="J100" s="337" t="s">
        <v>823</v>
      </c>
      <c r="K100" s="2104">
        <v>1257</v>
      </c>
      <c r="L100" s="358">
        <v>249</v>
      </c>
    </row>
    <row r="101" spans="1:12">
      <c r="A101" s="254" t="s">
        <v>319</v>
      </c>
      <c r="B101" s="260">
        <v>440000</v>
      </c>
      <c r="J101" s="337" t="s">
        <v>824</v>
      </c>
      <c r="K101" s="2104">
        <v>1508</v>
      </c>
      <c r="L101" s="358">
        <v>306</v>
      </c>
    </row>
    <row r="102" spans="1:12">
      <c r="A102" s="254" t="s">
        <v>320</v>
      </c>
      <c r="B102" s="260">
        <v>460000</v>
      </c>
      <c r="J102" s="337" t="s">
        <v>825</v>
      </c>
      <c r="K102" s="2104">
        <v>1879</v>
      </c>
      <c r="L102" s="358">
        <v>333</v>
      </c>
    </row>
    <row r="103" spans="1:12">
      <c r="A103" s="254" t="s">
        <v>321</v>
      </c>
      <c r="B103" s="260">
        <v>480000</v>
      </c>
      <c r="J103" s="337" t="s">
        <v>826</v>
      </c>
      <c r="K103" s="2104">
        <v>300</v>
      </c>
      <c r="L103" s="249">
        <v>30</v>
      </c>
    </row>
    <row r="104" spans="1:12">
      <c r="A104" s="254" t="s">
        <v>322</v>
      </c>
      <c r="B104" s="261">
        <v>500000</v>
      </c>
      <c r="J104" s="337" t="s">
        <v>827</v>
      </c>
      <c r="K104" s="2104">
        <v>363</v>
      </c>
      <c r="L104" s="249">
        <v>42</v>
      </c>
    </row>
    <row r="105" spans="1:12">
      <c r="A105" s="254" t="s">
        <v>323</v>
      </c>
      <c r="B105" s="260">
        <v>540000</v>
      </c>
      <c r="J105" s="337" t="s">
        <v>828</v>
      </c>
      <c r="K105" s="2104">
        <v>440</v>
      </c>
      <c r="L105" s="249">
        <v>53</v>
      </c>
    </row>
    <row r="106" spans="1:12">
      <c r="A106" s="257" t="s">
        <v>324</v>
      </c>
      <c r="B106" s="260">
        <v>560000</v>
      </c>
      <c r="J106" s="337" t="s">
        <v>829</v>
      </c>
      <c r="K106" s="2104">
        <v>529</v>
      </c>
      <c r="L106" s="249">
        <v>67</v>
      </c>
    </row>
    <row r="107" spans="1:12">
      <c r="A107" s="254" t="s">
        <v>325</v>
      </c>
      <c r="B107" s="260">
        <v>570000</v>
      </c>
      <c r="J107" s="337" t="s">
        <v>830</v>
      </c>
      <c r="K107" s="2104">
        <v>638</v>
      </c>
      <c r="L107" s="249">
        <v>86</v>
      </c>
    </row>
    <row r="108" spans="1:12">
      <c r="A108" s="254" t="s">
        <v>326</v>
      </c>
      <c r="B108" s="261">
        <v>590000</v>
      </c>
      <c r="J108" s="337" t="s">
        <v>831</v>
      </c>
      <c r="K108" s="2104">
        <v>825</v>
      </c>
      <c r="L108" s="249">
        <v>142</v>
      </c>
    </row>
    <row r="109" spans="1:12">
      <c r="A109" s="254" t="s">
        <v>327</v>
      </c>
      <c r="B109" s="260">
        <v>650000</v>
      </c>
      <c r="J109" s="337" t="s">
        <v>832</v>
      </c>
      <c r="K109" s="2104">
        <v>954</v>
      </c>
      <c r="L109" s="249">
        <v>175</v>
      </c>
    </row>
    <row r="110" spans="1:12">
      <c r="A110" s="254" t="s">
        <v>328</v>
      </c>
      <c r="B110" s="261">
        <v>730000</v>
      </c>
      <c r="J110" s="337" t="s">
        <v>833</v>
      </c>
      <c r="K110" s="2104">
        <v>1378</v>
      </c>
      <c r="L110" s="249">
        <v>208</v>
      </c>
    </row>
    <row r="111" spans="1:12">
      <c r="A111" s="254" t="s">
        <v>329</v>
      </c>
      <c r="B111" s="260">
        <v>780000</v>
      </c>
      <c r="J111" s="337" t="s">
        <v>834</v>
      </c>
      <c r="K111" s="2104">
        <v>1547</v>
      </c>
      <c r="L111" s="249">
        <v>261</v>
      </c>
    </row>
    <row r="112" spans="1:12">
      <c r="A112" s="254" t="s">
        <v>330</v>
      </c>
      <c r="B112" s="260">
        <v>960000</v>
      </c>
      <c r="J112" s="337" t="s">
        <v>835</v>
      </c>
      <c r="K112" s="2104">
        <v>1792</v>
      </c>
      <c r="L112" s="249">
        <v>316</v>
      </c>
    </row>
    <row r="113" spans="1:12">
      <c r="A113" s="254" t="s">
        <v>331</v>
      </c>
      <c r="B113" s="262">
        <v>1030000</v>
      </c>
      <c r="J113" s="337" t="s">
        <v>836</v>
      </c>
      <c r="K113" s="2104">
        <v>1259</v>
      </c>
      <c r="L113" s="249">
        <v>150</v>
      </c>
    </row>
    <row r="114" spans="1:12">
      <c r="A114" s="254" t="s">
        <v>332</v>
      </c>
      <c r="B114" s="260">
        <v>1340000</v>
      </c>
      <c r="J114" s="337" t="s">
        <v>837</v>
      </c>
      <c r="K114" s="2104">
        <v>1414</v>
      </c>
      <c r="L114" s="249">
        <v>180</v>
      </c>
    </row>
    <row r="115" spans="1:12">
      <c r="A115" s="254" t="s">
        <v>333</v>
      </c>
      <c r="B115" s="260">
        <v>1390000</v>
      </c>
      <c r="J115" s="337" t="s">
        <v>838</v>
      </c>
      <c r="K115" s="2104">
        <v>1965</v>
      </c>
      <c r="L115" s="249">
        <v>225</v>
      </c>
    </row>
    <row r="116" spans="1:12">
      <c r="A116" s="254" t="s">
        <v>334</v>
      </c>
      <c r="B116" s="260">
        <v>1220000</v>
      </c>
      <c r="J116" s="337" t="s">
        <v>839</v>
      </c>
      <c r="K116" s="2104">
        <v>2163</v>
      </c>
      <c r="L116" s="249">
        <v>278</v>
      </c>
    </row>
    <row r="117" spans="1:12">
      <c r="A117" s="254" t="s">
        <v>335</v>
      </c>
      <c r="B117" s="261">
        <v>1440000</v>
      </c>
      <c r="J117" s="337" t="s">
        <v>840</v>
      </c>
      <c r="K117" s="2104">
        <v>2179</v>
      </c>
      <c r="L117" s="249">
        <v>320</v>
      </c>
    </row>
    <row r="118" spans="1:12">
      <c r="A118" s="254" t="s">
        <v>336</v>
      </c>
      <c r="B118" s="260">
        <v>1460000</v>
      </c>
      <c r="J118" s="337" t="s">
        <v>841</v>
      </c>
      <c r="K118" s="2104">
        <v>2438</v>
      </c>
      <c r="L118" s="249">
        <v>360</v>
      </c>
    </row>
    <row r="119" spans="1:12">
      <c r="A119" s="254" t="s">
        <v>337</v>
      </c>
      <c r="B119" s="260">
        <v>1680000</v>
      </c>
      <c r="J119" s="337" t="s">
        <v>842</v>
      </c>
      <c r="K119" s="2104">
        <v>184</v>
      </c>
      <c r="L119" s="249">
        <v>7.1</v>
      </c>
    </row>
    <row r="120" spans="1:12">
      <c r="A120" s="254" t="s">
        <v>338</v>
      </c>
      <c r="B120" s="260">
        <v>1680000</v>
      </c>
      <c r="J120" s="337" t="s">
        <v>843</v>
      </c>
      <c r="K120" s="2104">
        <v>185</v>
      </c>
      <c r="L120" s="249">
        <v>8.5</v>
      </c>
    </row>
    <row r="121" spans="1:12">
      <c r="A121" s="254" t="s">
        <v>339</v>
      </c>
      <c r="B121" s="261">
        <v>1890000</v>
      </c>
      <c r="J121" s="337" t="s">
        <v>844</v>
      </c>
      <c r="K121" s="2104">
        <v>199</v>
      </c>
      <c r="L121" s="249">
        <v>9.9</v>
      </c>
    </row>
    <row r="122" spans="1:12">
      <c r="A122" s="254" t="s">
        <v>340</v>
      </c>
      <c r="B122" s="260">
        <v>2000000</v>
      </c>
      <c r="J122" s="337" t="s">
        <v>845</v>
      </c>
      <c r="K122" s="2104">
        <v>168</v>
      </c>
      <c r="L122" s="249">
        <v>15.7</v>
      </c>
    </row>
    <row r="123" spans="1:12">
      <c r="A123" s="254" t="s">
        <v>341</v>
      </c>
      <c r="B123" s="260">
        <v>2500000</v>
      </c>
      <c r="J123" s="337" t="s">
        <v>846</v>
      </c>
      <c r="K123" s="2104">
        <v>188</v>
      </c>
      <c r="L123" s="249">
        <v>21.23</v>
      </c>
    </row>
    <row r="124" spans="1:12">
      <c r="A124" s="254" t="s">
        <v>342</v>
      </c>
      <c r="B124" s="261">
        <v>3100000</v>
      </c>
      <c r="J124" s="337" t="s">
        <v>847</v>
      </c>
      <c r="K124" s="2104">
        <v>207</v>
      </c>
      <c r="L124" s="249">
        <v>25</v>
      </c>
    </row>
    <row r="125" spans="1:12">
      <c r="A125" s="254" t="s">
        <v>343</v>
      </c>
      <c r="B125" s="261">
        <v>3500000</v>
      </c>
      <c r="J125" s="337" t="s">
        <v>848</v>
      </c>
      <c r="K125" s="2104">
        <v>255</v>
      </c>
      <c r="L125" s="249">
        <v>34</v>
      </c>
    </row>
    <row r="126" spans="1:12">
      <c r="A126" s="254" t="s">
        <v>344</v>
      </c>
      <c r="B126" s="261">
        <v>4400000</v>
      </c>
      <c r="J126" s="337" t="s">
        <v>849</v>
      </c>
      <c r="K126" s="2104">
        <v>295</v>
      </c>
      <c r="L126" s="249">
        <v>42</v>
      </c>
    </row>
    <row r="127" spans="1:12">
      <c r="A127" s="259" t="s">
        <v>345</v>
      </c>
      <c r="B127" s="260">
        <v>4900000</v>
      </c>
      <c r="J127" s="337" t="s">
        <v>850</v>
      </c>
      <c r="K127" s="2104">
        <v>385</v>
      </c>
      <c r="L127" s="249">
        <v>57</v>
      </c>
    </row>
    <row r="128" spans="1:12">
      <c r="A128" s="254" t="s">
        <v>346</v>
      </c>
      <c r="B128" s="260">
        <v>6100000</v>
      </c>
      <c r="J128" s="337" t="s">
        <v>851</v>
      </c>
      <c r="K128" s="2104">
        <v>462</v>
      </c>
      <c r="L128" s="249">
        <v>70</v>
      </c>
    </row>
    <row r="129" spans="1:12">
      <c r="A129" s="254" t="s">
        <v>347</v>
      </c>
      <c r="B129" s="260">
        <v>8700000</v>
      </c>
      <c r="J129" s="337" t="s">
        <v>852</v>
      </c>
      <c r="K129" s="2104">
        <v>553</v>
      </c>
      <c r="L129" s="249">
        <v>92</v>
      </c>
    </row>
    <row r="130" spans="1:12">
      <c r="A130" s="254" t="s">
        <v>348</v>
      </c>
      <c r="B130" s="261">
        <v>11000000</v>
      </c>
      <c r="J130" s="337" t="s">
        <v>853</v>
      </c>
      <c r="K130" s="2104">
        <v>672</v>
      </c>
      <c r="L130" s="249">
        <v>119.09</v>
      </c>
    </row>
    <row r="131" spans="1:12">
      <c r="A131" s="254" t="s">
        <v>349</v>
      </c>
      <c r="B131" s="260">
        <v>12600000</v>
      </c>
      <c r="J131" s="337" t="s">
        <v>854</v>
      </c>
      <c r="K131" s="2104">
        <v>985</v>
      </c>
      <c r="L131" s="249">
        <v>165.4</v>
      </c>
    </row>
    <row r="132" spans="1:12">
      <c r="A132" s="295" t="s">
        <v>350</v>
      </c>
      <c r="B132" s="263">
        <v>500000</v>
      </c>
      <c r="J132" s="337" t="s">
        <v>855</v>
      </c>
      <c r="K132" s="2104">
        <v>210</v>
      </c>
      <c r="L132" s="249">
        <v>20.643999999999998</v>
      </c>
    </row>
    <row r="133" spans="1:12">
      <c r="A133" s="296" t="s">
        <v>351</v>
      </c>
      <c r="B133" s="263">
        <v>540000</v>
      </c>
      <c r="J133" s="337" t="s">
        <v>856</v>
      </c>
      <c r="K133" s="2104">
        <v>219</v>
      </c>
      <c r="L133" s="249">
        <v>28</v>
      </c>
    </row>
    <row r="134" spans="1:12">
      <c r="A134" s="296" t="s">
        <v>352</v>
      </c>
      <c r="B134" s="263">
        <v>260000</v>
      </c>
      <c r="J134" s="337" t="s">
        <v>857</v>
      </c>
      <c r="K134" s="2104">
        <v>244</v>
      </c>
      <c r="L134" s="249">
        <v>32</v>
      </c>
    </row>
    <row r="135" spans="1:12">
      <c r="A135" s="296" t="s">
        <v>353</v>
      </c>
      <c r="B135" s="263">
        <v>260000</v>
      </c>
      <c r="J135" s="337" t="s">
        <v>858</v>
      </c>
      <c r="K135" s="2104">
        <v>303</v>
      </c>
      <c r="L135" s="249">
        <v>46</v>
      </c>
    </row>
    <row r="136" spans="1:12">
      <c r="A136" s="296" t="s">
        <v>354</v>
      </c>
      <c r="B136" s="263">
        <v>310000</v>
      </c>
      <c r="J136" s="337" t="s">
        <v>859</v>
      </c>
      <c r="K136" s="2104">
        <v>363</v>
      </c>
      <c r="L136" s="249">
        <v>57</v>
      </c>
    </row>
    <row r="137" spans="1:12">
      <c r="A137" s="296" t="s">
        <v>355</v>
      </c>
      <c r="B137" s="264">
        <v>340000</v>
      </c>
      <c r="J137" s="337" t="s">
        <v>860</v>
      </c>
      <c r="K137" s="2104">
        <v>460</v>
      </c>
      <c r="L137" s="249">
        <v>73</v>
      </c>
    </row>
    <row r="138" spans="1:12">
      <c r="A138" s="296" t="s">
        <v>356</v>
      </c>
      <c r="B138" s="265">
        <v>350000</v>
      </c>
      <c r="J138" s="337" t="s">
        <v>861</v>
      </c>
      <c r="K138" s="2104">
        <v>543</v>
      </c>
      <c r="L138" s="249">
        <v>90</v>
      </c>
    </row>
    <row r="139" spans="1:12">
      <c r="A139" s="297" t="s">
        <v>357</v>
      </c>
      <c r="B139" s="261">
        <v>360000</v>
      </c>
      <c r="J139" s="337" t="s">
        <v>862</v>
      </c>
      <c r="K139" s="2104">
        <v>705</v>
      </c>
      <c r="L139" s="249">
        <v>141.11000000000001</v>
      </c>
    </row>
    <row r="140" spans="1:12">
      <c r="A140" s="298" t="s">
        <v>358</v>
      </c>
      <c r="B140" s="261">
        <v>330000</v>
      </c>
      <c r="J140" s="337" t="s">
        <v>863</v>
      </c>
      <c r="K140" s="2104">
        <v>843</v>
      </c>
      <c r="L140" s="249">
        <v>173.47</v>
      </c>
    </row>
    <row r="141" spans="1:12">
      <c r="A141" s="296" t="s">
        <v>359</v>
      </c>
      <c r="B141" s="266">
        <v>390000</v>
      </c>
      <c r="J141" s="337" t="s">
        <v>864</v>
      </c>
      <c r="K141" s="2104">
        <v>1120</v>
      </c>
      <c r="L141" s="249">
        <v>220.04</v>
      </c>
    </row>
    <row r="142" spans="1:12">
      <c r="A142" s="296" t="s">
        <v>360</v>
      </c>
      <c r="B142" s="263">
        <v>400000</v>
      </c>
      <c r="J142" s="337" t="s">
        <v>865</v>
      </c>
      <c r="K142" s="2104">
        <v>1437</v>
      </c>
      <c r="L142" s="249">
        <v>270.08999999999997</v>
      </c>
    </row>
    <row r="143" spans="1:12">
      <c r="A143" s="296" t="s">
        <v>361</v>
      </c>
      <c r="B143" s="263">
        <v>430000</v>
      </c>
      <c r="J143" s="337" t="s">
        <v>866</v>
      </c>
      <c r="K143" s="2104">
        <v>1905</v>
      </c>
      <c r="L143" s="249">
        <v>342.53</v>
      </c>
    </row>
    <row r="144" spans="1:12">
      <c r="A144" s="296" t="s">
        <v>362</v>
      </c>
      <c r="B144" s="263">
        <v>490000</v>
      </c>
      <c r="J144" s="337" t="s">
        <v>867</v>
      </c>
      <c r="K144" s="2104">
        <v>2223</v>
      </c>
      <c r="L144" s="249">
        <v>414.69</v>
      </c>
    </row>
    <row r="145" spans="1:13">
      <c r="A145" s="296" t="s">
        <v>363</v>
      </c>
      <c r="B145" s="263">
        <v>510000</v>
      </c>
      <c r="J145" s="337" t="s">
        <v>868</v>
      </c>
      <c r="K145" s="2104">
        <v>433</v>
      </c>
      <c r="L145" s="249">
        <v>56.65</v>
      </c>
    </row>
    <row r="146" spans="1:13">
      <c r="A146" s="296" t="s">
        <v>364</v>
      </c>
      <c r="B146" s="263">
        <v>560000</v>
      </c>
      <c r="J146" s="337" t="s">
        <v>869</v>
      </c>
      <c r="K146" s="2104">
        <v>529</v>
      </c>
      <c r="L146" s="249">
        <v>73.03</v>
      </c>
    </row>
    <row r="147" spans="1:13">
      <c r="A147" s="296" t="s">
        <v>365</v>
      </c>
      <c r="B147" s="264">
        <v>650000</v>
      </c>
      <c r="J147" s="337" t="s">
        <v>870</v>
      </c>
      <c r="K147" s="2104">
        <v>619</v>
      </c>
      <c r="L147" s="249">
        <v>90.43</v>
      </c>
    </row>
    <row r="148" spans="1:13">
      <c r="A148" s="296" t="s">
        <v>366</v>
      </c>
      <c r="B148" s="263">
        <v>700000</v>
      </c>
      <c r="J148" s="337" t="s">
        <v>871</v>
      </c>
      <c r="K148" s="2104">
        <v>837</v>
      </c>
      <c r="L148" s="249">
        <v>149</v>
      </c>
    </row>
    <row r="149" spans="1:13">
      <c r="A149" s="296" t="s">
        <v>367</v>
      </c>
      <c r="B149" s="264">
        <v>770000</v>
      </c>
      <c r="J149" s="337" t="s">
        <v>872</v>
      </c>
      <c r="K149" s="2104">
        <v>954</v>
      </c>
      <c r="L149" s="249">
        <v>159</v>
      </c>
    </row>
    <row r="150" spans="1:13">
      <c r="A150" s="296" t="s">
        <v>368</v>
      </c>
      <c r="B150" s="263">
        <v>800000</v>
      </c>
      <c r="J150" s="337" t="s">
        <v>873</v>
      </c>
      <c r="K150" s="2104">
        <v>1510</v>
      </c>
      <c r="L150" s="249">
        <v>172.4</v>
      </c>
    </row>
    <row r="151" spans="1:13">
      <c r="A151" s="296" t="s">
        <v>369</v>
      </c>
      <c r="B151" s="263">
        <v>800000</v>
      </c>
      <c r="J151" s="337" t="s">
        <v>874</v>
      </c>
      <c r="K151" s="2104">
        <v>1712</v>
      </c>
      <c r="L151" s="249">
        <v>288.75</v>
      </c>
    </row>
    <row r="152" spans="1:13">
      <c r="A152" s="296" t="s">
        <v>370</v>
      </c>
      <c r="B152" s="263">
        <v>940000</v>
      </c>
      <c r="J152" s="337" t="s">
        <v>875</v>
      </c>
      <c r="K152" s="2104">
        <v>2062</v>
      </c>
      <c r="L152" s="249">
        <v>358</v>
      </c>
    </row>
    <row r="153" spans="1:13">
      <c r="A153" s="296" t="s">
        <v>371</v>
      </c>
      <c r="B153" s="263">
        <v>1210000</v>
      </c>
      <c r="J153" s="337" t="s">
        <v>876</v>
      </c>
      <c r="K153" s="2104">
        <v>695</v>
      </c>
      <c r="L153" s="249">
        <v>110</v>
      </c>
    </row>
    <row r="154" spans="1:13">
      <c r="A154" s="296" t="s">
        <v>372</v>
      </c>
      <c r="B154" s="263">
        <v>1270000</v>
      </c>
      <c r="J154" s="337" t="s">
        <v>877</v>
      </c>
      <c r="K154" s="2104">
        <v>1270</v>
      </c>
      <c r="L154" s="249">
        <v>152.59</v>
      </c>
    </row>
    <row r="155" spans="1:13">
      <c r="A155" s="296" t="s">
        <v>373</v>
      </c>
      <c r="B155" s="263">
        <v>1550000</v>
      </c>
      <c r="J155" s="337" t="s">
        <v>878</v>
      </c>
      <c r="K155" s="2104">
        <v>1414</v>
      </c>
      <c r="L155" s="249">
        <v>185.09</v>
      </c>
    </row>
    <row r="156" spans="1:13">
      <c r="A156" s="296" t="s">
        <v>374</v>
      </c>
      <c r="B156" s="264">
        <v>1580000</v>
      </c>
      <c r="J156" s="337" t="s">
        <v>879</v>
      </c>
      <c r="K156" s="2104">
        <v>2130</v>
      </c>
      <c r="L156" s="249">
        <v>249.66</v>
      </c>
    </row>
    <row r="157" spans="1:13">
      <c r="A157" s="296" t="s">
        <v>375</v>
      </c>
      <c r="B157" s="263">
        <v>1670000</v>
      </c>
      <c r="J157" s="337" t="s">
        <v>880</v>
      </c>
      <c r="K157" s="2104">
        <v>2358</v>
      </c>
      <c r="L157" s="249">
        <v>305.31</v>
      </c>
    </row>
    <row r="158" spans="1:13">
      <c r="A158" s="296" t="s">
        <v>376</v>
      </c>
      <c r="B158" s="263">
        <v>1770000</v>
      </c>
      <c r="J158" s="337" t="s">
        <v>881</v>
      </c>
      <c r="K158" s="2104">
        <v>2678</v>
      </c>
      <c r="L158" s="249">
        <v>374.8</v>
      </c>
    </row>
    <row r="159" spans="1:13">
      <c r="A159" s="296" t="s">
        <v>377</v>
      </c>
      <c r="B159" s="263">
        <v>2060000</v>
      </c>
      <c r="J159" s="337" t="s">
        <v>882</v>
      </c>
      <c r="K159" s="2104">
        <v>3010</v>
      </c>
      <c r="L159" s="249">
        <v>450.3</v>
      </c>
    </row>
    <row r="160" spans="1:13">
      <c r="A160" s="296" t="s">
        <v>378</v>
      </c>
      <c r="B160" s="263">
        <v>2160000</v>
      </c>
      <c r="J160" s="340" t="s">
        <v>883</v>
      </c>
      <c r="K160" s="2105">
        <v>78</v>
      </c>
      <c r="L160" s="249">
        <v>8</v>
      </c>
      <c r="M160" s="249">
        <v>54</v>
      </c>
    </row>
    <row r="161" spans="1:13">
      <c r="A161" s="296" t="s">
        <v>379</v>
      </c>
      <c r="B161" s="263">
        <v>2300000</v>
      </c>
      <c r="J161" s="340" t="s">
        <v>884</v>
      </c>
      <c r="K161" s="2105">
        <v>77</v>
      </c>
      <c r="L161" s="249">
        <v>9.5</v>
      </c>
      <c r="M161" s="249">
        <v>56</v>
      </c>
    </row>
    <row r="162" spans="1:13">
      <c r="A162" s="296" t="s">
        <v>380</v>
      </c>
      <c r="B162" s="263">
        <v>2880000</v>
      </c>
      <c r="J162" s="340" t="s">
        <v>905</v>
      </c>
      <c r="K162" s="2105">
        <v>92</v>
      </c>
      <c r="L162" s="249">
        <v>11</v>
      </c>
      <c r="M162" s="249">
        <v>63</v>
      </c>
    </row>
    <row r="163" spans="1:13">
      <c r="A163" s="296" t="s">
        <v>381</v>
      </c>
      <c r="B163" s="263">
        <v>2900000</v>
      </c>
      <c r="J163" s="340" t="s">
        <v>906</v>
      </c>
      <c r="K163" s="2105">
        <v>101</v>
      </c>
      <c r="L163" s="249">
        <v>15.2</v>
      </c>
      <c r="M163" s="249">
        <v>79</v>
      </c>
    </row>
    <row r="164" spans="1:13">
      <c r="A164" s="296" t="s">
        <v>382</v>
      </c>
      <c r="B164" s="263">
        <v>2920000</v>
      </c>
      <c r="J164" s="340" t="s">
        <v>907</v>
      </c>
      <c r="K164" s="2105">
        <v>111</v>
      </c>
      <c r="L164" s="249">
        <v>18.2</v>
      </c>
      <c r="M164" s="249">
        <v>83</v>
      </c>
    </row>
    <row r="165" spans="1:13">
      <c r="A165" s="296" t="s">
        <v>383</v>
      </c>
      <c r="B165" s="263">
        <v>3220000</v>
      </c>
      <c r="J165" s="340" t="s">
        <v>908</v>
      </c>
      <c r="K165" s="2105">
        <v>171</v>
      </c>
      <c r="L165" s="249">
        <v>24.5</v>
      </c>
      <c r="M165" s="249">
        <v>113</v>
      </c>
    </row>
    <row r="166" spans="1:13">
      <c r="A166" s="296" t="s">
        <v>384</v>
      </c>
      <c r="B166" s="263">
        <v>3420000</v>
      </c>
      <c r="J166" s="340" t="s">
        <v>909</v>
      </c>
      <c r="K166" s="2105">
        <v>152</v>
      </c>
      <c r="L166" s="249">
        <v>28.2</v>
      </c>
      <c r="M166" s="249">
        <v>122</v>
      </c>
    </row>
    <row r="167" spans="1:13">
      <c r="A167" s="296" t="s">
        <v>385</v>
      </c>
      <c r="B167" s="263">
        <v>3890000</v>
      </c>
      <c r="J167" s="340" t="s">
        <v>910</v>
      </c>
      <c r="K167" s="2105">
        <v>197</v>
      </c>
      <c r="L167" s="249">
        <v>38.6</v>
      </c>
      <c r="M167" s="249">
        <v>148</v>
      </c>
    </row>
    <row r="168" spans="1:13">
      <c r="A168" s="296" t="s">
        <v>386</v>
      </c>
      <c r="B168" s="263">
        <v>4360000</v>
      </c>
      <c r="J168" s="340" t="s">
        <v>911</v>
      </c>
      <c r="K168" s="2105">
        <v>213</v>
      </c>
      <c r="L168" s="249">
        <v>45.8</v>
      </c>
      <c r="M168" s="249">
        <v>155</v>
      </c>
    </row>
    <row r="169" spans="1:13">
      <c r="A169" s="296" t="s">
        <v>387</v>
      </c>
      <c r="B169" s="263">
        <v>4630000</v>
      </c>
      <c r="J169" s="340" t="s">
        <v>912</v>
      </c>
      <c r="K169" s="2106">
        <v>91</v>
      </c>
      <c r="L169" s="249">
        <v>17.899999999999999</v>
      </c>
      <c r="M169" s="249">
        <v>91</v>
      </c>
    </row>
    <row r="170" spans="1:13">
      <c r="A170" s="296" t="s">
        <v>388</v>
      </c>
      <c r="B170" s="263">
        <v>5800000</v>
      </c>
      <c r="J170" s="340" t="s">
        <v>913</v>
      </c>
      <c r="K170" s="2106">
        <v>98</v>
      </c>
      <c r="L170" s="249">
        <v>21.7</v>
      </c>
      <c r="M170" s="249">
        <v>98</v>
      </c>
    </row>
    <row r="171" spans="1:13">
      <c r="A171" s="296" t="s">
        <v>389</v>
      </c>
      <c r="B171" s="263">
        <v>7000000</v>
      </c>
      <c r="J171" s="340" t="s">
        <v>914</v>
      </c>
      <c r="K171" s="2106">
        <v>110</v>
      </c>
      <c r="L171" s="249">
        <v>25.3</v>
      </c>
      <c r="M171" s="249">
        <v>110</v>
      </c>
    </row>
    <row r="172" spans="1:13">
      <c r="A172" s="295" t="s">
        <v>390</v>
      </c>
      <c r="B172" s="263">
        <v>610000</v>
      </c>
      <c r="J172" s="340" t="s">
        <v>915</v>
      </c>
      <c r="K172" s="2106">
        <v>139</v>
      </c>
      <c r="L172" s="249">
        <v>33.9</v>
      </c>
      <c r="M172" s="249">
        <v>139</v>
      </c>
    </row>
    <row r="173" spans="1:13">
      <c r="A173" s="296" t="s">
        <v>391</v>
      </c>
      <c r="B173" s="263">
        <v>650000</v>
      </c>
      <c r="J173" s="340" t="s">
        <v>916</v>
      </c>
      <c r="K173" s="2106">
        <v>159</v>
      </c>
      <c r="L173" s="249">
        <v>40.6</v>
      </c>
      <c r="M173" s="249">
        <v>159</v>
      </c>
    </row>
    <row r="174" spans="1:13">
      <c r="A174" s="296" t="s">
        <v>392</v>
      </c>
      <c r="B174" s="263">
        <v>350000</v>
      </c>
      <c r="J174" s="340" t="s">
        <v>917</v>
      </c>
      <c r="K174" s="2106">
        <v>195</v>
      </c>
      <c r="L174" s="249">
        <v>47.6</v>
      </c>
      <c r="M174" s="249">
        <v>195</v>
      </c>
    </row>
    <row r="175" spans="1:13">
      <c r="A175" s="296" t="s">
        <v>393</v>
      </c>
      <c r="B175" s="263">
        <v>390000</v>
      </c>
      <c r="J175" s="340" t="s">
        <v>918</v>
      </c>
      <c r="K175" s="2106">
        <v>211</v>
      </c>
      <c r="L175" s="249">
        <v>54.3</v>
      </c>
      <c r="M175" s="249">
        <v>211</v>
      </c>
    </row>
    <row r="176" spans="1:13">
      <c r="A176" s="296" t="s">
        <v>394</v>
      </c>
      <c r="B176" s="263">
        <v>400000</v>
      </c>
      <c r="J176" s="340" t="s">
        <v>919</v>
      </c>
      <c r="K176" s="2106">
        <v>261</v>
      </c>
      <c r="L176" s="249">
        <v>69.3</v>
      </c>
      <c r="M176" s="249">
        <v>261</v>
      </c>
    </row>
    <row r="177" spans="1:16">
      <c r="A177" s="296" t="s">
        <v>395</v>
      </c>
      <c r="B177" s="264">
        <v>410000</v>
      </c>
      <c r="J177" s="340" t="s">
        <v>920</v>
      </c>
      <c r="K177" s="2106">
        <v>283</v>
      </c>
      <c r="L177" s="249">
        <v>84.6</v>
      </c>
      <c r="M177" s="249">
        <v>283</v>
      </c>
    </row>
    <row r="178" spans="1:16">
      <c r="A178" s="296" t="s">
        <v>396</v>
      </c>
      <c r="B178" s="264">
        <v>440000</v>
      </c>
      <c r="J178" s="340" t="s">
        <v>922</v>
      </c>
      <c r="K178" s="2105">
        <v>64</v>
      </c>
      <c r="L178" s="249">
        <v>6.3</v>
      </c>
      <c r="M178" s="249">
        <v>47</v>
      </c>
      <c r="O178" s="249">
        <f>K178/M178</f>
        <v>1.3617021276595744</v>
      </c>
      <c r="P178" s="360"/>
    </row>
    <row r="179" spans="1:16">
      <c r="A179" s="297" t="s">
        <v>397</v>
      </c>
      <c r="B179" s="267">
        <v>450000</v>
      </c>
      <c r="J179" s="340" t="s">
        <v>923</v>
      </c>
      <c r="K179" s="2105">
        <v>68</v>
      </c>
      <c r="L179" s="249">
        <v>7.4</v>
      </c>
      <c r="M179" s="249">
        <v>50</v>
      </c>
      <c r="O179" s="249">
        <f t="shared" ref="O179:O242" si="1">K179/M179</f>
        <v>1.36</v>
      </c>
    </row>
    <row r="180" spans="1:16">
      <c r="A180" s="298" t="s">
        <v>398</v>
      </c>
      <c r="B180" s="268">
        <v>430000</v>
      </c>
      <c r="J180" s="340" t="s">
        <v>924</v>
      </c>
      <c r="K180" s="2105">
        <v>68</v>
      </c>
      <c r="L180" s="249">
        <v>9.4</v>
      </c>
      <c r="M180" s="249">
        <v>54</v>
      </c>
      <c r="O180" s="249">
        <f t="shared" si="1"/>
        <v>1.2592592592592593</v>
      </c>
    </row>
    <row r="181" spans="1:16">
      <c r="A181" s="296" t="s">
        <v>399</v>
      </c>
      <c r="B181" s="263">
        <v>480000</v>
      </c>
      <c r="J181" s="340" t="s">
        <v>925</v>
      </c>
      <c r="K181" s="2105">
        <v>73</v>
      </c>
      <c r="L181" s="249">
        <v>10.8</v>
      </c>
      <c r="M181" s="249">
        <v>58</v>
      </c>
      <c r="O181" s="249">
        <f t="shared" si="1"/>
        <v>1.2586206896551724</v>
      </c>
    </row>
    <row r="182" spans="1:16">
      <c r="A182" s="296" t="s">
        <v>400</v>
      </c>
      <c r="B182" s="263">
        <v>520000</v>
      </c>
      <c r="J182" s="340" t="s">
        <v>926</v>
      </c>
      <c r="K182" s="2105">
        <v>95</v>
      </c>
      <c r="L182" s="249">
        <v>13</v>
      </c>
      <c r="M182" s="249">
        <v>70</v>
      </c>
      <c r="O182" s="249">
        <f t="shared" si="1"/>
        <v>1.3571428571428572</v>
      </c>
    </row>
    <row r="183" spans="1:16">
      <c r="A183" s="296" t="s">
        <v>401</v>
      </c>
      <c r="B183" s="263">
        <v>580000</v>
      </c>
      <c r="J183" s="340" t="s">
        <v>927</v>
      </c>
      <c r="K183" s="2105">
        <v>98</v>
      </c>
      <c r="L183" s="249">
        <v>19</v>
      </c>
      <c r="M183" s="249">
        <v>85</v>
      </c>
      <c r="O183" s="249">
        <f t="shared" si="1"/>
        <v>1.1529411764705881</v>
      </c>
    </row>
    <row r="184" spans="1:16">
      <c r="A184" s="296" t="s">
        <v>402</v>
      </c>
      <c r="B184" s="263">
        <v>630000</v>
      </c>
      <c r="J184" s="340" t="s">
        <v>928</v>
      </c>
      <c r="K184" s="2105">
        <v>115</v>
      </c>
      <c r="L184" s="249">
        <v>25</v>
      </c>
      <c r="M184" s="249">
        <v>101</v>
      </c>
      <c r="O184" s="249">
        <f t="shared" si="1"/>
        <v>1.1386138613861385</v>
      </c>
    </row>
    <row r="185" spans="1:16">
      <c r="A185" s="296" t="s">
        <v>403</v>
      </c>
      <c r="B185" s="263">
        <v>700000</v>
      </c>
      <c r="J185" s="340" t="s">
        <v>929</v>
      </c>
      <c r="K185" s="2105">
        <v>157</v>
      </c>
      <c r="L185" s="249">
        <v>36</v>
      </c>
      <c r="M185" s="249">
        <v>127</v>
      </c>
      <c r="O185" s="249">
        <f t="shared" si="1"/>
        <v>1.2362204724409449</v>
      </c>
    </row>
    <row r="186" spans="1:16">
      <c r="A186" s="296" t="s">
        <v>404</v>
      </c>
      <c r="B186" s="263">
        <v>800000</v>
      </c>
      <c r="J186" s="340" t="s">
        <v>930</v>
      </c>
      <c r="K186" s="2105">
        <v>191</v>
      </c>
      <c r="L186" s="249">
        <v>44</v>
      </c>
      <c r="M186" s="249">
        <v>160</v>
      </c>
      <c r="O186" s="249">
        <f t="shared" si="1"/>
        <v>1.1937500000000001</v>
      </c>
    </row>
    <row r="187" spans="1:16">
      <c r="A187" s="296" t="s">
        <v>405</v>
      </c>
      <c r="B187" s="263">
        <v>910000</v>
      </c>
      <c r="J187" s="340" t="s">
        <v>931</v>
      </c>
      <c r="K187" s="2105">
        <v>257</v>
      </c>
      <c r="L187" s="249">
        <v>57</v>
      </c>
      <c r="M187" s="249">
        <v>217</v>
      </c>
      <c r="O187" s="249">
        <f t="shared" si="1"/>
        <v>1.1843317972350231</v>
      </c>
    </row>
    <row r="188" spans="1:16">
      <c r="A188" s="296" t="s">
        <v>406</v>
      </c>
      <c r="B188" s="263">
        <v>1010000</v>
      </c>
      <c r="J188" s="340" t="s">
        <v>932</v>
      </c>
      <c r="K188" s="2105">
        <v>306</v>
      </c>
      <c r="L188" s="249">
        <v>71.5</v>
      </c>
      <c r="M188" s="249">
        <v>258</v>
      </c>
      <c r="O188" s="249">
        <f t="shared" si="1"/>
        <v>1.1860465116279071</v>
      </c>
    </row>
    <row r="189" spans="1:16">
      <c r="A189" s="296" t="s">
        <v>407</v>
      </c>
      <c r="B189" s="263">
        <v>1210000</v>
      </c>
      <c r="J189" s="340" t="s">
        <v>933</v>
      </c>
      <c r="K189" s="2105">
        <v>397</v>
      </c>
      <c r="L189" s="249">
        <v>131</v>
      </c>
      <c r="M189" s="249">
        <v>353</v>
      </c>
      <c r="O189" s="249">
        <f t="shared" si="1"/>
        <v>1.1246458923512748</v>
      </c>
    </row>
    <row r="190" spans="1:16">
      <c r="A190" s="296" t="s">
        <v>408</v>
      </c>
      <c r="B190" s="263">
        <v>1280000</v>
      </c>
      <c r="J190" s="340" t="s">
        <v>934</v>
      </c>
      <c r="K190" s="2105">
        <v>516</v>
      </c>
      <c r="L190" s="249">
        <v>156</v>
      </c>
      <c r="M190" s="249">
        <v>458</v>
      </c>
      <c r="O190" s="249">
        <f t="shared" si="1"/>
        <v>1.1266375545851528</v>
      </c>
    </row>
    <row r="191" spans="1:16">
      <c r="A191" s="296" t="s">
        <v>409</v>
      </c>
      <c r="B191" s="264">
        <v>1250000</v>
      </c>
      <c r="J191" s="340" t="s">
        <v>935</v>
      </c>
      <c r="K191" s="2105">
        <v>683</v>
      </c>
      <c r="L191" s="249">
        <v>192</v>
      </c>
      <c r="M191" s="249">
        <v>613</v>
      </c>
      <c r="O191" s="249">
        <f t="shared" si="1"/>
        <v>1.1141924959216967</v>
      </c>
    </row>
    <row r="192" spans="1:16">
      <c r="A192" s="296" t="s">
        <v>410</v>
      </c>
      <c r="B192" s="263">
        <v>1390000</v>
      </c>
      <c r="J192" s="340" t="s">
        <v>936</v>
      </c>
      <c r="K192" s="2105">
        <v>117</v>
      </c>
      <c r="L192" s="249">
        <v>29</v>
      </c>
      <c r="M192" s="249">
        <v>96</v>
      </c>
      <c r="O192" s="249">
        <f t="shared" si="1"/>
        <v>1.21875</v>
      </c>
    </row>
    <row r="193" spans="1:15">
      <c r="A193" s="296" t="s">
        <v>411</v>
      </c>
      <c r="B193" s="263">
        <v>1720000</v>
      </c>
      <c r="J193" s="340" t="s">
        <v>937</v>
      </c>
      <c r="K193" s="2105">
        <v>134</v>
      </c>
      <c r="L193" s="249">
        <v>35</v>
      </c>
      <c r="M193" s="249">
        <v>111</v>
      </c>
      <c r="O193" s="249">
        <f t="shared" si="1"/>
        <v>1.2072072072072073</v>
      </c>
    </row>
    <row r="194" spans="1:15">
      <c r="A194" s="296" t="s">
        <v>412</v>
      </c>
      <c r="B194" s="263">
        <v>1730000</v>
      </c>
      <c r="J194" s="340" t="s">
        <v>938</v>
      </c>
      <c r="K194" s="2105">
        <v>170</v>
      </c>
      <c r="L194" s="249">
        <v>42</v>
      </c>
      <c r="M194" s="249">
        <v>139</v>
      </c>
      <c r="O194" s="249">
        <f t="shared" si="1"/>
        <v>1.2230215827338129</v>
      </c>
    </row>
    <row r="195" spans="1:15">
      <c r="A195" s="296" t="s">
        <v>413</v>
      </c>
      <c r="B195" s="263">
        <v>2030000</v>
      </c>
      <c r="J195" s="340" t="s">
        <v>939</v>
      </c>
      <c r="K195" s="2105">
        <v>208</v>
      </c>
      <c r="L195" s="249">
        <v>57</v>
      </c>
      <c r="M195" s="249">
        <v>170</v>
      </c>
      <c r="O195" s="249">
        <f t="shared" si="1"/>
        <v>1.223529411764706</v>
      </c>
    </row>
    <row r="196" spans="1:15">
      <c r="A196" s="296" t="s">
        <v>414</v>
      </c>
      <c r="B196" s="263">
        <v>2090000</v>
      </c>
      <c r="J196" s="340" t="s">
        <v>940</v>
      </c>
      <c r="K196" s="2105">
        <v>292</v>
      </c>
      <c r="L196" s="249">
        <v>72</v>
      </c>
      <c r="M196" s="249">
        <v>244</v>
      </c>
      <c r="O196" s="249">
        <f t="shared" si="1"/>
        <v>1.1967213114754098</v>
      </c>
    </row>
    <row r="197" spans="1:15">
      <c r="A197" s="296" t="s">
        <v>415</v>
      </c>
      <c r="B197" s="263">
        <v>2220000</v>
      </c>
      <c r="J197" s="340" t="s">
        <v>941</v>
      </c>
      <c r="K197" s="2105">
        <v>347</v>
      </c>
      <c r="L197" s="249">
        <v>92</v>
      </c>
      <c r="M197" s="249">
        <v>291</v>
      </c>
      <c r="O197" s="249">
        <f t="shared" si="1"/>
        <v>1.1924398625429553</v>
      </c>
    </row>
    <row r="198" spans="1:15">
      <c r="A198" s="296" t="s">
        <v>416</v>
      </c>
      <c r="B198" s="263">
        <v>2490000</v>
      </c>
      <c r="J198" s="340" t="s">
        <v>942</v>
      </c>
      <c r="K198" s="2105">
        <v>479</v>
      </c>
      <c r="L198" s="249">
        <v>160</v>
      </c>
      <c r="M198" s="249">
        <v>406</v>
      </c>
      <c r="O198" s="249">
        <f t="shared" si="1"/>
        <v>1.1798029556650247</v>
      </c>
    </row>
    <row r="199" spans="1:15">
      <c r="A199" s="296" t="s">
        <v>417</v>
      </c>
      <c r="B199" s="263">
        <v>2920000</v>
      </c>
      <c r="J199" s="340" t="s">
        <v>921</v>
      </c>
      <c r="K199" s="2105">
        <v>679</v>
      </c>
      <c r="L199" s="249">
        <v>185</v>
      </c>
      <c r="M199" s="249">
        <v>495</v>
      </c>
      <c r="O199" s="249">
        <f t="shared" si="1"/>
        <v>1.3717171717171717</v>
      </c>
    </row>
    <row r="200" spans="1:15">
      <c r="A200" s="296" t="s">
        <v>418</v>
      </c>
      <c r="B200" s="263">
        <v>3060000</v>
      </c>
      <c r="J200" s="340" t="s">
        <v>943</v>
      </c>
      <c r="K200" s="2105">
        <v>811</v>
      </c>
      <c r="L200" s="249">
        <v>240</v>
      </c>
      <c r="M200" s="249">
        <v>701</v>
      </c>
      <c r="O200" s="249">
        <f t="shared" si="1"/>
        <v>1.1569186875891584</v>
      </c>
    </row>
    <row r="201" spans="1:15">
      <c r="A201" s="296" t="s">
        <v>419</v>
      </c>
      <c r="B201" s="264">
        <v>3250000</v>
      </c>
      <c r="J201" s="340" t="s">
        <v>944</v>
      </c>
      <c r="K201" s="2105">
        <v>963</v>
      </c>
      <c r="L201" s="249">
        <v>290</v>
      </c>
      <c r="M201" s="249">
        <v>823</v>
      </c>
      <c r="O201" s="249">
        <f t="shared" si="1"/>
        <v>1.1701093560145808</v>
      </c>
    </row>
    <row r="202" spans="1:15">
      <c r="A202" s="296" t="s">
        <v>420</v>
      </c>
      <c r="B202" s="263">
        <v>3420000</v>
      </c>
      <c r="J202" s="340" t="s">
        <v>945</v>
      </c>
      <c r="K202" s="2105">
        <v>1223</v>
      </c>
      <c r="L202" s="249">
        <v>365</v>
      </c>
      <c r="M202" s="249">
        <v>1072</v>
      </c>
      <c r="O202" s="249">
        <f t="shared" si="1"/>
        <v>1.1408582089552239</v>
      </c>
    </row>
    <row r="203" spans="1:15">
      <c r="A203" s="296" t="s">
        <v>421</v>
      </c>
      <c r="B203" s="264">
        <v>3520000</v>
      </c>
      <c r="J203" s="340" t="s">
        <v>946</v>
      </c>
      <c r="K203" s="2105">
        <v>1483</v>
      </c>
      <c r="L203" s="249">
        <v>480</v>
      </c>
      <c r="M203" s="249">
        <v>1228</v>
      </c>
      <c r="O203" s="249">
        <f t="shared" si="1"/>
        <v>1.2076547231270358</v>
      </c>
    </row>
    <row r="204" spans="1:15">
      <c r="A204" s="296" t="s">
        <v>422</v>
      </c>
      <c r="B204" s="263">
        <v>3620000</v>
      </c>
      <c r="J204" s="340" t="s">
        <v>947</v>
      </c>
      <c r="K204" s="2105">
        <v>110</v>
      </c>
      <c r="L204" s="249">
        <v>10</v>
      </c>
      <c r="M204" s="249">
        <v>64</v>
      </c>
      <c r="O204" s="249">
        <f t="shared" si="1"/>
        <v>1.71875</v>
      </c>
    </row>
    <row r="205" spans="1:15">
      <c r="A205" s="296" t="s">
        <v>423</v>
      </c>
      <c r="B205" s="263">
        <v>4100000</v>
      </c>
      <c r="J205" s="340" t="s">
        <v>948</v>
      </c>
      <c r="K205" s="2105">
        <v>105</v>
      </c>
      <c r="L205" s="249">
        <v>12</v>
      </c>
      <c r="M205" s="249">
        <v>67</v>
      </c>
      <c r="O205" s="249">
        <f t="shared" si="1"/>
        <v>1.5671641791044777</v>
      </c>
    </row>
    <row r="206" spans="1:15">
      <c r="A206" s="296" t="s">
        <v>424</v>
      </c>
      <c r="B206" s="264">
        <v>4440000</v>
      </c>
      <c r="J206" s="340" t="s">
        <v>949</v>
      </c>
      <c r="K206" s="2105">
        <v>134</v>
      </c>
      <c r="L206" s="249">
        <v>18</v>
      </c>
      <c r="M206" s="249">
        <v>81</v>
      </c>
      <c r="O206" s="249">
        <f t="shared" si="1"/>
        <v>1.654320987654321</v>
      </c>
    </row>
    <row r="207" spans="1:15">
      <c r="A207" s="296" t="s">
        <v>425</v>
      </c>
      <c r="B207" s="263">
        <v>4750000</v>
      </c>
      <c r="J207" s="340" t="s">
        <v>950</v>
      </c>
      <c r="K207" s="2105">
        <v>146</v>
      </c>
      <c r="L207" s="249">
        <v>22</v>
      </c>
      <c r="M207" s="249">
        <v>104</v>
      </c>
      <c r="O207" s="249">
        <f t="shared" si="1"/>
        <v>1.4038461538461537</v>
      </c>
    </row>
    <row r="208" spans="1:15">
      <c r="A208" s="296" t="s">
        <v>426</v>
      </c>
      <c r="B208" s="263">
        <v>5060000</v>
      </c>
      <c r="J208" s="340" t="s">
        <v>951</v>
      </c>
      <c r="K208" s="2105">
        <v>159</v>
      </c>
      <c r="L208" s="249">
        <v>32.6</v>
      </c>
      <c r="M208" s="249">
        <v>114</v>
      </c>
      <c r="O208" s="249">
        <f t="shared" si="1"/>
        <v>1.3947368421052631</v>
      </c>
    </row>
    <row r="209" spans="1:15">
      <c r="A209" s="296" t="s">
        <v>427</v>
      </c>
      <c r="B209" s="263">
        <v>5630000</v>
      </c>
      <c r="J209" s="340" t="s">
        <v>1042</v>
      </c>
      <c r="K209" s="2105">
        <v>204</v>
      </c>
      <c r="L209" s="249">
        <v>42.7</v>
      </c>
      <c r="M209" s="249">
        <v>140</v>
      </c>
      <c r="O209" s="249">
        <f t="shared" si="1"/>
        <v>1.4571428571428571</v>
      </c>
    </row>
    <row r="210" spans="1:15">
      <c r="A210" s="296" t="s">
        <v>428</v>
      </c>
      <c r="B210" s="263">
        <v>7300000</v>
      </c>
      <c r="J210" s="340" t="s">
        <v>952</v>
      </c>
      <c r="K210" s="2105">
        <v>230</v>
      </c>
      <c r="L210" s="249">
        <v>50.6</v>
      </c>
      <c r="M210" s="249">
        <v>182</v>
      </c>
      <c r="O210" s="249">
        <f t="shared" si="1"/>
        <v>1.2637362637362637</v>
      </c>
    </row>
    <row r="211" spans="1:15">
      <c r="A211" s="296" t="s">
        <v>429</v>
      </c>
      <c r="B211" s="269">
        <v>9400000</v>
      </c>
      <c r="J211" s="340" t="s">
        <v>953</v>
      </c>
      <c r="K211" s="2105">
        <v>294</v>
      </c>
      <c r="L211" s="249">
        <v>67.5</v>
      </c>
      <c r="M211" s="249">
        <v>239</v>
      </c>
      <c r="O211" s="249">
        <f t="shared" si="1"/>
        <v>1.2301255230125523</v>
      </c>
    </row>
    <row r="212" spans="1:15">
      <c r="A212" s="296" t="s">
        <v>430</v>
      </c>
      <c r="B212" s="263">
        <v>10600000</v>
      </c>
      <c r="J212" s="340" t="s">
        <v>954</v>
      </c>
      <c r="K212" s="2105">
        <v>349</v>
      </c>
      <c r="L212" s="249">
        <v>84.2</v>
      </c>
      <c r="M212" s="249">
        <v>283</v>
      </c>
      <c r="O212" s="249">
        <f t="shared" si="1"/>
        <v>1.2332155477031803</v>
      </c>
    </row>
    <row r="213" spans="1:15">
      <c r="A213" s="296" t="s">
        <v>431</v>
      </c>
      <c r="B213" s="265">
        <v>15300000</v>
      </c>
      <c r="J213" s="340" t="s">
        <v>955</v>
      </c>
      <c r="K213" s="2105">
        <v>483</v>
      </c>
      <c r="L213" s="249">
        <v>142</v>
      </c>
      <c r="M213" s="249">
        <v>389</v>
      </c>
      <c r="O213" s="249">
        <f t="shared" si="1"/>
        <v>1.2416452442159382</v>
      </c>
    </row>
    <row r="214" spans="1:15">
      <c r="A214" s="296" t="s">
        <v>432</v>
      </c>
      <c r="B214" s="266">
        <v>440000</v>
      </c>
      <c r="J214" s="340" t="s">
        <v>956</v>
      </c>
      <c r="K214" s="2105">
        <v>596</v>
      </c>
      <c r="L214" s="249">
        <v>168</v>
      </c>
      <c r="M214" s="249">
        <v>485</v>
      </c>
      <c r="O214" s="249">
        <f t="shared" si="1"/>
        <v>1.2288659793814434</v>
      </c>
    </row>
    <row r="215" spans="1:15">
      <c r="A215" s="296" t="s">
        <v>433</v>
      </c>
      <c r="B215" s="263">
        <v>460000</v>
      </c>
      <c r="J215" s="340" t="s">
        <v>957</v>
      </c>
      <c r="K215" s="2105">
        <v>796</v>
      </c>
      <c r="L215" s="249">
        <v>223</v>
      </c>
      <c r="M215" s="249">
        <v>652</v>
      </c>
      <c r="O215" s="249">
        <f t="shared" si="1"/>
        <v>1.2208588957055215</v>
      </c>
    </row>
    <row r="216" spans="1:15">
      <c r="A216" s="296" t="s">
        <v>434</v>
      </c>
      <c r="B216" s="263">
        <v>470000</v>
      </c>
      <c r="J216" s="340" t="s">
        <v>958</v>
      </c>
      <c r="K216" s="2105">
        <v>178</v>
      </c>
      <c r="L216" s="249">
        <v>32</v>
      </c>
      <c r="M216" s="249">
        <v>139</v>
      </c>
      <c r="O216" s="249">
        <f t="shared" si="1"/>
        <v>1.2805755395683454</v>
      </c>
    </row>
    <row r="217" spans="1:15">
      <c r="A217" s="296" t="s">
        <v>435</v>
      </c>
      <c r="B217" s="263">
        <v>480000</v>
      </c>
      <c r="J217" s="340" t="s">
        <v>959</v>
      </c>
      <c r="K217" s="2105">
        <v>194</v>
      </c>
      <c r="L217" s="249">
        <v>42.6</v>
      </c>
      <c r="M217" s="249">
        <v>150</v>
      </c>
      <c r="O217" s="249">
        <f t="shared" si="1"/>
        <v>1.2933333333333332</v>
      </c>
    </row>
    <row r="218" spans="1:15">
      <c r="A218" s="296" t="s">
        <v>436</v>
      </c>
      <c r="B218" s="265">
        <v>520000</v>
      </c>
      <c r="J218" s="340" t="s">
        <v>960</v>
      </c>
      <c r="K218" s="2105">
        <v>242</v>
      </c>
      <c r="L218" s="249">
        <v>54.7</v>
      </c>
      <c r="M218" s="249">
        <v>182</v>
      </c>
      <c r="O218" s="249">
        <f t="shared" si="1"/>
        <v>1.3296703296703296</v>
      </c>
    </row>
    <row r="219" spans="1:15">
      <c r="A219" s="299" t="s">
        <v>437</v>
      </c>
      <c r="B219" s="260">
        <v>560000</v>
      </c>
      <c r="J219" s="340" t="s">
        <v>961</v>
      </c>
      <c r="K219" s="2105">
        <v>279</v>
      </c>
      <c r="L219" s="249">
        <v>63.6</v>
      </c>
      <c r="M219" s="249">
        <v>223</v>
      </c>
      <c r="O219" s="249">
        <f t="shared" si="1"/>
        <v>1.2511210762331839</v>
      </c>
    </row>
    <row r="220" spans="1:15">
      <c r="A220" s="300" t="s">
        <v>438</v>
      </c>
      <c r="B220" s="260">
        <v>520000</v>
      </c>
      <c r="J220" s="340" t="s">
        <v>962</v>
      </c>
      <c r="K220" s="2105">
        <v>347</v>
      </c>
      <c r="L220" s="249">
        <v>82.5</v>
      </c>
      <c r="M220" s="249">
        <v>285</v>
      </c>
      <c r="O220" s="249">
        <f t="shared" si="1"/>
        <v>1.2175438596491228</v>
      </c>
    </row>
    <row r="221" spans="1:15">
      <c r="A221" s="296" t="s">
        <v>439</v>
      </c>
      <c r="B221" s="266">
        <v>590000</v>
      </c>
      <c r="J221" s="340" t="s">
        <v>963</v>
      </c>
      <c r="K221" s="2105">
        <v>404</v>
      </c>
      <c r="L221" s="249">
        <v>104.2</v>
      </c>
      <c r="M221" s="249">
        <v>330</v>
      </c>
      <c r="O221" s="249">
        <f t="shared" si="1"/>
        <v>1.2242424242424241</v>
      </c>
    </row>
    <row r="222" spans="1:15">
      <c r="A222" s="296" t="s">
        <v>440</v>
      </c>
      <c r="B222" s="263">
        <v>650000</v>
      </c>
      <c r="J222" s="340" t="s">
        <v>964</v>
      </c>
      <c r="K222" s="2105">
        <v>561</v>
      </c>
      <c r="L222" s="249">
        <v>171</v>
      </c>
      <c r="M222" s="249">
        <v>463</v>
      </c>
      <c r="O222" s="249">
        <f t="shared" si="1"/>
        <v>1.2116630669546435</v>
      </c>
    </row>
    <row r="223" spans="1:15">
      <c r="A223" s="296" t="s">
        <v>441</v>
      </c>
      <c r="B223" s="263">
        <v>690000</v>
      </c>
      <c r="J223" s="340" t="s">
        <v>965</v>
      </c>
      <c r="K223" s="2105">
        <v>657</v>
      </c>
      <c r="L223" s="249">
        <v>197</v>
      </c>
      <c r="M223" s="249">
        <v>541</v>
      </c>
      <c r="O223" s="249">
        <f t="shared" si="1"/>
        <v>1.2144177449168208</v>
      </c>
    </row>
    <row r="224" spans="1:15">
      <c r="A224" s="296" t="s">
        <v>442</v>
      </c>
      <c r="B224" s="263">
        <v>780000</v>
      </c>
      <c r="J224" s="340" t="s">
        <v>966</v>
      </c>
      <c r="K224" s="2105">
        <v>951</v>
      </c>
      <c r="L224" s="249">
        <v>271</v>
      </c>
      <c r="M224" s="249">
        <v>789</v>
      </c>
      <c r="O224" s="249">
        <f t="shared" si="1"/>
        <v>1.2053231939163498</v>
      </c>
    </row>
    <row r="225" spans="1:15">
      <c r="A225" s="296" t="s">
        <v>443</v>
      </c>
      <c r="B225" s="263">
        <v>830000</v>
      </c>
      <c r="J225" s="340" t="s">
        <v>967</v>
      </c>
      <c r="K225" s="2105">
        <v>1121</v>
      </c>
      <c r="L225" s="249">
        <v>300</v>
      </c>
      <c r="M225" s="249">
        <v>918</v>
      </c>
      <c r="O225" s="249">
        <f t="shared" si="1"/>
        <v>1.2211328976034859</v>
      </c>
    </row>
    <row r="226" spans="1:15">
      <c r="A226" s="296" t="s">
        <v>444</v>
      </c>
      <c r="B226" s="263">
        <v>1040000</v>
      </c>
      <c r="J226" s="340" t="s">
        <v>968</v>
      </c>
      <c r="K226" s="2105">
        <v>1445</v>
      </c>
      <c r="L226" s="249">
        <v>481.5</v>
      </c>
      <c r="M226" s="249">
        <v>1190</v>
      </c>
      <c r="O226" s="249">
        <f t="shared" si="1"/>
        <v>1.2142857142857142</v>
      </c>
    </row>
    <row r="227" spans="1:15">
      <c r="A227" s="296" t="s">
        <v>445</v>
      </c>
      <c r="B227" s="263">
        <v>1070000</v>
      </c>
      <c r="J227" s="340" t="s">
        <v>969</v>
      </c>
      <c r="K227" s="2105">
        <v>1641</v>
      </c>
      <c r="L227" s="249">
        <v>530</v>
      </c>
      <c r="M227" s="249">
        <v>1348</v>
      </c>
      <c r="O227" s="249">
        <f t="shared" si="1"/>
        <v>1.217359050445104</v>
      </c>
    </row>
    <row r="228" spans="1:15">
      <c r="A228" s="296" t="s">
        <v>446</v>
      </c>
      <c r="B228" s="264">
        <v>1220000</v>
      </c>
      <c r="J228" s="340" t="s">
        <v>970</v>
      </c>
      <c r="K228" s="2106">
        <v>658</v>
      </c>
      <c r="L228" s="249">
        <v>107</v>
      </c>
      <c r="M228" s="249">
        <v>519</v>
      </c>
      <c r="O228" s="249">
        <f t="shared" si="1"/>
        <v>1.2678227360308285</v>
      </c>
    </row>
    <row r="229" spans="1:15">
      <c r="A229" s="296" t="s">
        <v>447</v>
      </c>
      <c r="B229" s="263">
        <v>1490000</v>
      </c>
      <c r="J229" s="340" t="s">
        <v>971</v>
      </c>
      <c r="K229" s="2106">
        <v>895</v>
      </c>
      <c r="L229" s="249">
        <v>174</v>
      </c>
      <c r="M229" s="249">
        <v>703</v>
      </c>
      <c r="O229" s="249">
        <f t="shared" si="1"/>
        <v>1.2731152204836416</v>
      </c>
    </row>
    <row r="230" spans="1:15">
      <c r="A230" s="296" t="s">
        <v>448</v>
      </c>
      <c r="B230" s="263">
        <v>1550000</v>
      </c>
      <c r="J230" s="340" t="s">
        <v>972</v>
      </c>
      <c r="K230" s="2106">
        <v>1012</v>
      </c>
      <c r="L230" s="249">
        <v>200</v>
      </c>
      <c r="M230" s="249">
        <v>787</v>
      </c>
      <c r="O230" s="249">
        <f t="shared" si="1"/>
        <v>1.2858958068614994</v>
      </c>
    </row>
    <row r="231" spans="1:15">
      <c r="A231" s="296" t="s">
        <v>449</v>
      </c>
      <c r="B231" s="263">
        <v>1640000</v>
      </c>
      <c r="J231" s="340" t="s">
        <v>973</v>
      </c>
      <c r="K231" s="2106">
        <v>1309</v>
      </c>
      <c r="L231" s="249">
        <v>274</v>
      </c>
      <c r="M231" s="249">
        <v>1018</v>
      </c>
      <c r="O231" s="249">
        <f t="shared" si="1"/>
        <v>1.2858546168958742</v>
      </c>
    </row>
    <row r="232" spans="1:15">
      <c r="A232" s="296" t="s">
        <v>450</v>
      </c>
      <c r="B232" s="263">
        <v>1670000</v>
      </c>
      <c r="J232" s="340" t="s">
        <v>974</v>
      </c>
      <c r="K232" s="2106">
        <v>1521</v>
      </c>
      <c r="L232" s="249">
        <v>304</v>
      </c>
      <c r="M232" s="249">
        <v>1161</v>
      </c>
      <c r="O232" s="249">
        <f t="shared" si="1"/>
        <v>1.3100775193798451</v>
      </c>
    </row>
    <row r="233" spans="1:15">
      <c r="A233" s="296" t="s">
        <v>451</v>
      </c>
      <c r="B233" s="263">
        <v>2010000</v>
      </c>
      <c r="J233" s="340" t="s">
        <v>975</v>
      </c>
      <c r="K233" s="2106">
        <v>1909</v>
      </c>
      <c r="L233" s="249">
        <v>485</v>
      </c>
      <c r="M233" s="249">
        <v>1398</v>
      </c>
      <c r="O233" s="249">
        <f t="shared" si="1"/>
        <v>1.3655221745350501</v>
      </c>
    </row>
    <row r="234" spans="1:15">
      <c r="A234" s="296" t="s">
        <v>452</v>
      </c>
      <c r="B234" s="263">
        <v>2040000</v>
      </c>
      <c r="J234" s="340" t="s">
        <v>976</v>
      </c>
      <c r="K234" s="2106">
        <v>2081</v>
      </c>
      <c r="L234" s="249">
        <v>535</v>
      </c>
      <c r="M234" s="249">
        <v>1543</v>
      </c>
      <c r="O234" s="249">
        <f t="shared" si="1"/>
        <v>1.3486714193130265</v>
      </c>
    </row>
    <row r="235" spans="1:15">
      <c r="A235" s="296" t="s">
        <v>453</v>
      </c>
      <c r="B235" s="263">
        <v>2390000</v>
      </c>
      <c r="J235" s="340" t="s">
        <v>977</v>
      </c>
      <c r="K235" s="2106">
        <v>176</v>
      </c>
      <c r="L235" s="249">
        <v>22</v>
      </c>
      <c r="M235" s="249">
        <v>110</v>
      </c>
      <c r="O235" s="249">
        <f t="shared" si="1"/>
        <v>1.6</v>
      </c>
    </row>
    <row r="236" spans="1:15">
      <c r="A236" s="296" t="s">
        <v>454</v>
      </c>
      <c r="B236" s="263">
        <v>2400000</v>
      </c>
      <c r="J236" s="340" t="s">
        <v>978</v>
      </c>
      <c r="K236" s="2106">
        <v>192</v>
      </c>
      <c r="L236" s="249">
        <v>32.6</v>
      </c>
      <c r="M236" s="249">
        <v>131</v>
      </c>
      <c r="O236" s="249">
        <f t="shared" si="1"/>
        <v>1.4656488549618321</v>
      </c>
    </row>
    <row r="237" spans="1:15">
      <c r="A237" s="296" t="s">
        <v>455</v>
      </c>
      <c r="B237" s="263">
        <v>2540000</v>
      </c>
      <c r="J237" s="340" t="s">
        <v>979</v>
      </c>
      <c r="K237" s="2106">
        <v>246</v>
      </c>
      <c r="L237" s="249">
        <v>42.7</v>
      </c>
      <c r="M237" s="249">
        <v>156</v>
      </c>
      <c r="O237" s="249">
        <f t="shared" si="1"/>
        <v>1.5769230769230769</v>
      </c>
    </row>
    <row r="238" spans="1:15">
      <c r="A238" s="296" t="s">
        <v>456</v>
      </c>
      <c r="B238" s="263">
        <v>2700000</v>
      </c>
      <c r="J238" s="340" t="s">
        <v>980</v>
      </c>
      <c r="K238" s="2106">
        <v>267</v>
      </c>
      <c r="L238" s="249">
        <v>50.6</v>
      </c>
      <c r="M238" s="249">
        <v>191</v>
      </c>
      <c r="O238" s="249">
        <f t="shared" si="1"/>
        <v>1.3979057591623036</v>
      </c>
    </row>
    <row r="239" spans="1:15">
      <c r="A239" s="296" t="s">
        <v>457</v>
      </c>
      <c r="B239" s="263">
        <v>350000</v>
      </c>
      <c r="J239" s="340" t="s">
        <v>985</v>
      </c>
      <c r="K239" s="2106">
        <v>343</v>
      </c>
      <c r="L239" s="249">
        <v>67.5</v>
      </c>
      <c r="M239" s="249">
        <v>261</v>
      </c>
      <c r="O239" s="249">
        <f t="shared" si="1"/>
        <v>1.314176245210728</v>
      </c>
    </row>
    <row r="240" spans="1:15">
      <c r="A240" s="296" t="s">
        <v>458</v>
      </c>
      <c r="B240" s="263">
        <v>3670000</v>
      </c>
      <c r="J240" s="340" t="s">
        <v>981</v>
      </c>
      <c r="K240" s="2106">
        <v>404</v>
      </c>
      <c r="L240" s="249">
        <v>84.2</v>
      </c>
      <c r="M240" s="249">
        <v>294</v>
      </c>
      <c r="O240" s="249">
        <f t="shared" si="1"/>
        <v>1.3741496598639455</v>
      </c>
    </row>
    <row r="241" spans="1:15">
      <c r="A241" s="296" t="s">
        <v>459</v>
      </c>
      <c r="B241" s="263">
        <v>390000</v>
      </c>
      <c r="J241" s="340" t="s">
        <v>982</v>
      </c>
      <c r="K241" s="2106">
        <v>559</v>
      </c>
      <c r="L241" s="249">
        <v>142</v>
      </c>
      <c r="M241" s="249">
        <v>403</v>
      </c>
      <c r="O241" s="249">
        <f t="shared" si="1"/>
        <v>1.3870967741935485</v>
      </c>
    </row>
    <row r="242" spans="1:15">
      <c r="A242" s="296" t="s">
        <v>460</v>
      </c>
      <c r="B242" s="263">
        <v>4570000</v>
      </c>
      <c r="J242" s="340" t="s">
        <v>983</v>
      </c>
      <c r="K242" s="2106">
        <v>692</v>
      </c>
      <c r="L242" s="249">
        <v>168</v>
      </c>
      <c r="M242" s="249">
        <v>501</v>
      </c>
      <c r="O242" s="249">
        <f t="shared" si="1"/>
        <v>1.3812375249500999</v>
      </c>
    </row>
    <row r="243" spans="1:15">
      <c r="A243" s="296" t="s">
        <v>461</v>
      </c>
      <c r="B243" s="263">
        <v>4620000</v>
      </c>
      <c r="J243" s="340" t="s">
        <v>984</v>
      </c>
      <c r="K243" s="2106">
        <v>923</v>
      </c>
      <c r="L243" s="249">
        <v>223</v>
      </c>
      <c r="M243" s="249">
        <v>709</v>
      </c>
      <c r="O243" s="249">
        <f t="shared" ref="O243:O262" si="2">K243/M243</f>
        <v>1.3018335684062059</v>
      </c>
    </row>
    <row r="244" spans="1:15">
      <c r="A244" s="296" t="s">
        <v>462</v>
      </c>
      <c r="B244" s="263">
        <v>4760000</v>
      </c>
      <c r="J244" s="340" t="s">
        <v>986</v>
      </c>
      <c r="K244" s="2106">
        <v>212</v>
      </c>
      <c r="L244" s="249">
        <v>32</v>
      </c>
      <c r="M244" s="249">
        <v>143</v>
      </c>
      <c r="O244" s="249">
        <f t="shared" si="2"/>
        <v>1.4825174825174825</v>
      </c>
    </row>
    <row r="245" spans="1:15">
      <c r="A245" s="296" t="s">
        <v>463</v>
      </c>
      <c r="B245" s="263">
        <v>5380000</v>
      </c>
      <c r="J245" s="340" t="s">
        <v>987</v>
      </c>
      <c r="K245" s="2106">
        <v>231</v>
      </c>
      <c r="L245" s="249">
        <v>42.6</v>
      </c>
      <c r="M245" s="249">
        <v>164</v>
      </c>
      <c r="O245" s="249">
        <f t="shared" si="2"/>
        <v>1.4085365853658536</v>
      </c>
    </row>
    <row r="246" spans="1:15">
      <c r="A246" s="296" t="s">
        <v>464</v>
      </c>
      <c r="B246" s="263">
        <v>5820000</v>
      </c>
      <c r="J246" s="340" t="s">
        <v>988</v>
      </c>
      <c r="K246" s="2106">
        <v>288</v>
      </c>
      <c r="L246" s="249">
        <v>54.7</v>
      </c>
      <c r="M246" s="249">
        <v>199</v>
      </c>
      <c r="O246" s="249">
        <f t="shared" si="2"/>
        <v>1.4472361809045227</v>
      </c>
    </row>
    <row r="247" spans="1:15">
      <c r="A247" s="296" t="s">
        <v>465</v>
      </c>
      <c r="B247" s="263">
        <v>6270000</v>
      </c>
      <c r="J247" s="340" t="s">
        <v>989</v>
      </c>
      <c r="K247" s="2106">
        <v>323</v>
      </c>
      <c r="L247" s="249">
        <v>63.6</v>
      </c>
      <c r="M247" s="249">
        <v>236</v>
      </c>
      <c r="O247" s="249">
        <f t="shared" si="2"/>
        <v>1.3686440677966101</v>
      </c>
    </row>
    <row r="248" spans="1:15">
      <c r="A248" s="296" t="s">
        <v>466</v>
      </c>
      <c r="B248" s="263">
        <v>6720000</v>
      </c>
      <c r="J248" s="340" t="s">
        <v>990</v>
      </c>
      <c r="K248" s="2106">
        <v>403</v>
      </c>
      <c r="L248" s="249">
        <v>82.5</v>
      </c>
      <c r="M248" s="249">
        <v>303</v>
      </c>
      <c r="O248" s="249">
        <f t="shared" si="2"/>
        <v>1.33003300330033</v>
      </c>
    </row>
    <row r="249" spans="1:15">
      <c r="A249" s="296" t="s">
        <v>467</v>
      </c>
      <c r="B249" s="264">
        <v>7390000</v>
      </c>
      <c r="J249" s="340" t="s">
        <v>991</v>
      </c>
      <c r="K249" s="2106">
        <v>467</v>
      </c>
      <c r="L249" s="249">
        <v>104.5</v>
      </c>
      <c r="M249" s="249">
        <v>346</v>
      </c>
      <c r="O249" s="249">
        <f t="shared" si="2"/>
        <v>1.3497109826589595</v>
      </c>
    </row>
    <row r="250" spans="1:15">
      <c r="A250" s="296" t="s">
        <v>468</v>
      </c>
      <c r="B250" s="264">
        <v>9500000</v>
      </c>
      <c r="J250" s="340" t="s">
        <v>992</v>
      </c>
      <c r="K250" s="2106">
        <v>649</v>
      </c>
      <c r="L250" s="249">
        <v>171</v>
      </c>
      <c r="M250" s="249">
        <v>477</v>
      </c>
      <c r="O250" s="249">
        <f t="shared" si="2"/>
        <v>1.3605870020964361</v>
      </c>
    </row>
    <row r="251" spans="1:15">
      <c r="A251" s="296" t="s">
        <v>469</v>
      </c>
      <c r="B251" s="264">
        <v>11400000</v>
      </c>
      <c r="J251" s="340" t="s">
        <v>993</v>
      </c>
      <c r="K251" s="2106">
        <v>762</v>
      </c>
      <c r="L251" s="249">
        <v>197</v>
      </c>
      <c r="M251" s="249">
        <v>550</v>
      </c>
      <c r="O251" s="249">
        <f t="shared" si="2"/>
        <v>1.3854545454545455</v>
      </c>
    </row>
    <row r="252" spans="1:15">
      <c r="A252" s="296" t="s">
        <v>470</v>
      </c>
      <c r="B252" s="263">
        <v>14200000</v>
      </c>
      <c r="J252" s="340" t="s">
        <v>994</v>
      </c>
      <c r="K252" s="2106">
        <v>1101</v>
      </c>
      <c r="L252" s="249">
        <v>271</v>
      </c>
      <c r="M252" s="249">
        <v>842</v>
      </c>
      <c r="O252" s="249">
        <f t="shared" si="2"/>
        <v>1.3076009501187649</v>
      </c>
    </row>
    <row r="253" spans="1:15">
      <c r="A253" s="301" t="s">
        <v>471</v>
      </c>
      <c r="B253" s="263">
        <v>17000000</v>
      </c>
      <c r="J253" s="340" t="s">
        <v>995</v>
      </c>
      <c r="K253" s="2106">
        <v>1299</v>
      </c>
      <c r="L253" s="249">
        <v>300</v>
      </c>
      <c r="M253" s="249">
        <v>942</v>
      </c>
      <c r="O253" s="249">
        <f t="shared" si="2"/>
        <v>1.3789808917197452</v>
      </c>
    </row>
    <row r="254" spans="1:15">
      <c r="A254" s="254" t="s">
        <v>472</v>
      </c>
      <c r="B254" s="270">
        <v>21100000</v>
      </c>
      <c r="J254" s="340" t="s">
        <v>996</v>
      </c>
      <c r="K254" s="2106">
        <v>1700</v>
      </c>
      <c r="L254" s="249">
        <v>481.5</v>
      </c>
      <c r="M254" s="249">
        <v>1196</v>
      </c>
      <c r="O254" s="249">
        <f t="shared" si="2"/>
        <v>1.4214046822742474</v>
      </c>
    </row>
    <row r="255" spans="1:15">
      <c r="A255" s="254" t="s">
        <v>473</v>
      </c>
      <c r="B255" s="270">
        <v>23700000</v>
      </c>
      <c r="J255" s="340" t="s">
        <v>997</v>
      </c>
      <c r="K255" s="2106">
        <v>1900</v>
      </c>
      <c r="L255" s="249">
        <v>530</v>
      </c>
      <c r="M255" s="249">
        <v>1335</v>
      </c>
      <c r="O255" s="249">
        <f t="shared" si="2"/>
        <v>1.4232209737827715</v>
      </c>
    </row>
    <row r="256" spans="1:15">
      <c r="A256" s="271" t="s">
        <v>474</v>
      </c>
      <c r="B256" s="272">
        <v>380000</v>
      </c>
      <c r="J256" s="340" t="s">
        <v>998</v>
      </c>
      <c r="K256" s="2106">
        <v>724</v>
      </c>
      <c r="L256" s="249">
        <v>107</v>
      </c>
      <c r="M256" s="249">
        <v>537</v>
      </c>
      <c r="O256" s="249">
        <f t="shared" si="2"/>
        <v>1.3482309124767224</v>
      </c>
    </row>
    <row r="257" spans="1:15">
      <c r="A257" s="271" t="s">
        <v>475</v>
      </c>
      <c r="B257" s="258">
        <v>450000</v>
      </c>
      <c r="J257" s="340" t="s">
        <v>999</v>
      </c>
      <c r="K257" s="2106">
        <v>984</v>
      </c>
      <c r="L257" s="249">
        <v>174</v>
      </c>
      <c r="M257" s="249">
        <v>718</v>
      </c>
      <c r="O257" s="249">
        <f t="shared" si="2"/>
        <v>1.3704735376044568</v>
      </c>
    </row>
    <row r="258" spans="1:15">
      <c r="A258" s="271" t="s">
        <v>476</v>
      </c>
      <c r="B258" s="258">
        <v>510000</v>
      </c>
      <c r="J258" s="340" t="s">
        <v>1000</v>
      </c>
      <c r="K258" s="2106">
        <v>1113</v>
      </c>
      <c r="L258" s="249">
        <v>200</v>
      </c>
      <c r="M258" s="249">
        <v>796</v>
      </c>
      <c r="O258" s="249">
        <f t="shared" si="2"/>
        <v>1.3982412060301508</v>
      </c>
    </row>
    <row r="259" spans="1:15">
      <c r="A259" s="271" t="s">
        <v>477</v>
      </c>
      <c r="B259" s="272">
        <v>560000</v>
      </c>
      <c r="J259" s="340" t="s">
        <v>1001</v>
      </c>
      <c r="K259" s="2106">
        <v>1440</v>
      </c>
      <c r="L259" s="249">
        <v>274</v>
      </c>
      <c r="M259" s="249">
        <v>1071</v>
      </c>
      <c r="O259" s="249">
        <f t="shared" si="2"/>
        <v>1.3445378151260505</v>
      </c>
    </row>
    <row r="260" spans="1:15">
      <c r="A260" s="271" t="s">
        <v>478</v>
      </c>
      <c r="B260" s="272">
        <v>570000</v>
      </c>
      <c r="J260" s="340" t="s">
        <v>1002</v>
      </c>
      <c r="K260" s="2106">
        <v>1673</v>
      </c>
      <c r="L260" s="249">
        <v>304</v>
      </c>
      <c r="M260" s="249">
        <v>1172</v>
      </c>
      <c r="O260" s="249">
        <f t="shared" si="2"/>
        <v>1.4274744027303754</v>
      </c>
    </row>
    <row r="261" spans="1:15">
      <c r="A261" s="271" t="s">
        <v>479</v>
      </c>
      <c r="B261" s="272">
        <v>610000</v>
      </c>
      <c r="J261" s="340" t="s">
        <v>1003</v>
      </c>
      <c r="K261" s="2107">
        <v>2100</v>
      </c>
      <c r="L261" s="249">
        <v>485</v>
      </c>
      <c r="M261" s="249">
        <v>1316</v>
      </c>
      <c r="O261" s="249">
        <f t="shared" si="2"/>
        <v>1.5957446808510638</v>
      </c>
    </row>
    <row r="262" spans="1:15">
      <c r="A262" s="271" t="s">
        <v>480</v>
      </c>
      <c r="B262" s="272">
        <v>620000</v>
      </c>
      <c r="J262" s="353" t="s">
        <v>1004</v>
      </c>
      <c r="K262" s="2108">
        <v>2289</v>
      </c>
      <c r="L262" s="249">
        <v>535</v>
      </c>
      <c r="M262" s="249">
        <v>1524</v>
      </c>
      <c r="O262" s="249">
        <f t="shared" si="2"/>
        <v>1.5019685039370079</v>
      </c>
    </row>
    <row r="263" spans="1:15">
      <c r="A263" s="271" t="s">
        <v>481</v>
      </c>
      <c r="B263" s="258">
        <v>670000</v>
      </c>
      <c r="J263" s="351" t="s">
        <v>1033</v>
      </c>
      <c r="K263" s="2109">
        <v>75</v>
      </c>
      <c r="L263" s="249">
        <v>10</v>
      </c>
    </row>
    <row r="264" spans="1:15">
      <c r="A264" s="257" t="s">
        <v>482</v>
      </c>
      <c r="B264" s="258">
        <v>770000</v>
      </c>
      <c r="J264" s="351" t="s">
        <v>1034</v>
      </c>
      <c r="K264" s="2109">
        <v>100</v>
      </c>
      <c r="L264" s="249">
        <v>12</v>
      </c>
    </row>
    <row r="265" spans="1:15">
      <c r="A265" s="271" t="s">
        <v>483</v>
      </c>
      <c r="B265" s="258">
        <v>870000</v>
      </c>
      <c r="J265" s="351" t="s">
        <v>1035</v>
      </c>
      <c r="K265" s="2109">
        <v>350</v>
      </c>
      <c r="L265" s="249">
        <v>33</v>
      </c>
    </row>
    <row r="266" spans="1:15">
      <c r="A266" s="271" t="s">
        <v>484</v>
      </c>
      <c r="B266" s="272">
        <v>960000</v>
      </c>
      <c r="J266" s="351" t="s">
        <v>1036</v>
      </c>
      <c r="K266" s="2109">
        <v>450</v>
      </c>
      <c r="L266" s="249">
        <v>38</v>
      </c>
    </row>
    <row r="267" spans="1:15">
      <c r="A267" s="257" t="s">
        <v>485</v>
      </c>
      <c r="B267" s="272">
        <v>1120000</v>
      </c>
      <c r="J267" s="351" t="s">
        <v>1037</v>
      </c>
      <c r="K267" s="2109">
        <v>500</v>
      </c>
      <c r="L267" s="249">
        <v>51</v>
      </c>
    </row>
    <row r="268" spans="1:15">
      <c r="A268" s="271" t="s">
        <v>486</v>
      </c>
      <c r="B268" s="258">
        <v>1170000</v>
      </c>
      <c r="J268" s="351" t="s">
        <v>1038</v>
      </c>
      <c r="K268" s="2109">
        <v>650</v>
      </c>
      <c r="L268" s="249">
        <v>74</v>
      </c>
    </row>
    <row r="269" spans="1:15">
      <c r="A269" s="271" t="s">
        <v>487</v>
      </c>
      <c r="B269" s="258">
        <v>1250000</v>
      </c>
      <c r="J269" s="351" t="s">
        <v>1039</v>
      </c>
      <c r="K269" s="2109">
        <v>800</v>
      </c>
      <c r="L269" s="249">
        <v>83</v>
      </c>
    </row>
    <row r="270" spans="1:15">
      <c r="A270" s="271" t="s">
        <v>488</v>
      </c>
      <c r="B270" s="272">
        <v>1390000</v>
      </c>
      <c r="J270" s="351" t="s">
        <v>1040</v>
      </c>
      <c r="K270" s="2109">
        <v>850</v>
      </c>
      <c r="L270" s="249">
        <v>94</v>
      </c>
    </row>
    <row r="271" spans="1:15">
      <c r="A271" s="271" t="s">
        <v>489</v>
      </c>
      <c r="B271" s="258">
        <v>1510000</v>
      </c>
      <c r="J271" s="351" t="s">
        <v>1041</v>
      </c>
      <c r="K271" s="2109">
        <v>200</v>
      </c>
    </row>
    <row r="272" spans="1:15">
      <c r="A272" s="257" t="s">
        <v>490</v>
      </c>
      <c r="B272" s="258">
        <v>1670000</v>
      </c>
      <c r="J272" s="351" t="s">
        <v>1045</v>
      </c>
      <c r="K272" s="2110">
        <v>153</v>
      </c>
      <c r="L272" s="249">
        <v>49</v>
      </c>
      <c r="M272" s="249">
        <v>141</v>
      </c>
    </row>
    <row r="273" spans="1:13">
      <c r="A273" s="271" t="s">
        <v>491</v>
      </c>
      <c r="B273" s="258">
        <v>2140000</v>
      </c>
      <c r="J273" s="351" t="s">
        <v>1046</v>
      </c>
      <c r="K273" s="2110">
        <v>168</v>
      </c>
      <c r="L273" s="249">
        <v>60</v>
      </c>
      <c r="M273" s="249">
        <v>155</v>
      </c>
    </row>
    <row r="274" spans="1:13">
      <c r="A274" s="271" t="s">
        <v>492</v>
      </c>
      <c r="B274" s="258">
        <v>2230000</v>
      </c>
      <c r="J274" s="351" t="s">
        <v>1047</v>
      </c>
      <c r="K274" s="2110">
        <v>189</v>
      </c>
      <c r="L274" s="249">
        <v>63</v>
      </c>
      <c r="M274" s="249">
        <v>174</v>
      </c>
    </row>
    <row r="275" spans="1:13">
      <c r="A275" s="271" t="s">
        <v>493</v>
      </c>
      <c r="B275" s="258">
        <v>2430000</v>
      </c>
      <c r="J275" s="351" t="s">
        <v>1048</v>
      </c>
      <c r="K275" s="2110">
        <v>235</v>
      </c>
      <c r="L275" s="249">
        <v>77</v>
      </c>
      <c r="M275" s="249">
        <v>217</v>
      </c>
    </row>
    <row r="276" spans="1:13">
      <c r="A276" s="271" t="s">
        <v>494</v>
      </c>
      <c r="B276" s="258">
        <v>2500000</v>
      </c>
      <c r="J276" s="351" t="s">
        <v>1049</v>
      </c>
      <c r="K276" s="2110">
        <v>273</v>
      </c>
      <c r="L276" s="249">
        <v>87</v>
      </c>
      <c r="M276" s="249">
        <v>252</v>
      </c>
    </row>
    <row r="277" spans="1:13">
      <c r="A277" s="271" t="s">
        <v>495</v>
      </c>
      <c r="B277" s="258">
        <v>2520000</v>
      </c>
      <c r="J277" s="351" t="s">
        <v>1050</v>
      </c>
      <c r="K277" s="2110">
        <v>419</v>
      </c>
      <c r="L277" s="249">
        <v>110</v>
      </c>
      <c r="M277" s="249">
        <v>404</v>
      </c>
    </row>
    <row r="278" spans="1:13">
      <c r="A278" s="257" t="s">
        <v>496</v>
      </c>
      <c r="B278" s="258">
        <v>2760000</v>
      </c>
      <c r="J278" s="351" t="s">
        <v>1051</v>
      </c>
      <c r="K278" s="2110">
        <v>526</v>
      </c>
      <c r="L278" s="249">
        <v>120</v>
      </c>
      <c r="M278" s="249">
        <v>507</v>
      </c>
    </row>
    <row r="279" spans="1:13">
      <c r="A279" s="271" t="s">
        <v>497</v>
      </c>
      <c r="B279" s="272">
        <v>4420000</v>
      </c>
      <c r="J279" s="351" t="s">
        <v>1052</v>
      </c>
      <c r="K279" s="2110">
        <v>591</v>
      </c>
      <c r="L279" s="249">
        <v>142</v>
      </c>
      <c r="M279" s="249">
        <v>570</v>
      </c>
    </row>
    <row r="280" spans="1:13">
      <c r="A280" s="271" t="s">
        <v>498</v>
      </c>
      <c r="B280" s="258">
        <v>4450000</v>
      </c>
      <c r="J280" s="351" t="s">
        <v>1053</v>
      </c>
      <c r="K280" s="2110">
        <v>833</v>
      </c>
      <c r="L280" s="249">
        <v>197</v>
      </c>
      <c r="M280" s="249">
        <v>804</v>
      </c>
    </row>
    <row r="281" spans="1:13">
      <c r="A281" s="271" t="s">
        <v>499</v>
      </c>
      <c r="B281" s="272">
        <v>4900000</v>
      </c>
      <c r="J281" s="351" t="s">
        <v>1054</v>
      </c>
      <c r="K281" s="2110">
        <v>1012</v>
      </c>
      <c r="L281" s="249">
        <v>267</v>
      </c>
      <c r="M281" s="249">
        <v>977</v>
      </c>
    </row>
    <row r="282" spans="1:13">
      <c r="A282" s="271" t="s">
        <v>500</v>
      </c>
      <c r="B282" s="258">
        <v>4900000</v>
      </c>
      <c r="J282" s="351" t="s">
        <v>1055</v>
      </c>
      <c r="K282" s="2110">
        <v>1253</v>
      </c>
      <c r="L282" s="249">
        <v>347</v>
      </c>
      <c r="M282" s="249">
        <v>1210</v>
      </c>
    </row>
    <row r="283" spans="1:13">
      <c r="A283" s="271" t="s">
        <v>501</v>
      </c>
      <c r="B283" s="272">
        <v>5400000</v>
      </c>
      <c r="J283" s="351" t="s">
        <v>1056</v>
      </c>
      <c r="K283" s="2110">
        <v>1429</v>
      </c>
      <c r="L283" s="249">
        <v>411</v>
      </c>
      <c r="M283" s="249">
        <v>1380</v>
      </c>
    </row>
    <row r="284" spans="1:13">
      <c r="A284" s="271" t="s">
        <v>502</v>
      </c>
      <c r="B284" s="258">
        <v>5400000</v>
      </c>
    </row>
    <row r="285" spans="1:13">
      <c r="A285" s="271" t="s">
        <v>503</v>
      </c>
      <c r="B285" s="272">
        <v>6200000</v>
      </c>
    </row>
    <row r="286" spans="1:13">
      <c r="A286" s="271" t="s">
        <v>504</v>
      </c>
      <c r="B286" s="258">
        <v>6300000</v>
      </c>
    </row>
    <row r="287" spans="1:13">
      <c r="A287" s="271" t="s">
        <v>505</v>
      </c>
      <c r="B287" s="258">
        <v>7300000</v>
      </c>
    </row>
    <row r="288" spans="1:13">
      <c r="A288" s="271" t="s">
        <v>506</v>
      </c>
      <c r="B288" s="272">
        <v>540000</v>
      </c>
    </row>
    <row r="289" spans="1:2">
      <c r="A289" s="271" t="s">
        <v>507</v>
      </c>
      <c r="B289" s="258">
        <v>590000</v>
      </c>
    </row>
    <row r="290" spans="1:2">
      <c r="A290" s="271" t="s">
        <v>508</v>
      </c>
      <c r="B290" s="258">
        <v>600000</v>
      </c>
    </row>
    <row r="291" spans="1:2">
      <c r="A291" s="271" t="s">
        <v>509</v>
      </c>
      <c r="B291" s="258">
        <v>650000</v>
      </c>
    </row>
    <row r="292" spans="1:2">
      <c r="A292" s="271" t="s">
        <v>510</v>
      </c>
      <c r="B292" s="272">
        <v>680000</v>
      </c>
    </row>
    <row r="293" spans="1:2">
      <c r="A293" s="271" t="s">
        <v>511</v>
      </c>
      <c r="B293" s="272">
        <v>800000</v>
      </c>
    </row>
    <row r="294" spans="1:2">
      <c r="A294" s="271" t="s">
        <v>512</v>
      </c>
      <c r="B294" s="258">
        <v>850000</v>
      </c>
    </row>
    <row r="295" spans="1:2">
      <c r="A295" s="271" t="s">
        <v>513</v>
      </c>
      <c r="B295" s="258">
        <v>940000</v>
      </c>
    </row>
    <row r="296" spans="1:2">
      <c r="A296" s="257" t="s">
        <v>514</v>
      </c>
      <c r="B296" s="258">
        <v>10550000</v>
      </c>
    </row>
    <row r="297" spans="1:2">
      <c r="A297" s="271" t="s">
        <v>515</v>
      </c>
      <c r="B297" s="258">
        <v>1170000</v>
      </c>
    </row>
    <row r="298" spans="1:2">
      <c r="A298" s="271" t="s">
        <v>516</v>
      </c>
      <c r="B298" s="258">
        <v>1340000</v>
      </c>
    </row>
    <row r="299" spans="1:2">
      <c r="A299" s="257" t="s">
        <v>517</v>
      </c>
      <c r="B299" s="258">
        <v>1530000</v>
      </c>
    </row>
    <row r="300" spans="1:2">
      <c r="A300" s="271" t="s">
        <v>518</v>
      </c>
      <c r="B300" s="258">
        <v>1690000</v>
      </c>
    </row>
    <row r="301" spans="1:2">
      <c r="A301" s="271" t="s">
        <v>519</v>
      </c>
      <c r="B301" s="272">
        <v>1750000</v>
      </c>
    </row>
    <row r="302" spans="1:2">
      <c r="A302" s="271" t="s">
        <v>520</v>
      </c>
      <c r="B302" s="272">
        <v>1879000</v>
      </c>
    </row>
    <row r="303" spans="1:2">
      <c r="A303" s="271" t="s">
        <v>521</v>
      </c>
      <c r="B303" s="272">
        <v>2020000</v>
      </c>
    </row>
    <row r="304" spans="1:2">
      <c r="A304" s="257" t="s">
        <v>522</v>
      </c>
      <c r="B304" s="258">
        <v>2260000</v>
      </c>
    </row>
    <row r="305" spans="1:2">
      <c r="A305" s="271" t="s">
        <v>523</v>
      </c>
      <c r="B305" s="258">
        <v>2900000</v>
      </c>
    </row>
    <row r="306" spans="1:2">
      <c r="A306" s="271" t="s">
        <v>524</v>
      </c>
      <c r="B306" s="258">
        <v>2900000</v>
      </c>
    </row>
    <row r="307" spans="1:2">
      <c r="A307" s="271" t="s">
        <v>525</v>
      </c>
      <c r="B307" s="258">
        <v>3550000</v>
      </c>
    </row>
    <row r="308" spans="1:2">
      <c r="A308" s="271" t="s">
        <v>526</v>
      </c>
      <c r="B308" s="258">
        <v>3590000</v>
      </c>
    </row>
    <row r="309" spans="1:2">
      <c r="A309" s="271" t="s">
        <v>527</v>
      </c>
      <c r="B309" s="272">
        <v>3610000</v>
      </c>
    </row>
    <row r="310" spans="1:2">
      <c r="A310" s="257" t="s">
        <v>528</v>
      </c>
      <c r="B310" s="272">
        <v>3940000</v>
      </c>
    </row>
    <row r="311" spans="1:2">
      <c r="A311" s="271" t="s">
        <v>529</v>
      </c>
      <c r="B311" s="272">
        <v>5120000</v>
      </c>
    </row>
    <row r="312" spans="1:2">
      <c r="A312" s="271" t="s">
        <v>530</v>
      </c>
      <c r="B312" s="258">
        <v>5090000</v>
      </c>
    </row>
    <row r="313" spans="1:2">
      <c r="A313" s="271" t="s">
        <v>531</v>
      </c>
      <c r="B313" s="272">
        <v>5700000</v>
      </c>
    </row>
    <row r="314" spans="1:2">
      <c r="A314" s="271" t="s">
        <v>532</v>
      </c>
      <c r="B314" s="258">
        <v>5600000</v>
      </c>
    </row>
    <row r="315" spans="1:2">
      <c r="A315" s="271" t="s">
        <v>533</v>
      </c>
      <c r="B315" s="258">
        <v>6200000</v>
      </c>
    </row>
    <row r="316" spans="1:2">
      <c r="A316" s="271" t="s">
        <v>534</v>
      </c>
      <c r="B316" s="258">
        <v>6000000</v>
      </c>
    </row>
    <row r="317" spans="1:2">
      <c r="A317" s="271" t="s">
        <v>535</v>
      </c>
      <c r="B317" s="272">
        <v>7200000</v>
      </c>
    </row>
    <row r="318" spans="1:2">
      <c r="A318" s="271" t="s">
        <v>536</v>
      </c>
      <c r="B318" s="272">
        <v>7900000</v>
      </c>
    </row>
    <row r="319" spans="1:2">
      <c r="A319" s="271" t="s">
        <v>537</v>
      </c>
      <c r="B319" s="272">
        <v>9500000</v>
      </c>
    </row>
    <row r="320" spans="1:2">
      <c r="A320" s="271" t="s">
        <v>538</v>
      </c>
      <c r="B320" s="272">
        <v>14400000</v>
      </c>
    </row>
    <row r="321" spans="1:2">
      <c r="A321" s="271" t="s">
        <v>539</v>
      </c>
      <c r="B321" s="272">
        <v>21000000</v>
      </c>
    </row>
    <row r="322" spans="1:2">
      <c r="A322" s="271" t="s">
        <v>540</v>
      </c>
      <c r="B322" s="273">
        <v>700000</v>
      </c>
    </row>
    <row r="323" spans="1:2">
      <c r="A323" s="271" t="s">
        <v>541</v>
      </c>
      <c r="B323" s="273">
        <v>770000</v>
      </c>
    </row>
    <row r="324" spans="1:2">
      <c r="A324" s="271" t="s">
        <v>542</v>
      </c>
      <c r="B324" s="273">
        <v>780000</v>
      </c>
    </row>
    <row r="325" spans="1:2">
      <c r="A325" s="271" t="s">
        <v>543</v>
      </c>
      <c r="B325" s="273">
        <v>780000</v>
      </c>
    </row>
    <row r="326" spans="1:2">
      <c r="A326" s="271" t="s">
        <v>544</v>
      </c>
      <c r="B326" s="273">
        <v>850000</v>
      </c>
    </row>
    <row r="327" spans="1:2">
      <c r="A327" s="271" t="s">
        <v>545</v>
      </c>
      <c r="B327" s="274">
        <v>960000</v>
      </c>
    </row>
    <row r="328" spans="1:2">
      <c r="A328" s="271" t="s">
        <v>546</v>
      </c>
      <c r="B328" s="273">
        <v>1070000</v>
      </c>
    </row>
    <row r="329" spans="1:2">
      <c r="A329" s="271" t="s">
        <v>547</v>
      </c>
      <c r="B329" s="274">
        <v>1170000</v>
      </c>
    </row>
    <row r="330" spans="1:2">
      <c r="A330" s="257" t="s">
        <v>548</v>
      </c>
      <c r="B330" s="274">
        <v>1350000</v>
      </c>
    </row>
    <row r="331" spans="1:2">
      <c r="A331" s="271" t="s">
        <v>549</v>
      </c>
      <c r="B331" s="273">
        <v>1460000</v>
      </c>
    </row>
    <row r="332" spans="1:2">
      <c r="A332" s="271" t="s">
        <v>550</v>
      </c>
      <c r="B332" s="273">
        <v>1630000</v>
      </c>
    </row>
    <row r="333" spans="1:2">
      <c r="A333" s="257" t="s">
        <v>551</v>
      </c>
      <c r="B333" s="274">
        <v>1670000</v>
      </c>
    </row>
    <row r="334" spans="1:2">
      <c r="A334" s="271" t="s">
        <v>552</v>
      </c>
      <c r="B334" s="273">
        <v>2070000</v>
      </c>
    </row>
    <row r="335" spans="1:2">
      <c r="A335" s="271" t="s">
        <v>553</v>
      </c>
      <c r="B335" s="273">
        <v>2110000</v>
      </c>
    </row>
    <row r="336" spans="1:2">
      <c r="A336" s="271" t="s">
        <v>554</v>
      </c>
      <c r="B336" s="274">
        <v>2220000</v>
      </c>
    </row>
    <row r="337" spans="1:2">
      <c r="A337" s="271" t="s">
        <v>555</v>
      </c>
      <c r="B337" s="274">
        <v>2430000</v>
      </c>
    </row>
    <row r="338" spans="1:2">
      <c r="A338" s="257" t="s">
        <v>556</v>
      </c>
      <c r="B338" s="273">
        <v>2700000</v>
      </c>
    </row>
    <row r="339" spans="1:2">
      <c r="A339" s="271" t="s">
        <v>557</v>
      </c>
      <c r="B339" s="273">
        <v>3560000</v>
      </c>
    </row>
    <row r="340" spans="1:2">
      <c r="A340" s="271" t="s">
        <v>558</v>
      </c>
      <c r="B340" s="274">
        <v>3560000</v>
      </c>
    </row>
    <row r="341" spans="1:2">
      <c r="A341" s="271" t="s">
        <v>559</v>
      </c>
      <c r="B341" s="273">
        <v>4470000</v>
      </c>
    </row>
    <row r="342" spans="1:2">
      <c r="A342" s="271" t="s">
        <v>560</v>
      </c>
      <c r="B342" s="273">
        <v>4560000</v>
      </c>
    </row>
    <row r="343" spans="1:2">
      <c r="A343" s="271" t="s">
        <v>561</v>
      </c>
      <c r="B343" s="273">
        <v>4840000</v>
      </c>
    </row>
    <row r="344" spans="1:2">
      <c r="A344" s="257" t="s">
        <v>562</v>
      </c>
      <c r="B344" s="273">
        <v>4940000</v>
      </c>
    </row>
    <row r="345" spans="1:2">
      <c r="A345" s="271" t="s">
        <v>563</v>
      </c>
      <c r="B345" s="273">
        <v>6760000</v>
      </c>
    </row>
    <row r="346" spans="1:2">
      <c r="A346" s="271" t="s">
        <v>564</v>
      </c>
      <c r="B346" s="273">
        <v>7440000</v>
      </c>
    </row>
    <row r="347" spans="1:2">
      <c r="A347" s="271" t="s">
        <v>565</v>
      </c>
      <c r="B347" s="273">
        <v>8100000</v>
      </c>
    </row>
    <row r="348" spans="1:2">
      <c r="A348" s="271" t="s">
        <v>566</v>
      </c>
      <c r="B348" s="273">
        <v>8200000</v>
      </c>
    </row>
    <row r="349" spans="1:2">
      <c r="A349" s="271" t="s">
        <v>567</v>
      </c>
      <c r="B349" s="273">
        <v>8800000</v>
      </c>
    </row>
    <row r="350" spans="1:2">
      <c r="A350" s="271" t="s">
        <v>568</v>
      </c>
      <c r="B350" s="275">
        <v>9100000</v>
      </c>
    </row>
    <row r="351" spans="1:2">
      <c r="A351" s="271" t="s">
        <v>569</v>
      </c>
      <c r="B351" s="273">
        <v>9700000</v>
      </c>
    </row>
    <row r="352" spans="1:2">
      <c r="A352" s="271" t="s">
        <v>570</v>
      </c>
      <c r="B352" s="273">
        <v>10700000</v>
      </c>
    </row>
    <row r="353" spans="1:4">
      <c r="A353" s="271" t="s">
        <v>571</v>
      </c>
      <c r="B353" s="273">
        <v>12500000</v>
      </c>
    </row>
    <row r="354" spans="1:4">
      <c r="A354" s="271" t="s">
        <v>572</v>
      </c>
      <c r="B354" s="274">
        <v>18500000</v>
      </c>
    </row>
    <row r="355" spans="1:4">
      <c r="A355" s="271" t="s">
        <v>573</v>
      </c>
      <c r="B355" s="273">
        <v>22000000</v>
      </c>
    </row>
    <row r="356" spans="1:4">
      <c r="A356" s="271" t="s">
        <v>574</v>
      </c>
      <c r="B356" s="273">
        <v>25000000</v>
      </c>
    </row>
    <row r="357" spans="1:4">
      <c r="A357" s="271" t="s">
        <v>575</v>
      </c>
      <c r="B357" s="273">
        <v>34000000</v>
      </c>
    </row>
    <row r="358" spans="1:4">
      <c r="A358" s="271" t="s">
        <v>576</v>
      </c>
      <c r="B358" s="273">
        <v>82000000</v>
      </c>
    </row>
    <row r="359" spans="1:4">
      <c r="A359" s="271" t="s">
        <v>577</v>
      </c>
      <c r="B359" s="273">
        <v>83000000</v>
      </c>
    </row>
    <row r="360" spans="1:4">
      <c r="A360" s="276" t="s">
        <v>578</v>
      </c>
      <c r="B360" s="277">
        <v>3930000</v>
      </c>
      <c r="D360" s="366"/>
    </row>
    <row r="361" spans="1:4">
      <c r="A361" s="278" t="s">
        <v>579</v>
      </c>
      <c r="B361" s="279">
        <v>4280000</v>
      </c>
    </row>
    <row r="362" spans="1:4">
      <c r="A362" s="280" t="s">
        <v>580</v>
      </c>
      <c r="B362" s="281">
        <v>4760000</v>
      </c>
    </row>
    <row r="363" spans="1:4">
      <c r="A363" s="280" t="s">
        <v>581</v>
      </c>
      <c r="B363" s="282">
        <v>5310000</v>
      </c>
    </row>
    <row r="364" spans="1:4" ht="15.75" customHeight="1">
      <c r="A364" s="280" t="s">
        <v>582</v>
      </c>
      <c r="B364" s="282">
        <v>5800000</v>
      </c>
    </row>
    <row r="365" spans="1:4">
      <c r="A365" s="280" t="s">
        <v>583</v>
      </c>
      <c r="B365" s="282">
        <v>6600000</v>
      </c>
    </row>
    <row r="366" spans="1:4">
      <c r="A366" s="280" t="s">
        <v>584</v>
      </c>
      <c r="B366" s="281">
        <v>7400000</v>
      </c>
    </row>
    <row r="367" spans="1:4">
      <c r="A367" s="280" t="s">
        <v>585</v>
      </c>
      <c r="B367" s="282">
        <v>7500000</v>
      </c>
    </row>
    <row r="368" spans="1:4">
      <c r="A368" s="280" t="s">
        <v>586</v>
      </c>
      <c r="B368" s="281">
        <v>8200000</v>
      </c>
    </row>
    <row r="369" spans="1:2">
      <c r="A369" s="280" t="s">
        <v>587</v>
      </c>
      <c r="B369" s="281">
        <v>8700000</v>
      </c>
    </row>
    <row r="370" spans="1:2">
      <c r="A370" s="280" t="s">
        <v>588</v>
      </c>
      <c r="B370" s="281">
        <v>9300000</v>
      </c>
    </row>
    <row r="371" spans="1:2">
      <c r="A371" s="280" t="s">
        <v>589</v>
      </c>
      <c r="B371" s="281">
        <v>10100000</v>
      </c>
    </row>
    <row r="372" spans="1:2">
      <c r="A372" s="283" t="s">
        <v>590</v>
      </c>
      <c r="B372" s="282">
        <v>11100000</v>
      </c>
    </row>
    <row r="373" spans="1:2">
      <c r="A373" s="280" t="s">
        <v>591</v>
      </c>
      <c r="B373" s="281">
        <v>11300000</v>
      </c>
    </row>
    <row r="374" spans="1:2">
      <c r="A374" s="280" t="s">
        <v>592</v>
      </c>
      <c r="B374" s="281">
        <v>12100000</v>
      </c>
    </row>
    <row r="375" spans="1:2">
      <c r="A375" s="280" t="s">
        <v>593</v>
      </c>
      <c r="B375" s="281">
        <v>12300000</v>
      </c>
    </row>
    <row r="376" spans="1:2">
      <c r="A376" s="280" t="s">
        <v>594</v>
      </c>
      <c r="B376" s="281">
        <v>13100000</v>
      </c>
    </row>
    <row r="377" spans="1:2">
      <c r="A377" s="280" t="s">
        <v>595</v>
      </c>
      <c r="B377" s="281">
        <v>13600000</v>
      </c>
    </row>
    <row r="378" spans="1:2">
      <c r="A378" s="280" t="s">
        <v>596</v>
      </c>
      <c r="B378" s="281">
        <v>14900000</v>
      </c>
    </row>
    <row r="379" spans="1:2">
      <c r="A379" s="280" t="s">
        <v>597</v>
      </c>
      <c r="B379" s="281">
        <v>18800000</v>
      </c>
    </row>
    <row r="380" spans="1:2">
      <c r="A380" s="280" t="s">
        <v>598</v>
      </c>
      <c r="B380" s="282">
        <v>24800000</v>
      </c>
    </row>
    <row r="381" spans="1:2">
      <c r="A381" s="284" t="s">
        <v>599</v>
      </c>
      <c r="B381" s="282">
        <v>31000000</v>
      </c>
    </row>
    <row r="382" spans="1:2">
      <c r="A382" s="285" t="s">
        <v>600</v>
      </c>
      <c r="B382" s="281">
        <v>37000000</v>
      </c>
    </row>
    <row r="383" spans="1:2">
      <c r="A383" s="280" t="s">
        <v>601</v>
      </c>
      <c r="B383" s="282">
        <v>46000000</v>
      </c>
    </row>
    <row r="384" spans="1:2">
      <c r="A384" s="280" t="s">
        <v>602</v>
      </c>
      <c r="B384" s="367">
        <v>66220000</v>
      </c>
    </row>
    <row r="385" spans="1:2">
      <c r="A385" s="285" t="s">
        <v>603</v>
      </c>
      <c r="B385" s="367">
        <v>66440000</v>
      </c>
    </row>
    <row r="386" spans="1:2">
      <c r="A386" s="276" t="s">
        <v>604</v>
      </c>
      <c r="B386" s="286">
        <v>4610000</v>
      </c>
    </row>
    <row r="387" spans="1:2">
      <c r="A387" s="278" t="s">
        <v>605</v>
      </c>
      <c r="B387" s="287">
        <v>5080000</v>
      </c>
    </row>
    <row r="388" spans="1:2" ht="15" customHeight="1">
      <c r="A388" s="280" t="s">
        <v>606</v>
      </c>
      <c r="B388" s="281">
        <v>5880000</v>
      </c>
    </row>
    <row r="389" spans="1:2">
      <c r="A389" s="280" t="s">
        <v>607</v>
      </c>
      <c r="B389" s="281">
        <v>6520000</v>
      </c>
    </row>
    <row r="390" spans="1:2" ht="15.75" customHeight="1">
      <c r="A390" s="280" t="s">
        <v>608</v>
      </c>
      <c r="B390" s="281">
        <v>7000000</v>
      </c>
    </row>
    <row r="391" spans="1:2">
      <c r="A391" s="280" t="s">
        <v>609</v>
      </c>
      <c r="B391" s="281">
        <v>7800000</v>
      </c>
    </row>
    <row r="392" spans="1:2">
      <c r="A392" s="280" t="s">
        <v>610</v>
      </c>
      <c r="B392" s="281">
        <v>8400000</v>
      </c>
    </row>
    <row r="393" spans="1:2">
      <c r="A393" s="280" t="s">
        <v>611</v>
      </c>
      <c r="B393" s="282">
        <v>9000000</v>
      </c>
    </row>
    <row r="394" spans="1:2">
      <c r="A394" s="280" t="s">
        <v>612</v>
      </c>
      <c r="B394" s="282">
        <v>9500000</v>
      </c>
    </row>
    <row r="395" spans="1:2">
      <c r="A395" s="280" t="s">
        <v>613</v>
      </c>
      <c r="B395" s="281">
        <v>10300000</v>
      </c>
    </row>
    <row r="396" spans="1:2">
      <c r="A396" s="280" t="s">
        <v>614</v>
      </c>
      <c r="B396" s="282">
        <v>10800000</v>
      </c>
    </row>
    <row r="397" spans="1:2">
      <c r="A397" s="280" t="s">
        <v>615</v>
      </c>
      <c r="B397" s="281">
        <v>11700000</v>
      </c>
    </row>
    <row r="398" spans="1:2">
      <c r="A398" s="283" t="s">
        <v>616</v>
      </c>
      <c r="B398" s="282">
        <v>12600000</v>
      </c>
    </row>
    <row r="399" spans="1:2">
      <c r="A399" s="280" t="s">
        <v>617</v>
      </c>
      <c r="B399" s="288">
        <v>12900000</v>
      </c>
    </row>
    <row r="400" spans="1:2">
      <c r="A400" s="280" t="s">
        <v>618</v>
      </c>
      <c r="B400" s="282">
        <v>14500000</v>
      </c>
    </row>
    <row r="401" spans="1:2">
      <c r="A401" s="280" t="s">
        <v>619</v>
      </c>
      <c r="B401" s="282">
        <v>15000000</v>
      </c>
    </row>
    <row r="402" spans="1:2">
      <c r="A402" s="280" t="s">
        <v>620</v>
      </c>
      <c r="B402" s="282">
        <v>15500000</v>
      </c>
    </row>
    <row r="403" spans="1:2">
      <c r="A403" s="280" t="s">
        <v>621</v>
      </c>
      <c r="B403" s="282">
        <v>16100000</v>
      </c>
    </row>
    <row r="404" spans="1:2">
      <c r="A404" s="280" t="s">
        <v>622</v>
      </c>
      <c r="B404" s="281">
        <v>17700000</v>
      </c>
    </row>
    <row r="405" spans="1:2">
      <c r="A405" s="280" t="s">
        <v>623</v>
      </c>
      <c r="B405" s="281">
        <v>20400000</v>
      </c>
    </row>
    <row r="406" spans="1:2">
      <c r="A406" s="280" t="s">
        <v>624</v>
      </c>
      <c r="B406" s="282">
        <v>30600000</v>
      </c>
    </row>
    <row r="407" spans="1:2">
      <c r="A407" s="284" t="s">
        <v>625</v>
      </c>
      <c r="B407" s="281">
        <v>35000000</v>
      </c>
    </row>
    <row r="408" spans="1:2">
      <c r="A408" s="285" t="s">
        <v>626</v>
      </c>
      <c r="B408" s="282">
        <v>41000000</v>
      </c>
    </row>
    <row r="409" spans="1:2">
      <c r="A409" s="280" t="s">
        <v>627</v>
      </c>
      <c r="B409" s="282">
        <v>51000000</v>
      </c>
    </row>
    <row r="410" spans="1:2">
      <c r="A410" s="280" t="s">
        <v>628</v>
      </c>
      <c r="B410" s="281">
        <v>121000000</v>
      </c>
    </row>
    <row r="411" spans="1:2">
      <c r="A411" s="285" t="s">
        <v>629</v>
      </c>
      <c r="B411" s="281">
        <v>130000000</v>
      </c>
    </row>
    <row r="412" spans="1:2">
      <c r="A412" s="276" t="s">
        <v>630</v>
      </c>
      <c r="B412" s="289">
        <v>5500000</v>
      </c>
    </row>
    <row r="413" spans="1:2">
      <c r="A413" s="278" t="s">
        <v>631</v>
      </c>
      <c r="B413" s="290">
        <v>6110000</v>
      </c>
    </row>
    <row r="414" spans="1:2" ht="13.5" customHeight="1">
      <c r="A414" s="280" t="s">
        <v>632</v>
      </c>
      <c r="B414" s="281">
        <v>6790000</v>
      </c>
    </row>
    <row r="415" spans="1:2">
      <c r="A415" s="280" t="s">
        <v>633</v>
      </c>
      <c r="B415" s="281">
        <v>7420000</v>
      </c>
    </row>
    <row r="416" spans="1:2" ht="15" customHeight="1">
      <c r="A416" s="280" t="s">
        <v>634</v>
      </c>
      <c r="B416" s="282">
        <v>8900000</v>
      </c>
    </row>
    <row r="417" spans="1:2">
      <c r="A417" s="280" t="s">
        <v>635</v>
      </c>
      <c r="B417" s="281">
        <v>9000000</v>
      </c>
    </row>
    <row r="418" spans="1:2">
      <c r="A418" s="280" t="s">
        <v>636</v>
      </c>
      <c r="B418" s="281">
        <v>9700000</v>
      </c>
    </row>
    <row r="419" spans="1:2">
      <c r="A419" s="280" t="s">
        <v>637</v>
      </c>
      <c r="B419" s="282">
        <v>10400000</v>
      </c>
    </row>
    <row r="420" spans="1:2">
      <c r="A420" s="280" t="s">
        <v>638</v>
      </c>
      <c r="B420" s="281">
        <v>10800000</v>
      </c>
    </row>
    <row r="421" spans="1:2">
      <c r="A421" s="280" t="s">
        <v>639</v>
      </c>
      <c r="B421" s="281">
        <v>11800000</v>
      </c>
    </row>
    <row r="422" spans="1:2">
      <c r="A422" s="280" t="s">
        <v>640</v>
      </c>
      <c r="B422" s="281">
        <v>12500000</v>
      </c>
    </row>
    <row r="423" spans="1:2">
      <c r="A423" s="280" t="s">
        <v>641</v>
      </c>
      <c r="B423" s="281">
        <v>13700000</v>
      </c>
    </row>
    <row r="424" spans="1:2">
      <c r="A424" s="283" t="s">
        <v>642</v>
      </c>
      <c r="B424" s="282">
        <v>14700000</v>
      </c>
    </row>
    <row r="425" spans="1:2">
      <c r="A425" s="280" t="s">
        <v>643</v>
      </c>
      <c r="B425" s="281">
        <v>15000000</v>
      </c>
    </row>
    <row r="426" spans="1:2">
      <c r="A426" s="280" t="s">
        <v>644</v>
      </c>
      <c r="B426" s="282">
        <v>16300000</v>
      </c>
    </row>
    <row r="427" spans="1:2">
      <c r="A427" s="280" t="s">
        <v>645</v>
      </c>
      <c r="B427" s="281">
        <v>17900000</v>
      </c>
    </row>
    <row r="428" spans="1:2">
      <c r="A428" s="280" t="s">
        <v>646</v>
      </c>
      <c r="B428" s="281">
        <v>18400000</v>
      </c>
    </row>
    <row r="429" spans="1:2">
      <c r="A429" s="280" t="s">
        <v>647</v>
      </c>
      <c r="B429" s="282">
        <v>20700000</v>
      </c>
    </row>
    <row r="430" spans="1:2">
      <c r="A430" s="280" t="s">
        <v>648</v>
      </c>
      <c r="B430" s="281">
        <v>22100000</v>
      </c>
    </row>
    <row r="431" spans="1:2">
      <c r="A431" s="280" t="s">
        <v>649</v>
      </c>
      <c r="B431" s="281">
        <v>25200000</v>
      </c>
    </row>
    <row r="432" spans="1:2">
      <c r="A432" s="280" t="s">
        <v>650</v>
      </c>
      <c r="B432" s="282">
        <v>36800000</v>
      </c>
    </row>
    <row r="433" spans="1:2">
      <c r="A433" s="284" t="s">
        <v>651</v>
      </c>
      <c r="B433" s="281">
        <v>42000000</v>
      </c>
    </row>
    <row r="434" spans="1:2">
      <c r="A434" s="285" t="s">
        <v>652</v>
      </c>
      <c r="B434" s="281">
        <v>49000000</v>
      </c>
    </row>
    <row r="435" spans="1:2">
      <c r="A435" s="280" t="s">
        <v>653</v>
      </c>
      <c r="B435" s="291">
        <v>56000000</v>
      </c>
    </row>
    <row r="436" spans="1:2">
      <c r="A436" s="292" t="s">
        <v>654</v>
      </c>
      <c r="B436" s="293">
        <v>137000000</v>
      </c>
    </row>
    <row r="437" spans="1:2">
      <c r="A437" s="294" t="s">
        <v>655</v>
      </c>
      <c r="B437" s="293">
        <v>148000000</v>
      </c>
    </row>
  </sheetData>
  <mergeCells count="10">
    <mergeCell ref="A27:A28"/>
    <mergeCell ref="B27:B28"/>
    <mergeCell ref="F1:G1"/>
    <mergeCell ref="J1:K1"/>
    <mergeCell ref="A25:B25"/>
    <mergeCell ref="J2:K2"/>
    <mergeCell ref="J4:J5"/>
    <mergeCell ref="J7:K7"/>
    <mergeCell ref="A1:A3"/>
    <mergeCell ref="B1: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CC"/>
  </sheetPr>
  <dimension ref="A1:CO659"/>
  <sheetViews>
    <sheetView showGridLines="0" topLeftCell="P200" workbookViewId="0">
      <selection activeCell="Z238" sqref="Z238"/>
    </sheetView>
  </sheetViews>
  <sheetFormatPr defaultColWidth="8.85546875" defaultRowHeight="14.25" outlineLevelRow="1" outlineLevelCol="1"/>
  <cols>
    <col min="1" max="1" width="2.28515625" style="368" bestFit="1" customWidth="1"/>
    <col min="2" max="2" width="70.42578125" style="368" bestFit="1" customWidth="1"/>
    <col min="3" max="3" width="25.28515625" style="476" customWidth="1" outlineLevel="1"/>
    <col min="4" max="4" width="13.28515625" style="476" customWidth="1" outlineLevel="1"/>
    <col min="5" max="5" width="9.28515625" style="368" customWidth="1" outlineLevel="1"/>
    <col min="6" max="6" width="11" style="368" customWidth="1" outlineLevel="1"/>
    <col min="7" max="7" width="10.7109375" style="368" customWidth="1" outlineLevel="1"/>
    <col min="8" max="8" width="8.7109375" style="368" customWidth="1" outlineLevel="1"/>
    <col min="9" max="9" width="8.28515625" style="368" customWidth="1" outlineLevel="1"/>
    <col min="10" max="10" width="10.7109375" style="368" customWidth="1" outlineLevel="1"/>
    <col min="11" max="11" width="11.7109375" style="368" customWidth="1" outlineLevel="1"/>
    <col min="12" max="12" width="13.28515625" style="368" customWidth="1" outlineLevel="1"/>
    <col min="13" max="13" width="8.28515625" style="1477" customWidth="1" outlineLevel="1"/>
    <col min="14" max="14" width="10.7109375" style="1478" customWidth="1" outlineLevel="1"/>
    <col min="15" max="15" width="10" style="476" customWidth="1" outlineLevel="1"/>
    <col min="16" max="16" width="10.42578125" style="368" customWidth="1" outlineLevel="1"/>
    <col min="17" max="17" width="10" style="368" customWidth="1" outlineLevel="1"/>
    <col min="18" max="18" width="9.7109375" style="1479" bestFit="1" customWidth="1"/>
    <col min="19" max="19" width="9.5703125" style="368" bestFit="1" customWidth="1"/>
    <col min="20" max="20" width="9.85546875" style="1480" customWidth="1" outlineLevel="1"/>
    <col min="21" max="21" width="11.7109375" style="368" customWidth="1" outlineLevel="1"/>
    <col min="22" max="22" width="9.5703125" style="368" customWidth="1" outlineLevel="1"/>
    <col min="23" max="23" width="7.28515625" style="368" customWidth="1" outlineLevel="1"/>
    <col min="24" max="24" width="10.5703125" style="368" bestFit="1" customWidth="1"/>
    <col min="25" max="25" width="11" style="368" bestFit="1" customWidth="1"/>
    <col min="26" max="26" width="8.7109375" style="1485" bestFit="1" customWidth="1"/>
    <col min="27" max="27" width="10.7109375" style="1482" bestFit="1" customWidth="1"/>
    <col min="28" max="28" width="2.28515625" style="368" bestFit="1" customWidth="1"/>
    <col min="29" max="29" width="10.7109375" style="368" customWidth="1" outlineLevel="1"/>
    <col min="30" max="32" width="11.28515625" style="368" customWidth="1" outlineLevel="1"/>
    <col min="33" max="33" width="2.28515625" style="368" bestFit="1" customWidth="1"/>
    <col min="34" max="34" width="2.28515625" style="368" customWidth="1"/>
    <col min="35" max="35" width="2.28515625" style="368" bestFit="1" customWidth="1"/>
    <col min="36" max="36" width="12.7109375" style="453" bestFit="1" customWidth="1" outlineLevel="1"/>
    <col min="37" max="37" width="6" style="453" customWidth="1" outlineLevel="1"/>
    <col min="38" max="38" width="7.140625" style="1476" customWidth="1" outlineLevel="1"/>
    <col min="39" max="39" width="7.140625" style="1476" bestFit="1" customWidth="1" outlineLevel="1"/>
    <col min="40" max="40" width="2.28515625" style="368" bestFit="1" customWidth="1"/>
    <col min="41" max="41" width="2.28515625" style="368" customWidth="1"/>
    <col min="42" max="42" width="2.28515625" style="368" bestFit="1" customWidth="1"/>
    <col min="43" max="43" width="43.28515625" style="476" bestFit="1" customWidth="1" outlineLevel="1"/>
    <col min="44" max="44" width="18.85546875" style="442" bestFit="1" customWidth="1" outlineLevel="1"/>
    <col min="45" max="45" width="7.140625" style="453" customWidth="1" outlineLevel="1"/>
    <col min="46" max="46" width="13.85546875" style="442" customWidth="1" outlineLevel="1"/>
    <col min="47" max="47" width="2.28515625" style="368" bestFit="1" customWidth="1"/>
    <col min="48" max="48" width="2.28515625" style="368" customWidth="1"/>
    <col min="49" max="49" width="2.28515625" style="368" bestFit="1" customWidth="1"/>
    <col min="50" max="50" width="8" style="510" bestFit="1" customWidth="1"/>
    <col min="51" max="51" width="6" style="510" bestFit="1" customWidth="1"/>
    <col min="52" max="52" width="7.7109375" style="510" bestFit="1" customWidth="1"/>
    <col min="53" max="53" width="6.5703125" style="510" bestFit="1" customWidth="1"/>
    <col min="54" max="54" width="9.42578125" style="510" bestFit="1" customWidth="1"/>
    <col min="55" max="55" width="9.42578125" style="476" bestFit="1" customWidth="1"/>
    <col min="56" max="56" width="9.42578125" style="510" bestFit="1" customWidth="1"/>
    <col min="57" max="59" width="2.28515625" style="510" bestFit="1" customWidth="1"/>
    <col min="60" max="60" width="11.140625" style="510" hidden="1" customWidth="1" outlineLevel="1"/>
    <col min="61" max="61" width="10.7109375" style="476" hidden="1" customWidth="1" outlineLevel="1"/>
    <col min="62" max="64" width="10.5703125" style="510" hidden="1" customWidth="1" outlineLevel="1"/>
    <col min="65" max="65" width="8.28515625" style="510" hidden="1" customWidth="1" outlineLevel="1"/>
    <col min="66" max="66" width="11" style="510" hidden="1" customWidth="1" outlineLevel="1"/>
    <col min="67" max="67" width="9.5703125" style="510" hidden="1" customWidth="1" outlineLevel="1"/>
    <col min="68" max="68" width="2.28515625" style="510" bestFit="1" customWidth="1" collapsed="1"/>
    <col min="69" max="69" width="9.140625" style="476" hidden="1" customWidth="1" outlineLevel="1"/>
    <col min="70" max="70" width="4.85546875" style="476" hidden="1" customWidth="1" outlineLevel="1"/>
    <col min="71" max="71" width="4.85546875" style="510" hidden="1" customWidth="1" outlineLevel="1"/>
    <col min="72" max="72" width="6.140625" style="476" hidden="1" customWidth="1" outlineLevel="1"/>
    <col min="73" max="73" width="6" style="476" hidden="1" customWidth="1" outlineLevel="1"/>
    <col min="74" max="74" width="11" style="476" hidden="1" customWidth="1" outlineLevel="1"/>
    <col min="75" max="75" width="5.7109375" style="476" hidden="1" customWidth="1" outlineLevel="1"/>
    <col min="76" max="76" width="4.28515625" style="476" hidden="1" customWidth="1" outlineLevel="1"/>
    <col min="77" max="77" width="2.28515625" style="476" bestFit="1" customWidth="1" collapsed="1"/>
    <col min="78" max="78" width="9.140625" style="476" hidden="1" customWidth="1" outlineLevel="1"/>
    <col min="79" max="79" width="4.85546875" style="368" hidden="1" customWidth="1" outlineLevel="1"/>
    <col min="80" max="81" width="4.28515625" style="368" hidden="1" customWidth="1" outlineLevel="1"/>
    <col min="82" max="82" width="6" style="368" hidden="1" customWidth="1" outlineLevel="1"/>
    <col min="83" max="83" width="7.7109375" style="368" hidden="1" customWidth="1" outlineLevel="1"/>
    <col min="84" max="84" width="12.140625" style="368" hidden="1" customWidth="1" outlineLevel="1"/>
    <col min="85" max="85" width="9.85546875" style="368" hidden="1" customWidth="1" outlineLevel="1"/>
    <col min="86" max="86" width="2.28515625" style="510" bestFit="1" customWidth="1" collapsed="1"/>
    <col min="87" max="87" width="2.28515625" style="512" bestFit="1" customWidth="1"/>
    <col min="88" max="91" width="9" style="368" bestFit="1" customWidth="1"/>
    <col min="92" max="92" width="11.140625" style="368" bestFit="1" customWidth="1"/>
    <col min="93" max="16384" width="8.85546875" style="368"/>
  </cols>
  <sheetData>
    <row r="1" spans="1:87" s="476" customFormat="1">
      <c r="A1" s="395" t="s">
        <v>1075</v>
      </c>
      <c r="C1" s="476">
        <v>1</v>
      </c>
      <c r="D1" s="476">
        <v>2</v>
      </c>
      <c r="E1" s="476">
        <v>3</v>
      </c>
      <c r="F1" s="476">
        <v>4</v>
      </c>
      <c r="G1" s="476">
        <v>5</v>
      </c>
      <c r="H1" s="476">
        <v>6</v>
      </c>
      <c r="I1" s="476">
        <v>7</v>
      </c>
      <c r="J1" s="476">
        <v>8</v>
      </c>
      <c r="K1" s="476">
        <v>9</v>
      </c>
      <c r="L1" s="476">
        <v>10</v>
      </c>
      <c r="M1" s="476">
        <v>11</v>
      </c>
      <c r="N1" s="476">
        <v>12</v>
      </c>
      <c r="O1" s="476">
        <v>13</v>
      </c>
      <c r="P1" s="476">
        <v>14</v>
      </c>
      <c r="Q1" s="476">
        <v>15</v>
      </c>
      <c r="R1" s="476">
        <v>16</v>
      </c>
      <c r="S1" s="476">
        <v>17</v>
      </c>
      <c r="T1" s="476">
        <v>18</v>
      </c>
      <c r="U1" s="476">
        <v>19</v>
      </c>
      <c r="V1" s="476">
        <v>20</v>
      </c>
      <c r="W1" s="476">
        <v>21</v>
      </c>
      <c r="X1" s="476">
        <v>22</v>
      </c>
      <c r="Y1" s="476">
        <v>23</v>
      </c>
      <c r="Z1" s="476">
        <v>24</v>
      </c>
      <c r="AA1" s="509" t="s">
        <v>1173</v>
      </c>
      <c r="AB1" s="395" t="s">
        <v>1075</v>
      </c>
      <c r="AC1" s="510" t="s">
        <v>1173</v>
      </c>
      <c r="AD1" s="510" t="s">
        <v>1173</v>
      </c>
      <c r="AE1" s="510" t="s">
        <v>1173</v>
      </c>
      <c r="AF1" s="510" t="s">
        <v>1173</v>
      </c>
      <c r="AG1" s="395" t="s">
        <v>1075</v>
      </c>
      <c r="AH1" s="395" t="s">
        <v>1075</v>
      </c>
      <c r="AI1" s="395" t="s">
        <v>1075</v>
      </c>
      <c r="AJ1" s="420"/>
      <c r="AK1" s="420"/>
      <c r="AL1" s="377"/>
      <c r="AM1" s="377"/>
      <c r="AN1" s="395" t="s">
        <v>1075</v>
      </c>
      <c r="AO1" s="395" t="s">
        <v>1075</v>
      </c>
      <c r="AP1" s="395" t="s">
        <v>1075</v>
      </c>
      <c r="AR1" s="442"/>
      <c r="AS1" s="453"/>
      <c r="AT1" s="442"/>
      <c r="AU1" s="395" t="s">
        <v>1075</v>
      </c>
      <c r="AV1" s="395" t="s">
        <v>1075</v>
      </c>
      <c r="AW1" s="395" t="s">
        <v>1075</v>
      </c>
      <c r="AX1" s="510"/>
      <c r="AY1" s="510"/>
      <c r="AZ1" s="510"/>
      <c r="BA1" s="510"/>
      <c r="BB1" s="510"/>
      <c r="BD1" s="510"/>
      <c r="BE1" s="510" t="s">
        <v>1075</v>
      </c>
      <c r="BF1" s="511" t="s">
        <v>1075</v>
      </c>
      <c r="BG1" s="510" t="s">
        <v>1075</v>
      </c>
      <c r="BH1" s="510"/>
      <c r="BJ1" s="510"/>
      <c r="BK1" s="510"/>
      <c r="BL1" s="510"/>
      <c r="BM1" s="510"/>
      <c r="BN1" s="510"/>
      <c r="BO1" s="510"/>
      <c r="BP1" s="510" t="s">
        <v>1075</v>
      </c>
      <c r="BS1" s="510"/>
      <c r="BY1" s="510" t="s">
        <v>1075</v>
      </c>
      <c r="CH1" s="510" t="s">
        <v>1075</v>
      </c>
      <c r="CI1" s="512" t="s">
        <v>1075</v>
      </c>
    </row>
    <row r="2" spans="1:87" s="370" customFormat="1" ht="15">
      <c r="B2" s="513" t="s">
        <v>1174</v>
      </c>
      <c r="C2" s="514"/>
      <c r="D2" s="515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  <c r="S2" s="516"/>
      <c r="T2" s="516"/>
      <c r="U2" s="517" t="str">
        <f>+B73</f>
        <v>SCU75M1</v>
      </c>
      <c r="V2" s="517"/>
      <c r="W2" s="517"/>
      <c r="X2" s="517"/>
      <c r="Y2" s="518">
        <f>+Y646</f>
        <v>177.79685984045551</v>
      </c>
      <c r="Z2" s="519">
        <f>+Z646</f>
        <v>878.47470161734736</v>
      </c>
      <c r="AA2" s="520" t="s">
        <v>1176</v>
      </c>
      <c r="AC2" s="437" t="s">
        <v>1176</v>
      </c>
      <c r="AD2" s="437" t="s">
        <v>1175</v>
      </c>
      <c r="AE2" s="437" t="s">
        <v>1177</v>
      </c>
      <c r="AF2" s="437" t="s">
        <v>1178</v>
      </c>
      <c r="AH2" s="521"/>
      <c r="AJ2" s="483"/>
      <c r="AK2" s="522"/>
      <c r="AL2" s="401"/>
      <c r="AM2" s="523"/>
      <c r="AO2" s="521"/>
      <c r="AQ2" s="369"/>
      <c r="AR2" s="418"/>
      <c r="AS2" s="483"/>
      <c r="AT2" s="418"/>
      <c r="AV2" s="521"/>
      <c r="AX2" s="395"/>
      <c r="AY2" s="395"/>
      <c r="AZ2" s="395"/>
      <c r="BA2" s="395"/>
      <c r="BB2" s="395"/>
      <c r="BC2" s="369"/>
      <c r="BD2" s="395"/>
      <c r="BE2" s="395"/>
      <c r="BF2" s="524"/>
      <c r="BG2" s="395"/>
      <c r="BH2" s="395"/>
      <c r="BI2" s="369"/>
      <c r="BJ2" s="395"/>
      <c r="BK2" s="395"/>
      <c r="BL2" s="395"/>
      <c r="BM2" s="395"/>
      <c r="BN2" s="395"/>
      <c r="BO2" s="395"/>
      <c r="BP2" s="395"/>
      <c r="BQ2" s="369"/>
      <c r="BR2" s="369"/>
      <c r="BS2" s="395"/>
      <c r="BT2" s="369"/>
      <c r="BU2" s="369"/>
      <c r="BV2" s="369"/>
      <c r="BW2" s="369"/>
      <c r="BX2" s="369"/>
      <c r="BY2" s="369"/>
      <c r="CH2" s="395"/>
      <c r="CI2" s="511"/>
    </row>
    <row r="3" spans="1:87" s="370" customFormat="1" ht="15" outlineLevel="1">
      <c r="B3" s="525" t="s">
        <v>1179</v>
      </c>
      <c r="C3" s="526"/>
      <c r="D3" s="527" t="s">
        <v>1125</v>
      </c>
      <c r="E3" s="528" t="s">
        <v>1180</v>
      </c>
      <c r="F3" s="529" t="s">
        <v>1181</v>
      </c>
      <c r="G3" s="2156" t="s">
        <v>1182</v>
      </c>
      <c r="H3" s="2157"/>
      <c r="I3" s="2158" t="s">
        <v>1183</v>
      </c>
      <c r="J3" s="2158"/>
      <c r="K3" s="529" t="s">
        <v>1184</v>
      </c>
      <c r="L3" s="530" t="s">
        <v>1185</v>
      </c>
      <c r="M3" s="531" t="s">
        <v>1186</v>
      </c>
      <c r="N3" s="530" t="s">
        <v>1187</v>
      </c>
      <c r="O3" s="527" t="s">
        <v>129</v>
      </c>
      <c r="P3" s="529" t="s">
        <v>1188</v>
      </c>
      <c r="Q3" s="530" t="s">
        <v>1189</v>
      </c>
      <c r="R3" s="527" t="s">
        <v>1190</v>
      </c>
      <c r="S3" s="532" t="s">
        <v>1191</v>
      </c>
      <c r="T3" s="529"/>
      <c r="U3" s="529"/>
      <c r="V3" s="529"/>
      <c r="W3" s="529"/>
      <c r="X3" s="529"/>
      <c r="Y3" s="529"/>
      <c r="Z3" s="530"/>
      <c r="AA3" s="455"/>
      <c r="AC3" s="533"/>
      <c r="AD3" s="533"/>
      <c r="AE3" s="533"/>
      <c r="AF3" s="533"/>
      <c r="AH3" s="521"/>
      <c r="AJ3" s="483"/>
      <c r="AK3" s="522"/>
      <c r="AL3" s="401"/>
      <c r="AM3" s="523"/>
      <c r="AO3" s="521"/>
      <c r="AQ3" s="369"/>
      <c r="AR3" s="418"/>
      <c r="AS3" s="483"/>
      <c r="AT3" s="418"/>
      <c r="AV3" s="521"/>
      <c r="AX3" s="395"/>
      <c r="AY3" s="395"/>
      <c r="AZ3" s="395"/>
      <c r="BA3" s="395"/>
      <c r="BB3" s="395"/>
      <c r="BC3" s="369"/>
      <c r="BD3" s="395"/>
      <c r="BE3" s="395"/>
      <c r="BF3" s="524"/>
      <c r="BG3" s="395"/>
      <c r="BH3" s="395"/>
      <c r="BI3" s="369"/>
      <c r="BJ3" s="395"/>
      <c r="BK3" s="395"/>
      <c r="BL3" s="395"/>
      <c r="BM3" s="395"/>
      <c r="BN3" s="395"/>
      <c r="BO3" s="395"/>
      <c r="BP3" s="395"/>
      <c r="BQ3" s="369"/>
      <c r="BR3" s="369"/>
      <c r="BS3" s="395"/>
      <c r="BT3" s="369"/>
      <c r="BU3" s="369"/>
      <c r="BV3" s="369"/>
      <c r="BW3" s="369"/>
      <c r="BX3" s="369"/>
      <c r="BY3" s="369"/>
      <c r="CH3" s="395"/>
      <c r="CI3" s="511"/>
    </row>
    <row r="4" spans="1:87" s="479" customFormat="1" ht="15" outlineLevel="1">
      <c r="B4" s="534" t="s">
        <v>1192</v>
      </c>
      <c r="C4" s="535"/>
      <c r="D4" s="536" t="s">
        <v>739</v>
      </c>
      <c r="E4" s="537" t="s">
        <v>1193</v>
      </c>
      <c r="F4" s="538">
        <v>1</v>
      </c>
      <c r="G4" s="539" t="s">
        <v>75</v>
      </c>
      <c r="H4" s="540">
        <v>0</v>
      </c>
      <c r="I4" s="541">
        <v>0</v>
      </c>
      <c r="J4" s="540">
        <v>0</v>
      </c>
      <c r="K4" s="538">
        <v>1</v>
      </c>
      <c r="L4" s="542">
        <v>0</v>
      </c>
      <c r="M4" s="543" t="s">
        <v>1194</v>
      </c>
      <c r="N4" s="544">
        <v>1</v>
      </c>
      <c r="O4" s="543" t="s">
        <v>1194</v>
      </c>
      <c r="P4" s="538">
        <v>1</v>
      </c>
      <c r="Q4" s="544">
        <v>0</v>
      </c>
      <c r="R4" s="543" t="s">
        <v>1084</v>
      </c>
      <c r="S4" s="544">
        <v>0</v>
      </c>
      <c r="T4" s="545"/>
      <c r="U4" s="545"/>
      <c r="V4" s="545"/>
      <c r="W4" s="545"/>
      <c r="X4" s="545"/>
      <c r="Y4" s="545"/>
      <c r="Z4" s="546"/>
      <c r="AA4" s="480"/>
      <c r="AC4" s="547"/>
      <c r="AD4" s="547"/>
      <c r="AE4" s="547"/>
      <c r="AF4" s="547"/>
      <c r="AG4" s="370"/>
      <c r="AH4" s="521"/>
      <c r="AI4" s="370"/>
      <c r="AJ4" s="483"/>
      <c r="AK4" s="522"/>
      <c r="AL4" s="401"/>
      <c r="AM4" s="523"/>
      <c r="AN4" s="370"/>
      <c r="AO4" s="521"/>
      <c r="AP4" s="370"/>
      <c r="AQ4" s="369"/>
      <c r="AR4" s="418"/>
      <c r="AS4" s="483"/>
      <c r="AT4" s="418"/>
      <c r="AU4" s="370"/>
      <c r="AV4" s="521"/>
      <c r="AW4" s="370"/>
      <c r="AX4" s="395"/>
      <c r="AY4" s="395"/>
      <c r="AZ4" s="395"/>
      <c r="BA4" s="395"/>
      <c r="BB4" s="395"/>
      <c r="BC4" s="369"/>
      <c r="BD4" s="395"/>
      <c r="BE4" s="395"/>
      <c r="BF4" s="524"/>
      <c r="BG4" s="395"/>
      <c r="BH4" s="395"/>
      <c r="BI4" s="369"/>
      <c r="BJ4" s="395"/>
      <c r="BK4" s="395"/>
      <c r="BL4" s="395"/>
      <c r="BM4" s="395"/>
      <c r="BN4" s="395"/>
      <c r="BO4" s="395"/>
      <c r="BP4" s="395"/>
      <c r="BQ4" s="369"/>
      <c r="BR4" s="369"/>
      <c r="BS4" s="395"/>
      <c r="BT4" s="369"/>
      <c r="BU4" s="369"/>
      <c r="BV4" s="369"/>
      <c r="BW4" s="369"/>
      <c r="BX4" s="369"/>
      <c r="BY4" s="369"/>
      <c r="BZ4" s="370"/>
      <c r="CH4" s="395"/>
      <c r="CI4" s="511"/>
    </row>
    <row r="5" spans="1:87" s="370" customFormat="1" ht="15" outlineLevel="1">
      <c r="B5" s="525" t="s">
        <v>1195</v>
      </c>
      <c r="C5" s="526"/>
      <c r="D5" s="2159" t="s">
        <v>1196</v>
      </c>
      <c r="E5" s="2160"/>
      <c r="F5" s="2161" t="s">
        <v>1197</v>
      </c>
      <c r="G5" s="2162"/>
      <c r="H5" s="2163" t="s">
        <v>1198</v>
      </c>
      <c r="I5" s="2161"/>
      <c r="J5" s="548" t="s">
        <v>1199</v>
      </c>
      <c r="K5" s="527" t="s">
        <v>1200</v>
      </c>
      <c r="L5" s="549" t="s">
        <v>83</v>
      </c>
      <c r="M5" s="532" t="s">
        <v>85</v>
      </c>
      <c r="N5" s="550"/>
      <c r="O5" s="551"/>
      <c r="P5" s="552"/>
      <c r="Q5" s="552"/>
      <c r="R5" s="552"/>
      <c r="S5" s="552"/>
      <c r="T5" s="552"/>
      <c r="U5" s="551"/>
      <c r="V5" s="551"/>
      <c r="W5" s="553"/>
      <c r="X5" s="554"/>
      <c r="Y5" s="554"/>
      <c r="Z5" s="555"/>
      <c r="AA5" s="455"/>
      <c r="AC5" s="533"/>
      <c r="AD5" s="533"/>
      <c r="AE5" s="533"/>
      <c r="AF5" s="533"/>
      <c r="AH5" s="521"/>
      <c r="AJ5" s="483"/>
      <c r="AK5" s="522"/>
      <c r="AL5" s="401"/>
      <c r="AM5" s="523"/>
      <c r="AO5" s="521"/>
      <c r="AQ5" s="369"/>
      <c r="AR5" s="418"/>
      <c r="AS5" s="483"/>
      <c r="AT5" s="418"/>
      <c r="AV5" s="521"/>
      <c r="AX5" s="395"/>
      <c r="AY5" s="395"/>
      <c r="AZ5" s="395"/>
      <c r="BA5" s="395"/>
      <c r="BB5" s="395"/>
      <c r="BC5" s="369"/>
      <c r="BD5" s="395"/>
      <c r="BE5" s="395"/>
      <c r="BF5" s="524"/>
      <c r="BG5" s="395"/>
      <c r="BH5" s="395"/>
      <c r="BI5" s="369"/>
      <c r="BJ5" s="395"/>
      <c r="BK5" s="395"/>
      <c r="BL5" s="395"/>
      <c r="BM5" s="395"/>
      <c r="BN5" s="395"/>
      <c r="BO5" s="395"/>
      <c r="BP5" s="395"/>
      <c r="BQ5" s="369"/>
      <c r="BR5" s="369"/>
      <c r="BS5" s="395"/>
      <c r="BT5" s="369"/>
      <c r="BU5" s="369"/>
      <c r="BV5" s="369"/>
      <c r="BW5" s="369"/>
      <c r="BX5" s="369"/>
      <c r="BY5" s="369"/>
      <c r="CH5" s="395"/>
      <c r="CI5" s="511"/>
    </row>
    <row r="6" spans="1:87" s="479" customFormat="1" ht="15" outlineLevel="1">
      <c r="B6" s="534" t="s">
        <v>1192</v>
      </c>
      <c r="C6" s="535"/>
      <c r="D6" s="539" t="s">
        <v>1201</v>
      </c>
      <c r="E6" s="556">
        <v>0.11</v>
      </c>
      <c r="F6" s="540" t="s">
        <v>73</v>
      </c>
      <c r="G6" s="557">
        <v>0.33</v>
      </c>
      <c r="H6" s="543" t="s">
        <v>1194</v>
      </c>
      <c r="I6" s="558">
        <v>1.5</v>
      </c>
      <c r="J6" s="559" t="s">
        <v>1089</v>
      </c>
      <c r="K6" s="560">
        <v>1</v>
      </c>
      <c r="L6" s="538">
        <v>1</v>
      </c>
      <c r="M6" s="544">
        <v>0</v>
      </c>
      <c r="N6" s="539"/>
      <c r="O6" s="556"/>
      <c r="P6" s="540"/>
      <c r="Q6" s="556"/>
      <c r="R6" s="540"/>
      <c r="S6" s="558"/>
      <c r="T6" s="538"/>
      <c r="U6" s="538"/>
      <c r="V6" s="538"/>
      <c r="W6" s="559"/>
      <c r="X6" s="561"/>
      <c r="Y6" s="561"/>
      <c r="Z6" s="562"/>
      <c r="AA6" s="480"/>
      <c r="AC6" s="547"/>
      <c r="AD6" s="547"/>
      <c r="AE6" s="547"/>
      <c r="AF6" s="547"/>
      <c r="AG6" s="370"/>
      <c r="AH6" s="521"/>
      <c r="AI6" s="370"/>
      <c r="AJ6" s="483"/>
      <c r="AK6" s="522"/>
      <c r="AL6" s="401"/>
      <c r="AM6" s="523"/>
      <c r="AN6" s="370"/>
      <c r="AO6" s="521"/>
      <c r="AP6" s="370"/>
      <c r="AQ6" s="369"/>
      <c r="AR6" s="418"/>
      <c r="AS6" s="483"/>
      <c r="AT6" s="418"/>
      <c r="AU6" s="370"/>
      <c r="AV6" s="521"/>
      <c r="AW6" s="370"/>
      <c r="AX6" s="395"/>
      <c r="AY6" s="395"/>
      <c r="AZ6" s="395"/>
      <c r="BA6" s="395"/>
      <c r="BB6" s="395"/>
      <c r="BC6" s="369"/>
      <c r="BD6" s="395"/>
      <c r="BE6" s="395"/>
      <c r="BF6" s="524"/>
      <c r="BG6" s="395"/>
      <c r="BH6" s="395"/>
      <c r="BI6" s="369"/>
      <c r="BJ6" s="395"/>
      <c r="BK6" s="395"/>
      <c r="BL6" s="395"/>
      <c r="BM6" s="395"/>
      <c r="BN6" s="395"/>
      <c r="BO6" s="395"/>
      <c r="BP6" s="395"/>
      <c r="BQ6" s="369"/>
      <c r="BR6" s="369"/>
      <c r="BS6" s="395"/>
      <c r="BT6" s="369"/>
      <c r="BU6" s="369"/>
      <c r="BV6" s="369"/>
      <c r="BW6" s="369"/>
      <c r="BX6" s="369"/>
      <c r="BY6" s="369"/>
      <c r="BZ6" s="370"/>
      <c r="CH6" s="395"/>
      <c r="CI6" s="511"/>
    </row>
    <row r="7" spans="1:87" s="370" customFormat="1" ht="15" outlineLevel="1">
      <c r="B7" s="525" t="s">
        <v>1202</v>
      </c>
      <c r="C7" s="526"/>
      <c r="D7" s="563" t="s">
        <v>1203</v>
      </c>
      <c r="E7" s="564" t="s">
        <v>725</v>
      </c>
      <c r="F7" s="565" t="s">
        <v>1204</v>
      </c>
      <c r="G7" s="531" t="s">
        <v>1205</v>
      </c>
      <c r="H7" s="565" t="s">
        <v>1206</v>
      </c>
      <c r="I7" s="527" t="s">
        <v>1207</v>
      </c>
      <c r="J7" s="565" t="s">
        <v>1208</v>
      </c>
      <c r="K7" s="527" t="s">
        <v>1209</v>
      </c>
      <c r="L7" s="564" t="s">
        <v>1210</v>
      </c>
      <c r="M7" s="564" t="s">
        <v>1211</v>
      </c>
      <c r="N7" s="564" t="s">
        <v>1212</v>
      </c>
      <c r="O7" s="565" t="s">
        <v>1213</v>
      </c>
      <c r="P7" s="549"/>
      <c r="Q7" s="564"/>
      <c r="R7" s="564"/>
      <c r="S7" s="564"/>
      <c r="T7" s="532"/>
      <c r="U7" s="527" t="s">
        <v>1214</v>
      </c>
      <c r="V7" s="564" t="s">
        <v>1215</v>
      </c>
      <c r="W7" s="564" t="s">
        <v>1216</v>
      </c>
      <c r="X7" s="564" t="s">
        <v>1217</v>
      </c>
      <c r="Y7" s="564" t="s">
        <v>1218</v>
      </c>
      <c r="Z7" s="565" t="s">
        <v>1219</v>
      </c>
      <c r="AA7" s="455"/>
      <c r="AC7" s="533"/>
      <c r="AD7" s="533"/>
      <c r="AE7" s="533"/>
      <c r="AF7" s="533"/>
      <c r="AH7" s="521"/>
      <c r="AJ7" s="483"/>
      <c r="AK7" s="522"/>
      <c r="AL7" s="401"/>
      <c r="AM7" s="523"/>
      <c r="AO7" s="521"/>
      <c r="AQ7" s="369"/>
      <c r="AR7" s="418"/>
      <c r="AS7" s="483"/>
      <c r="AT7" s="418"/>
      <c r="AV7" s="521"/>
      <c r="AX7" s="395"/>
      <c r="AY7" s="395"/>
      <c r="AZ7" s="395"/>
      <c r="BA7" s="395"/>
      <c r="BB7" s="395"/>
      <c r="BC7" s="369"/>
      <c r="BD7" s="395"/>
      <c r="BE7" s="395"/>
      <c r="BF7" s="524"/>
      <c r="BG7" s="395"/>
      <c r="BH7" s="395"/>
      <c r="BI7" s="369"/>
      <c r="BJ7" s="395"/>
      <c r="BK7" s="395"/>
      <c r="BL7" s="395"/>
      <c r="BM7" s="395"/>
      <c r="BN7" s="395"/>
      <c r="BO7" s="395"/>
      <c r="BP7" s="395"/>
      <c r="BQ7" s="369"/>
      <c r="BR7" s="369"/>
      <c r="BS7" s="395"/>
      <c r="BT7" s="369"/>
      <c r="BU7" s="369"/>
      <c r="BV7" s="369"/>
      <c r="BW7" s="369"/>
      <c r="BX7" s="369"/>
      <c r="BY7" s="369"/>
      <c r="CH7" s="395"/>
      <c r="CI7" s="511"/>
    </row>
    <row r="8" spans="1:87" s="479" customFormat="1" ht="15" outlineLevel="1">
      <c r="B8" s="534" t="s">
        <v>1192</v>
      </c>
      <c r="C8" s="535"/>
      <c r="D8" s="539" t="s">
        <v>1220</v>
      </c>
      <c r="E8" s="541" t="s">
        <v>1221</v>
      </c>
      <c r="F8" s="542" t="s">
        <v>1222</v>
      </c>
      <c r="G8" s="566" t="s">
        <v>1223</v>
      </c>
      <c r="H8" s="542">
        <v>0</v>
      </c>
      <c r="I8" s="539">
        <v>0</v>
      </c>
      <c r="J8" s="542">
        <v>0</v>
      </c>
      <c r="K8" s="539">
        <v>0</v>
      </c>
      <c r="L8" s="541">
        <v>0</v>
      </c>
      <c r="M8" s="541">
        <v>0</v>
      </c>
      <c r="N8" s="541">
        <v>0</v>
      </c>
      <c r="O8" s="567" t="s">
        <v>1224</v>
      </c>
      <c r="P8" s="540"/>
      <c r="Q8" s="541"/>
      <c r="R8" s="541"/>
      <c r="S8" s="541"/>
      <c r="T8" s="567"/>
      <c r="U8" s="539">
        <v>0</v>
      </c>
      <c r="V8" s="541">
        <v>0</v>
      </c>
      <c r="W8" s="541">
        <v>0</v>
      </c>
      <c r="X8" s="541">
        <v>0</v>
      </c>
      <c r="Y8" s="541">
        <v>0</v>
      </c>
      <c r="Z8" s="542">
        <v>0</v>
      </c>
      <c r="AA8" s="480"/>
      <c r="AC8" s="547"/>
      <c r="AD8" s="547"/>
      <c r="AE8" s="547"/>
      <c r="AF8" s="547"/>
      <c r="AG8" s="370"/>
      <c r="AH8" s="521"/>
      <c r="AI8" s="370"/>
      <c r="AJ8" s="483"/>
      <c r="AK8" s="522"/>
      <c r="AL8" s="401"/>
      <c r="AM8" s="523"/>
      <c r="AN8" s="370"/>
      <c r="AO8" s="521"/>
      <c r="AP8" s="370"/>
      <c r="AQ8" s="369"/>
      <c r="AR8" s="418"/>
      <c r="AS8" s="483"/>
      <c r="AT8" s="418"/>
      <c r="AU8" s="370"/>
      <c r="AV8" s="521"/>
      <c r="AW8" s="370"/>
      <c r="AX8" s="395"/>
      <c r="AY8" s="395"/>
      <c r="AZ8" s="395"/>
      <c r="BA8" s="395"/>
      <c r="BB8" s="395"/>
      <c r="BC8" s="369"/>
      <c r="BD8" s="395"/>
      <c r="BE8" s="395"/>
      <c r="BF8" s="524"/>
      <c r="BG8" s="395"/>
      <c r="BH8" s="395"/>
      <c r="BI8" s="369"/>
      <c r="BJ8" s="395"/>
      <c r="BK8" s="395"/>
      <c r="BL8" s="395"/>
      <c r="BM8" s="395"/>
      <c r="BN8" s="395"/>
      <c r="BO8" s="395"/>
      <c r="BP8" s="395"/>
      <c r="BQ8" s="369"/>
      <c r="BR8" s="369"/>
      <c r="BS8" s="395"/>
      <c r="BT8" s="369"/>
      <c r="BU8" s="369"/>
      <c r="BV8" s="369"/>
      <c r="BW8" s="369"/>
      <c r="BX8" s="369"/>
      <c r="BY8" s="369"/>
      <c r="BZ8" s="370"/>
      <c r="CH8" s="395"/>
      <c r="CI8" s="511"/>
    </row>
    <row r="9" spans="1:87" s="370" customFormat="1" ht="15">
      <c r="B9" s="568" t="s">
        <v>1225</v>
      </c>
      <c r="C9" s="569"/>
      <c r="D9" s="2146" t="s">
        <v>1226</v>
      </c>
      <c r="E9" s="2147"/>
      <c r="F9" s="2148"/>
      <c r="G9" s="2146" t="s">
        <v>1190</v>
      </c>
      <c r="H9" s="2147"/>
      <c r="I9" s="2148"/>
      <c r="J9" s="2151" t="s">
        <v>1227</v>
      </c>
      <c r="K9" s="2153"/>
      <c r="L9" s="2151" t="s">
        <v>1228</v>
      </c>
      <c r="M9" s="2153"/>
      <c r="N9" s="2151" t="s">
        <v>1229</v>
      </c>
      <c r="O9" s="2153"/>
      <c r="P9" s="2151" t="s">
        <v>1230</v>
      </c>
      <c r="Q9" s="2164"/>
      <c r="R9" s="2165" t="s">
        <v>1231</v>
      </c>
      <c r="S9" s="2153"/>
      <c r="T9" s="2151" t="s">
        <v>1232</v>
      </c>
      <c r="U9" s="2153"/>
      <c r="V9" s="2151" t="s">
        <v>1233</v>
      </c>
      <c r="W9" s="2153"/>
      <c r="X9" s="570"/>
      <c r="Y9" s="571" t="s">
        <v>126</v>
      </c>
      <c r="Z9" s="572">
        <f>+Z17</f>
        <v>14654</v>
      </c>
      <c r="AA9" s="573"/>
      <c r="AC9" s="574"/>
      <c r="AD9" s="574"/>
      <c r="AE9" s="574"/>
      <c r="AF9" s="574"/>
      <c r="AH9" s="521"/>
      <c r="AJ9" s="483"/>
      <c r="AK9" s="522"/>
      <c r="AL9" s="401"/>
      <c r="AM9" s="523"/>
      <c r="AO9" s="521"/>
      <c r="AQ9" s="369"/>
      <c r="AR9" s="418"/>
      <c r="AS9" s="483"/>
      <c r="AT9" s="418"/>
      <c r="AV9" s="521"/>
      <c r="AX9" s="395"/>
      <c r="AY9" s="395"/>
      <c r="AZ9" s="395"/>
      <c r="BA9" s="395"/>
      <c r="BB9" s="395"/>
      <c r="BC9" s="369"/>
      <c r="BD9" s="395"/>
      <c r="BE9" s="395"/>
      <c r="BF9" s="524"/>
      <c r="BG9" s="395"/>
      <c r="BH9" s="395"/>
      <c r="BI9" s="369"/>
      <c r="BJ9" s="395"/>
      <c r="BK9" s="395"/>
      <c r="BL9" s="395"/>
      <c r="BM9" s="395"/>
      <c r="BN9" s="395"/>
      <c r="BO9" s="395"/>
      <c r="BP9" s="395"/>
      <c r="BQ9" s="369"/>
      <c r="BR9" s="369"/>
      <c r="BS9" s="395"/>
      <c r="BT9" s="369"/>
      <c r="BU9" s="369"/>
      <c r="BV9" s="369"/>
      <c r="BW9" s="369"/>
      <c r="BX9" s="369"/>
      <c r="BY9" s="369"/>
      <c r="CH9" s="395"/>
      <c r="CI9" s="511"/>
    </row>
    <row r="10" spans="1:87" s="370" customFormat="1" ht="15">
      <c r="B10" s="575"/>
      <c r="C10" s="576"/>
      <c r="D10" s="577" t="s">
        <v>87</v>
      </c>
      <c r="E10" s="578" t="s">
        <v>70</v>
      </c>
      <c r="F10" s="579" t="s">
        <v>1081</v>
      </c>
      <c r="G10" s="577" t="s">
        <v>87</v>
      </c>
      <c r="H10" s="578" t="s">
        <v>70</v>
      </c>
      <c r="I10" s="580" t="s">
        <v>1081</v>
      </c>
      <c r="J10" s="578" t="s">
        <v>1086</v>
      </c>
      <c r="K10" s="579" t="s">
        <v>1087</v>
      </c>
      <c r="L10" s="581" t="s">
        <v>1086</v>
      </c>
      <c r="M10" s="580" t="s">
        <v>1087</v>
      </c>
      <c r="N10" s="581" t="s">
        <v>1086</v>
      </c>
      <c r="O10" s="580" t="s">
        <v>1087</v>
      </c>
      <c r="P10" s="578" t="s">
        <v>1086</v>
      </c>
      <c r="Q10" s="582" t="s">
        <v>1081</v>
      </c>
      <c r="R10" s="583" t="s">
        <v>1086</v>
      </c>
      <c r="S10" s="579" t="s">
        <v>1081</v>
      </c>
      <c r="T10" s="581" t="s">
        <v>1086</v>
      </c>
      <c r="U10" s="580" t="s">
        <v>1087</v>
      </c>
      <c r="V10" s="581" t="s">
        <v>1086</v>
      </c>
      <c r="W10" s="580" t="s">
        <v>1087</v>
      </c>
      <c r="X10" s="584"/>
      <c r="Y10" s="585"/>
      <c r="Z10" s="586"/>
      <c r="AA10" s="587"/>
      <c r="AC10" s="588"/>
      <c r="AD10" s="588"/>
      <c r="AE10" s="588"/>
      <c r="AF10" s="588"/>
      <c r="AH10" s="521"/>
      <c r="AJ10" s="483"/>
      <c r="AK10" s="522"/>
      <c r="AL10" s="401"/>
      <c r="AM10" s="523"/>
      <c r="AO10" s="521"/>
      <c r="AQ10" s="369"/>
      <c r="AR10" s="418"/>
      <c r="AS10" s="483"/>
      <c r="AT10" s="418"/>
      <c r="AV10" s="521"/>
      <c r="AX10" s="395"/>
      <c r="AY10" s="395"/>
      <c r="AZ10" s="395"/>
      <c r="BA10" s="395"/>
      <c r="BB10" s="395"/>
      <c r="BC10" s="369"/>
      <c r="BD10" s="395"/>
      <c r="BE10" s="395"/>
      <c r="BF10" s="524"/>
      <c r="BG10" s="395"/>
      <c r="BH10" s="395"/>
      <c r="BI10" s="369"/>
      <c r="BJ10" s="395"/>
      <c r="BK10" s="395"/>
      <c r="BL10" s="395"/>
      <c r="BM10" s="395"/>
      <c r="BN10" s="395"/>
      <c r="BO10" s="395"/>
      <c r="BP10" s="395"/>
      <c r="BQ10" s="369"/>
      <c r="BR10" s="369"/>
      <c r="BS10" s="395"/>
      <c r="BT10" s="369"/>
      <c r="BU10" s="369"/>
      <c r="BV10" s="369"/>
      <c r="BW10" s="369"/>
      <c r="BX10" s="369"/>
      <c r="BY10" s="369"/>
      <c r="CH10" s="395"/>
      <c r="CI10" s="511"/>
    </row>
    <row r="11" spans="1:87" s="370" customFormat="1" ht="15">
      <c r="B11" s="589"/>
      <c r="C11" s="590"/>
      <c r="D11" s="591" t="str">
        <f>+O4</f>
        <v>SGCC</v>
      </c>
      <c r="E11" s="592">
        <f>VLOOKUP($D11,$D$12:$F$18,2,FALSE)</f>
        <v>8030</v>
      </c>
      <c r="F11" s="592">
        <f>VLOOKUP($D11,$D$12:$F$18,3,FALSE)</f>
        <v>22500</v>
      </c>
      <c r="G11" s="591" t="str">
        <f>+R4</f>
        <v>SUS316L</v>
      </c>
      <c r="H11" s="592">
        <f>VLOOKUP($G11,$G$12:$I$18,2,FALSE)</f>
        <v>8000</v>
      </c>
      <c r="I11" s="593">
        <f>VLOOKUP($G11,$G$12:$I$18,3,FALSE)</f>
        <v>80000</v>
      </c>
      <c r="J11" s="594">
        <f>SUM(J12:J18)*F4</f>
        <v>0.372</v>
      </c>
      <c r="K11" s="592">
        <f>SUM(K12:K18)*F4</f>
        <v>105216.77919288022</v>
      </c>
      <c r="L11" s="595">
        <f>SUM(L12:L18)*F4</f>
        <v>0.25</v>
      </c>
      <c r="M11" s="593">
        <f>SUM(M12:M18)*F4</f>
        <v>65000</v>
      </c>
      <c r="N11" s="595">
        <f>SUM(N12:N18)*K4</f>
        <v>0.25</v>
      </c>
      <c r="O11" s="593">
        <f>SUM(O12:O18)*K4</f>
        <v>65000</v>
      </c>
      <c r="P11" s="594">
        <f>SUM(P12:P18)*N4</f>
        <v>0.25</v>
      </c>
      <c r="Q11" s="596">
        <f>SUM(Q12:Q18)*N4</f>
        <v>65000</v>
      </c>
      <c r="R11" s="597">
        <f>SUM(R12:R18)*P4</f>
        <v>0.4284</v>
      </c>
      <c r="S11" s="592">
        <f>SUM(S12:S18)*P4</f>
        <v>9000</v>
      </c>
      <c r="T11" s="595">
        <f>SUM(T12:T18)*Q4</f>
        <v>0</v>
      </c>
      <c r="U11" s="593">
        <f>SUM(U12:U18)*Q4</f>
        <v>0</v>
      </c>
      <c r="V11" s="595">
        <f>SUM(V12:V18)*S4</f>
        <v>0</v>
      </c>
      <c r="W11" s="593">
        <f>SUM(W12:W18)*S4</f>
        <v>0</v>
      </c>
      <c r="X11" s="598"/>
      <c r="Y11" s="599"/>
      <c r="Z11" s="600"/>
      <c r="AA11" s="600"/>
      <c r="AC11" s="601"/>
      <c r="AD11" s="601"/>
      <c r="AE11" s="601"/>
      <c r="AF11" s="601"/>
      <c r="AH11" s="521"/>
      <c r="AJ11" s="483"/>
      <c r="AK11" s="522"/>
      <c r="AL11" s="401"/>
      <c r="AM11" s="523"/>
      <c r="AO11" s="521"/>
      <c r="AQ11" s="369"/>
      <c r="AR11" s="418"/>
      <c r="AS11" s="483"/>
      <c r="AT11" s="418"/>
      <c r="AV11" s="521"/>
      <c r="AX11" s="395"/>
      <c r="AY11" s="395"/>
      <c r="AZ11" s="395"/>
      <c r="BA11" s="395"/>
      <c r="BB11" s="395"/>
      <c r="BC11" s="369"/>
      <c r="BD11" s="395"/>
      <c r="BE11" s="395"/>
      <c r="BF11" s="524"/>
      <c r="BG11" s="395"/>
      <c r="BH11" s="395"/>
      <c r="BI11" s="369"/>
      <c r="BJ11" s="395"/>
      <c r="BK11" s="395"/>
      <c r="BL11" s="395"/>
      <c r="BM11" s="395"/>
      <c r="BN11" s="395"/>
      <c r="BO11" s="395"/>
      <c r="BP11" s="395"/>
      <c r="BQ11" s="369"/>
      <c r="BR11" s="369"/>
      <c r="BS11" s="395"/>
      <c r="BT11" s="369"/>
      <c r="BU11" s="369"/>
      <c r="BV11" s="369"/>
      <c r="BW11" s="369"/>
      <c r="BX11" s="369"/>
      <c r="BY11" s="369"/>
      <c r="CH11" s="395"/>
      <c r="CI11" s="511"/>
    </row>
    <row r="12" spans="1:87" s="370" customFormat="1" ht="13.9" customHeight="1" outlineLevel="1">
      <c r="B12" s="602"/>
      <c r="C12" s="603"/>
      <c r="D12" s="604" t="s">
        <v>1194</v>
      </c>
      <c r="E12" s="605">
        <v>8030</v>
      </c>
      <c r="F12" s="606">
        <v>22500</v>
      </c>
      <c r="G12" s="475" t="s">
        <v>1194</v>
      </c>
      <c r="H12" s="605">
        <v>8030</v>
      </c>
      <c r="I12" s="606">
        <v>22500</v>
      </c>
      <c r="J12" s="607">
        <v>0.372</v>
      </c>
      <c r="K12" s="608">
        <f>7.25632959950898*14500</f>
        <v>105216.77919288022</v>
      </c>
      <c r="L12" s="609">
        <v>0.25</v>
      </c>
      <c r="M12" s="610">
        <v>65000</v>
      </c>
      <c r="N12" s="607">
        <v>0.25</v>
      </c>
      <c r="O12" s="608">
        <v>65000</v>
      </c>
      <c r="P12" s="611">
        <v>0.25</v>
      </c>
      <c r="Q12" s="610">
        <v>65000</v>
      </c>
      <c r="R12" s="609">
        <f>60/1000000*7140</f>
        <v>0.4284</v>
      </c>
      <c r="S12" s="610">
        <v>9000</v>
      </c>
      <c r="T12" s="607">
        <v>0.25</v>
      </c>
      <c r="U12" s="608">
        <v>65000</v>
      </c>
      <c r="V12" s="607">
        <v>0.25</v>
      </c>
      <c r="W12" s="612">
        <v>65000</v>
      </c>
      <c r="X12" s="613"/>
      <c r="Y12" s="605" t="s">
        <v>46</v>
      </c>
      <c r="Z12" s="614">
        <v>1</v>
      </c>
      <c r="AA12" s="615"/>
      <c r="AC12" s="431"/>
      <c r="AD12" s="431"/>
      <c r="AE12" s="431"/>
      <c r="AF12" s="431"/>
      <c r="AH12" s="521"/>
      <c r="AJ12" s="483"/>
      <c r="AK12" s="522"/>
      <c r="AL12" s="401"/>
      <c r="AM12" s="523"/>
      <c r="AO12" s="521"/>
      <c r="AQ12" s="369"/>
      <c r="AR12" s="418"/>
      <c r="AS12" s="483"/>
      <c r="AT12" s="418"/>
      <c r="AV12" s="521"/>
      <c r="AX12" s="395"/>
      <c r="AY12" s="395"/>
      <c r="AZ12" s="395"/>
      <c r="BA12" s="395"/>
      <c r="BB12" s="395"/>
      <c r="BC12" s="369"/>
      <c r="BD12" s="395"/>
      <c r="BE12" s="395"/>
      <c r="BF12" s="524"/>
      <c r="BG12" s="395"/>
      <c r="BH12" s="395"/>
      <c r="BI12" s="369"/>
      <c r="BJ12" s="395"/>
      <c r="BK12" s="395"/>
      <c r="BL12" s="395"/>
      <c r="BM12" s="395"/>
      <c r="BN12" s="395"/>
      <c r="BO12" s="395"/>
      <c r="BP12" s="395"/>
      <c r="BQ12" s="369"/>
      <c r="BR12" s="369"/>
      <c r="BS12" s="395"/>
      <c r="BT12" s="369"/>
      <c r="BU12" s="369"/>
      <c r="BV12" s="369"/>
      <c r="BW12" s="369"/>
      <c r="BX12" s="369"/>
      <c r="BY12" s="369"/>
      <c r="CH12" s="395"/>
      <c r="CI12" s="511"/>
    </row>
    <row r="13" spans="1:87" s="370" customFormat="1" ht="13.9" customHeight="1" outlineLevel="1">
      <c r="B13" s="602"/>
      <c r="C13" s="603"/>
      <c r="D13" s="604" t="s">
        <v>1234</v>
      </c>
      <c r="E13" s="605">
        <v>7700</v>
      </c>
      <c r="F13" s="606">
        <v>18000</v>
      </c>
      <c r="G13" s="475" t="s">
        <v>1234</v>
      </c>
      <c r="H13" s="605">
        <v>7700</v>
      </c>
      <c r="I13" s="606">
        <v>18000</v>
      </c>
      <c r="J13" s="604"/>
      <c r="K13" s="605"/>
      <c r="L13" s="475"/>
      <c r="M13" s="616"/>
      <c r="N13" s="475"/>
      <c r="O13" s="616"/>
      <c r="P13" s="613"/>
      <c r="Q13" s="617"/>
      <c r="R13" s="618"/>
      <c r="S13" s="605"/>
      <c r="T13" s="475"/>
      <c r="U13" s="616"/>
      <c r="V13" s="475"/>
      <c r="W13" s="616"/>
      <c r="X13" s="613"/>
      <c r="Y13" s="605" t="s">
        <v>1076</v>
      </c>
      <c r="Z13" s="614">
        <v>0.88200000000000001</v>
      </c>
      <c r="AA13" s="619"/>
      <c r="AC13" s="431"/>
      <c r="AD13" s="431"/>
      <c r="AE13" s="431"/>
      <c r="AF13" s="431"/>
      <c r="AH13" s="521"/>
      <c r="AJ13" s="483"/>
      <c r="AK13" s="522"/>
      <c r="AL13" s="401"/>
      <c r="AM13" s="523"/>
      <c r="AO13" s="521"/>
      <c r="AQ13" s="369"/>
      <c r="AR13" s="418"/>
      <c r="AS13" s="483"/>
      <c r="AT13" s="418"/>
      <c r="AV13" s="521"/>
      <c r="AX13" s="395"/>
      <c r="AY13" s="395"/>
      <c r="AZ13" s="395"/>
      <c r="BA13" s="395"/>
      <c r="BB13" s="395"/>
      <c r="BC13" s="369"/>
      <c r="BD13" s="395"/>
      <c r="BE13" s="395"/>
      <c r="BF13" s="524"/>
      <c r="BG13" s="395"/>
      <c r="BH13" s="395"/>
      <c r="BI13" s="369"/>
      <c r="BJ13" s="395"/>
      <c r="BK13" s="395"/>
      <c r="BL13" s="395"/>
      <c r="BM13" s="395"/>
      <c r="BN13" s="395"/>
      <c r="BO13" s="395"/>
      <c r="BP13" s="395"/>
      <c r="BQ13" s="369"/>
      <c r="BR13" s="369"/>
      <c r="BS13" s="395"/>
      <c r="BT13" s="369"/>
      <c r="BU13" s="369"/>
      <c r="BV13" s="369"/>
      <c r="BW13" s="369"/>
      <c r="BX13" s="369"/>
      <c r="BY13" s="369"/>
      <c r="CH13" s="395"/>
      <c r="CI13" s="511"/>
    </row>
    <row r="14" spans="1:87" s="370" customFormat="1" ht="13.9" customHeight="1" outlineLevel="1">
      <c r="B14" s="602"/>
      <c r="C14" s="620"/>
      <c r="D14" s="604" t="s">
        <v>1083</v>
      </c>
      <c r="E14" s="605">
        <v>7800</v>
      </c>
      <c r="F14" s="606">
        <v>65000</v>
      </c>
      <c r="G14" s="475" t="s">
        <v>1083</v>
      </c>
      <c r="H14" s="605">
        <v>7800</v>
      </c>
      <c r="I14" s="606">
        <v>65000</v>
      </c>
      <c r="J14" s="604"/>
      <c r="K14" s="605"/>
      <c r="L14" s="475"/>
      <c r="M14" s="616"/>
      <c r="N14" s="475"/>
      <c r="O14" s="616"/>
      <c r="P14" s="613"/>
      <c r="Q14" s="617"/>
      <c r="R14" s="618"/>
      <c r="S14" s="605"/>
      <c r="T14" s="475"/>
      <c r="U14" s="616"/>
      <c r="V14" s="475"/>
      <c r="W14" s="616"/>
      <c r="X14" s="613"/>
      <c r="Y14" s="605" t="s">
        <v>1235</v>
      </c>
      <c r="Z14" s="614">
        <v>1.375</v>
      </c>
      <c r="AA14" s="495"/>
      <c r="AC14" s="431"/>
      <c r="AD14" s="431"/>
      <c r="AE14" s="431"/>
      <c r="AF14" s="431"/>
      <c r="AH14" s="521"/>
      <c r="AJ14" s="483"/>
      <c r="AK14" s="522"/>
      <c r="AL14" s="401"/>
      <c r="AM14" s="523"/>
      <c r="AO14" s="521"/>
      <c r="AQ14" s="369"/>
      <c r="AR14" s="418"/>
      <c r="AS14" s="483"/>
      <c r="AT14" s="418"/>
      <c r="AV14" s="521"/>
      <c r="AX14" s="395"/>
      <c r="AY14" s="395"/>
      <c r="AZ14" s="395"/>
      <c r="BA14" s="395"/>
      <c r="BB14" s="395"/>
      <c r="BC14" s="369"/>
      <c r="BD14" s="395"/>
      <c r="BE14" s="395"/>
      <c r="BF14" s="524"/>
      <c r="BG14" s="395"/>
      <c r="BH14" s="395"/>
      <c r="BI14" s="369"/>
      <c r="BJ14" s="395"/>
      <c r="BK14" s="395"/>
      <c r="BL14" s="395"/>
      <c r="BM14" s="395"/>
      <c r="BN14" s="395"/>
      <c r="BO14" s="395"/>
      <c r="BP14" s="395"/>
      <c r="BQ14" s="369"/>
      <c r="BR14" s="369"/>
      <c r="BS14" s="395"/>
      <c r="BT14" s="369"/>
      <c r="BU14" s="369"/>
      <c r="BV14" s="369"/>
      <c r="BW14" s="369"/>
      <c r="BX14" s="369"/>
      <c r="BY14" s="369"/>
      <c r="CH14" s="395"/>
      <c r="CI14" s="511"/>
    </row>
    <row r="15" spans="1:87" s="370" customFormat="1" ht="13.9" customHeight="1" outlineLevel="1">
      <c r="B15" s="602"/>
      <c r="C15" s="620"/>
      <c r="D15" s="604" t="s">
        <v>1084</v>
      </c>
      <c r="E15" s="605">
        <v>8000</v>
      </c>
      <c r="F15" s="606">
        <v>80000</v>
      </c>
      <c r="G15" s="475" t="s">
        <v>1084</v>
      </c>
      <c r="H15" s="605">
        <v>8000</v>
      </c>
      <c r="I15" s="606">
        <v>80000</v>
      </c>
      <c r="J15" s="604"/>
      <c r="K15" s="605"/>
      <c r="L15" s="475"/>
      <c r="M15" s="616"/>
      <c r="N15" s="475"/>
      <c r="O15" s="616"/>
      <c r="P15" s="605"/>
      <c r="Q15" s="617"/>
      <c r="R15" s="618"/>
      <c r="S15" s="605"/>
      <c r="T15" s="475"/>
      <c r="U15" s="616"/>
      <c r="V15" s="475"/>
      <c r="W15" s="616"/>
      <c r="X15" s="613"/>
      <c r="Y15" s="605" t="s">
        <v>22</v>
      </c>
      <c r="Z15" s="614">
        <v>4.1859999999999999</v>
      </c>
      <c r="AA15" s="495"/>
      <c r="AC15" s="431"/>
      <c r="AD15" s="431"/>
      <c r="AE15" s="431"/>
      <c r="AF15" s="431"/>
      <c r="AH15" s="521"/>
      <c r="AJ15" s="483"/>
      <c r="AK15" s="522"/>
      <c r="AL15" s="401"/>
      <c r="AM15" s="523"/>
      <c r="AO15" s="521"/>
      <c r="AQ15" s="369"/>
      <c r="AR15" s="418"/>
      <c r="AS15" s="483"/>
      <c r="AT15" s="418"/>
      <c r="AV15" s="521"/>
      <c r="AX15" s="395"/>
      <c r="AY15" s="395"/>
      <c r="AZ15" s="395"/>
      <c r="BA15" s="395"/>
      <c r="BB15" s="395"/>
      <c r="BC15" s="369"/>
      <c r="BD15" s="395"/>
      <c r="BE15" s="395"/>
      <c r="BF15" s="524"/>
      <c r="BG15" s="395"/>
      <c r="BH15" s="395"/>
      <c r="BI15" s="369"/>
      <c r="BJ15" s="395"/>
      <c r="BK15" s="395"/>
      <c r="BL15" s="395"/>
      <c r="BM15" s="395"/>
      <c r="BN15" s="395"/>
      <c r="BO15" s="395"/>
      <c r="BP15" s="395"/>
      <c r="BQ15" s="369"/>
      <c r="BR15" s="369"/>
      <c r="BS15" s="395"/>
      <c r="BT15" s="369"/>
      <c r="BU15" s="369"/>
      <c r="BV15" s="369"/>
      <c r="BW15" s="369"/>
      <c r="BX15" s="369"/>
      <c r="BY15" s="369"/>
      <c r="CH15" s="395"/>
      <c r="CI15" s="511"/>
    </row>
    <row r="16" spans="1:87" s="370" customFormat="1" ht="13.9" customHeight="1" outlineLevel="1">
      <c r="B16" s="602"/>
      <c r="C16" s="620"/>
      <c r="D16" s="604" t="s">
        <v>1236</v>
      </c>
      <c r="E16" s="605">
        <v>2720</v>
      </c>
      <c r="F16" s="606">
        <f>83085+(65000-54000)</f>
        <v>94085</v>
      </c>
      <c r="G16" s="475" t="s">
        <v>1236</v>
      </c>
      <c r="H16" s="605">
        <v>2720</v>
      </c>
      <c r="I16" s="606">
        <f>83085+(65000-54000)</f>
        <v>94085</v>
      </c>
      <c r="J16" s="604"/>
      <c r="K16" s="605"/>
      <c r="L16" s="475"/>
      <c r="M16" s="616"/>
      <c r="N16" s="475"/>
      <c r="O16" s="616"/>
      <c r="P16" s="605"/>
      <c r="Q16" s="617"/>
      <c r="R16" s="618"/>
      <c r="S16" s="605"/>
      <c r="T16" s="475"/>
      <c r="U16" s="616"/>
      <c r="V16" s="475"/>
      <c r="W16" s="616"/>
      <c r="X16" s="613"/>
      <c r="Y16" s="605" t="s">
        <v>1077</v>
      </c>
      <c r="Z16" s="614">
        <v>6.9349999999999996</v>
      </c>
      <c r="AA16" s="495"/>
      <c r="AC16" s="431"/>
      <c r="AD16" s="431"/>
      <c r="AE16" s="431"/>
      <c r="AF16" s="431"/>
      <c r="AH16" s="521"/>
      <c r="AJ16" s="483"/>
      <c r="AK16" s="522"/>
      <c r="AL16" s="401"/>
      <c r="AM16" s="523"/>
      <c r="AO16" s="521"/>
      <c r="AQ16" s="369"/>
      <c r="AR16" s="418"/>
      <c r="AS16" s="483"/>
      <c r="AT16" s="418"/>
      <c r="AV16" s="521"/>
      <c r="AX16" s="395"/>
      <c r="AY16" s="395"/>
      <c r="AZ16" s="395"/>
      <c r="BA16" s="395"/>
      <c r="BB16" s="395"/>
      <c r="BC16" s="369"/>
      <c r="BD16" s="395"/>
      <c r="BE16" s="395"/>
      <c r="BF16" s="524"/>
      <c r="BG16" s="395"/>
      <c r="BH16" s="395"/>
      <c r="BI16" s="369"/>
      <c r="BJ16" s="395"/>
      <c r="BK16" s="395"/>
      <c r="BL16" s="395"/>
      <c r="BM16" s="395"/>
      <c r="BN16" s="395"/>
      <c r="BO16" s="395"/>
      <c r="BP16" s="395"/>
      <c r="BQ16" s="369"/>
      <c r="BR16" s="369"/>
      <c r="BS16" s="395"/>
      <c r="BT16" s="369"/>
      <c r="BU16" s="369"/>
      <c r="BV16" s="369"/>
      <c r="BW16" s="369"/>
      <c r="BX16" s="369"/>
      <c r="BY16" s="369"/>
      <c r="CH16" s="395"/>
      <c r="CI16" s="511"/>
    </row>
    <row r="17" spans="2:87" s="370" customFormat="1" ht="13.9" customHeight="1" outlineLevel="1">
      <c r="B17" s="602"/>
      <c r="C17" s="620"/>
      <c r="D17" s="604" t="s">
        <v>1089</v>
      </c>
      <c r="E17" s="605">
        <v>8900</v>
      </c>
      <c r="F17" s="606">
        <v>207000</v>
      </c>
      <c r="G17" s="475" t="s">
        <v>1089</v>
      </c>
      <c r="H17" s="605">
        <v>8900</v>
      </c>
      <c r="I17" s="606">
        <v>207000</v>
      </c>
      <c r="J17" s="604"/>
      <c r="K17" s="605"/>
      <c r="L17" s="475"/>
      <c r="M17" s="616"/>
      <c r="N17" s="475"/>
      <c r="O17" s="616"/>
      <c r="P17" s="605"/>
      <c r="Q17" s="617"/>
      <c r="R17" s="618"/>
      <c r="S17" s="605"/>
      <c r="T17" s="475"/>
      <c r="U17" s="616"/>
      <c r="V17" s="475"/>
      <c r="W17" s="616"/>
      <c r="X17" s="613"/>
      <c r="Y17" s="605" t="s">
        <v>115</v>
      </c>
      <c r="Z17" s="621">
        <v>14654</v>
      </c>
      <c r="AA17" s="495"/>
      <c r="AC17" s="431"/>
      <c r="AD17" s="431"/>
      <c r="AE17" s="431"/>
      <c r="AF17" s="431"/>
      <c r="AH17" s="521"/>
      <c r="AJ17" s="483"/>
      <c r="AK17" s="522"/>
      <c r="AL17" s="401"/>
      <c r="AM17" s="523"/>
      <c r="AO17" s="521"/>
      <c r="AQ17" s="369"/>
      <c r="AR17" s="418"/>
      <c r="AS17" s="483"/>
      <c r="AT17" s="418"/>
      <c r="AV17" s="521"/>
      <c r="AX17" s="395"/>
      <c r="AY17" s="395"/>
      <c r="AZ17" s="395"/>
      <c r="BA17" s="395"/>
      <c r="BB17" s="395"/>
      <c r="BC17" s="369"/>
      <c r="BD17" s="395"/>
      <c r="BE17" s="395"/>
      <c r="BF17" s="524"/>
      <c r="BG17" s="395"/>
      <c r="BH17" s="395"/>
      <c r="BI17" s="369"/>
      <c r="BJ17" s="395"/>
      <c r="BK17" s="395"/>
      <c r="BL17" s="395"/>
      <c r="BM17" s="395"/>
      <c r="BN17" s="395"/>
      <c r="BO17" s="395"/>
      <c r="BP17" s="395"/>
      <c r="BQ17" s="369"/>
      <c r="BR17" s="369"/>
      <c r="BS17" s="395"/>
      <c r="BT17" s="369"/>
      <c r="BU17" s="369"/>
      <c r="BV17" s="369"/>
      <c r="BW17" s="369"/>
      <c r="BX17" s="369"/>
      <c r="BY17" s="369"/>
      <c r="CH17" s="395"/>
      <c r="CI17" s="511"/>
    </row>
    <row r="18" spans="2:87" s="370" customFormat="1" ht="13.9" customHeight="1" outlineLevel="1">
      <c r="B18" s="602"/>
      <c r="C18" s="620"/>
      <c r="D18" s="604"/>
      <c r="E18" s="605"/>
      <c r="F18" s="605"/>
      <c r="G18" s="493"/>
      <c r="H18" s="622"/>
      <c r="I18" s="623"/>
      <c r="J18" s="604"/>
      <c r="K18" s="605"/>
      <c r="L18" s="493"/>
      <c r="M18" s="623"/>
      <c r="N18" s="493"/>
      <c r="O18" s="623"/>
      <c r="P18" s="605"/>
      <c r="Q18" s="617"/>
      <c r="R18" s="624"/>
      <c r="S18" s="622"/>
      <c r="T18" s="493"/>
      <c r="U18" s="623"/>
      <c r="V18" s="493"/>
      <c r="W18" s="623"/>
      <c r="X18" s="613"/>
      <c r="Y18" s="494" t="s">
        <v>1078</v>
      </c>
      <c r="Z18" s="614">
        <v>71.906999999999996</v>
      </c>
      <c r="AA18" s="495"/>
      <c r="AC18" s="431"/>
      <c r="AD18" s="431"/>
      <c r="AE18" s="431"/>
      <c r="AF18" s="431"/>
      <c r="AH18" s="521"/>
      <c r="AJ18" s="483"/>
      <c r="AK18" s="522"/>
      <c r="AL18" s="401"/>
      <c r="AM18" s="523"/>
      <c r="AO18" s="521"/>
      <c r="AQ18" s="369"/>
      <c r="AR18" s="418"/>
      <c r="AS18" s="483"/>
      <c r="AT18" s="418"/>
      <c r="AV18" s="521"/>
      <c r="AX18" s="395"/>
      <c r="AY18" s="395"/>
      <c r="AZ18" s="395"/>
      <c r="BA18" s="395"/>
      <c r="BB18" s="395"/>
      <c r="BC18" s="369"/>
      <c r="BD18" s="395"/>
      <c r="BE18" s="395"/>
      <c r="BF18" s="524"/>
      <c r="BG18" s="395"/>
      <c r="BH18" s="395"/>
      <c r="BI18" s="369"/>
      <c r="BJ18" s="395"/>
      <c r="BK18" s="395"/>
      <c r="BL18" s="395"/>
      <c r="BM18" s="395"/>
      <c r="BN18" s="395"/>
      <c r="BO18" s="395"/>
      <c r="BP18" s="395"/>
      <c r="BQ18" s="369"/>
      <c r="BR18" s="369"/>
      <c r="BS18" s="395"/>
      <c r="BT18" s="369"/>
      <c r="BU18" s="369"/>
      <c r="BV18" s="369"/>
      <c r="BW18" s="369"/>
      <c r="BX18" s="369"/>
      <c r="BY18" s="369"/>
      <c r="CH18" s="395"/>
      <c r="CI18" s="511"/>
    </row>
    <row r="19" spans="2:87" s="370" customFormat="1" ht="15">
      <c r="B19" s="568" t="s">
        <v>1125</v>
      </c>
      <c r="C19" s="625"/>
      <c r="D19" s="2146" t="s">
        <v>727</v>
      </c>
      <c r="E19" s="2148"/>
      <c r="F19" s="2146" t="s">
        <v>728</v>
      </c>
      <c r="G19" s="2148"/>
      <c r="H19" s="2151" t="s">
        <v>729</v>
      </c>
      <c r="I19" s="2153"/>
      <c r="J19" s="2151" t="s">
        <v>730</v>
      </c>
      <c r="K19" s="2153"/>
      <c r="L19" s="2151" t="s">
        <v>731</v>
      </c>
      <c r="M19" s="2153"/>
      <c r="N19" s="2146" t="s">
        <v>1237</v>
      </c>
      <c r="O19" s="2147"/>
      <c r="P19" s="2147"/>
      <c r="Q19" s="2148"/>
      <c r="R19" s="2151" t="s">
        <v>1238</v>
      </c>
      <c r="S19" s="2152"/>
      <c r="T19" s="2152"/>
      <c r="U19" s="2152"/>
      <c r="V19" s="2152"/>
      <c r="W19" s="2152"/>
      <c r="X19" s="2152"/>
      <c r="Y19" s="2152"/>
      <c r="Z19" s="2153"/>
      <c r="AA19" s="626"/>
      <c r="AC19" s="574"/>
      <c r="AD19" s="574"/>
      <c r="AE19" s="574"/>
      <c r="AF19" s="574"/>
      <c r="AH19" s="521"/>
      <c r="AJ19" s="483"/>
      <c r="AK19" s="522"/>
      <c r="AL19" s="401"/>
      <c r="AM19" s="523"/>
      <c r="AO19" s="521"/>
      <c r="AQ19" s="369"/>
      <c r="AR19" s="418"/>
      <c r="AS19" s="483"/>
      <c r="AT19" s="418"/>
      <c r="AV19" s="521"/>
      <c r="AX19" s="395"/>
      <c r="AY19" s="395"/>
      <c r="AZ19" s="395"/>
      <c r="BA19" s="395"/>
      <c r="BB19" s="395"/>
      <c r="BC19" s="369"/>
      <c r="BD19" s="395"/>
      <c r="BE19" s="395"/>
      <c r="BF19" s="524"/>
      <c r="BG19" s="395"/>
      <c r="BH19" s="395"/>
      <c r="BI19" s="369"/>
      <c r="BJ19" s="395"/>
      <c r="BK19" s="395"/>
      <c r="BL19" s="395"/>
      <c r="BM19" s="395"/>
      <c r="BN19" s="395"/>
      <c r="BO19" s="395"/>
      <c r="BP19" s="395"/>
      <c r="BQ19" s="369"/>
      <c r="BR19" s="369"/>
      <c r="BS19" s="395"/>
      <c r="BT19" s="369"/>
      <c r="BU19" s="369"/>
      <c r="BV19" s="369"/>
      <c r="BW19" s="369"/>
      <c r="BX19" s="369"/>
      <c r="BY19" s="369"/>
      <c r="CH19" s="395"/>
      <c r="CI19" s="511"/>
    </row>
    <row r="20" spans="2:87" s="370" customFormat="1" ht="15">
      <c r="B20" s="575"/>
      <c r="C20" s="627" t="s">
        <v>87</v>
      </c>
      <c r="D20" s="577" t="s">
        <v>732</v>
      </c>
      <c r="E20" s="578" t="s">
        <v>733</v>
      </c>
      <c r="F20" s="577" t="s">
        <v>732</v>
      </c>
      <c r="G20" s="628" t="s">
        <v>733</v>
      </c>
      <c r="H20" s="578" t="s">
        <v>734</v>
      </c>
      <c r="I20" s="579" t="s">
        <v>735</v>
      </c>
      <c r="J20" s="581" t="s">
        <v>734</v>
      </c>
      <c r="K20" s="580" t="s">
        <v>735</v>
      </c>
      <c r="L20" s="578" t="s">
        <v>732</v>
      </c>
      <c r="M20" s="579" t="s">
        <v>733</v>
      </c>
      <c r="N20" s="577" t="s">
        <v>1239</v>
      </c>
      <c r="O20" s="578" t="s">
        <v>1240</v>
      </c>
      <c r="P20" s="579" t="s">
        <v>1241</v>
      </c>
      <c r="Q20" s="628" t="s">
        <v>1242</v>
      </c>
      <c r="R20" s="578" t="s">
        <v>1240</v>
      </c>
      <c r="S20" s="579" t="s">
        <v>1241</v>
      </c>
      <c r="T20" s="579" t="s">
        <v>1243</v>
      </c>
      <c r="U20" s="579" t="s">
        <v>1244</v>
      </c>
      <c r="V20" s="629" t="s">
        <v>1245</v>
      </c>
      <c r="W20" s="578" t="s">
        <v>1246</v>
      </c>
      <c r="X20" s="584" t="s">
        <v>1247</v>
      </c>
      <c r="Y20" s="584" t="s">
        <v>1248</v>
      </c>
      <c r="Z20" s="578"/>
      <c r="AA20" s="630"/>
      <c r="AC20" s="588"/>
      <c r="AD20" s="588"/>
      <c r="AE20" s="588"/>
      <c r="AF20" s="588"/>
      <c r="AH20" s="521"/>
      <c r="AJ20" s="483"/>
      <c r="AK20" s="522"/>
      <c r="AL20" s="401"/>
      <c r="AM20" s="523"/>
      <c r="AO20" s="521"/>
      <c r="AQ20" s="369"/>
      <c r="AR20" s="418"/>
      <c r="AS20" s="483"/>
      <c r="AT20" s="418"/>
      <c r="AV20" s="521"/>
      <c r="AX20" s="395"/>
      <c r="AY20" s="395"/>
      <c r="AZ20" s="395"/>
      <c r="BA20" s="395"/>
      <c r="BB20" s="395"/>
      <c r="BC20" s="369"/>
      <c r="BD20" s="395"/>
      <c r="BE20" s="395"/>
      <c r="BF20" s="524"/>
      <c r="BG20" s="395"/>
      <c r="BH20" s="395"/>
      <c r="BI20" s="369"/>
      <c r="BJ20" s="395"/>
      <c r="BK20" s="395"/>
      <c r="BL20" s="395"/>
      <c r="BM20" s="395"/>
      <c r="BN20" s="395"/>
      <c r="BO20" s="395"/>
      <c r="BP20" s="395"/>
      <c r="BQ20" s="369"/>
      <c r="BR20" s="369"/>
      <c r="BS20" s="395"/>
      <c r="BT20" s="369"/>
      <c r="BU20" s="369"/>
      <c r="BV20" s="369"/>
      <c r="BW20" s="369"/>
      <c r="BX20" s="369"/>
      <c r="BY20" s="369"/>
      <c r="CH20" s="395"/>
      <c r="CI20" s="511"/>
    </row>
    <row r="21" spans="2:87" s="370" customFormat="1" ht="15">
      <c r="B21" s="589"/>
      <c r="C21" s="631" t="str">
        <f>+D$4</f>
        <v>1540T(NA06)</v>
      </c>
      <c r="D21" s="591">
        <f>VLOOKUP($C21,$C$22:$Y$40,2,FALSE)</f>
        <v>0.71099999999999997</v>
      </c>
      <c r="E21" s="592">
        <f>VLOOKUP($C21,$C$22:$Y$40,3,FALSE)</f>
        <v>46215</v>
      </c>
      <c r="F21" s="595">
        <f>VLOOKUP($C21,$C$22:$Y$40,4,FALSE)</f>
        <v>0.53900000000000003</v>
      </c>
      <c r="G21" s="593">
        <f>VLOOKUP($C21,$C$22:$Y$40,5,FALSE)</f>
        <v>35035</v>
      </c>
      <c r="H21" s="594">
        <f>VLOOKUP($C21,$C$22:$Y$40,6,FALSE)</f>
        <v>0.12388600000000001</v>
      </c>
      <c r="I21" s="592">
        <f>VLOOKUP($C21,$C$22:$Y$40,7,FALSE)</f>
        <v>7000</v>
      </c>
      <c r="J21" s="595">
        <f>VLOOKUP($C21,$C$22:$Y$40,8,FALSE)</f>
        <v>0</v>
      </c>
      <c r="K21" s="593">
        <f>VLOOKUP($C21,$C$22:$Y$40,9,FALSE)</f>
        <v>0</v>
      </c>
      <c r="L21" s="594">
        <f>VLOOKUP($C21,$C$22:$Y$40,10,FALSE)</f>
        <v>0</v>
      </c>
      <c r="M21" s="592">
        <f>VLOOKUP($C21,$C$22:$Y$40,11,FALSE)</f>
        <v>0</v>
      </c>
      <c r="N21" s="632">
        <f>VLOOKUP($C21,$C$22:$X$40,12,FALSE)</f>
        <v>115</v>
      </c>
      <c r="O21" s="598">
        <f>VLOOKUP($C21,$C$22:$X$40,13,FALSE)</f>
        <v>198</v>
      </c>
      <c r="P21" s="598">
        <f>VLOOKUP($C21,$C$22:$X$40,14,FALSE)</f>
        <v>198</v>
      </c>
      <c r="Q21" s="600">
        <f>VLOOKUP($C21,$C$22:$X$40,15,FALSE)</f>
        <v>0</v>
      </c>
      <c r="R21" s="599">
        <f>VLOOKUP($C21,$C$22:$Y$40,16,FALSE)</f>
        <v>60</v>
      </c>
      <c r="S21" s="599">
        <f>VLOOKUP($C21,$C$22:$Y$40,17,FALSE)</f>
        <v>40</v>
      </c>
      <c r="T21" s="599">
        <f>VLOOKUP($C21,$C$22:$Y$40,18,FALSE)</f>
        <v>0</v>
      </c>
      <c r="U21" s="599">
        <f>VLOOKUP($C21,$C$22:$Y$40,19,FALSE)</f>
        <v>40</v>
      </c>
      <c r="V21" s="592">
        <f>VLOOKUP($C21,$C$22:$Y$40,20,FALSE)</f>
        <v>0</v>
      </c>
      <c r="W21" s="592">
        <f>VLOOKUP($C21,$C$22:$Y$40,21,FALSE)</f>
        <v>0</v>
      </c>
      <c r="X21" s="598">
        <f>VLOOKUP($C21,$C$22:$Y$40,22,FALSE)</f>
        <v>40</v>
      </c>
      <c r="Y21" s="599">
        <f>VLOOKUP($C21,$C$22:$Y$40,23,FALSE)</f>
        <v>40</v>
      </c>
      <c r="Z21" s="599"/>
      <c r="AA21" s="633"/>
      <c r="AC21" s="601"/>
      <c r="AD21" s="601"/>
      <c r="AE21" s="601"/>
      <c r="AF21" s="601"/>
      <c r="AH21" s="521"/>
      <c r="AJ21" s="483"/>
      <c r="AK21" s="522"/>
      <c r="AL21" s="401"/>
      <c r="AM21" s="523"/>
      <c r="AO21" s="521"/>
      <c r="AQ21" s="369"/>
      <c r="AR21" s="418"/>
      <c r="AS21" s="483"/>
      <c r="AT21" s="418"/>
      <c r="AV21" s="521"/>
      <c r="AX21" s="395"/>
      <c r="AY21" s="395"/>
      <c r="AZ21" s="395"/>
      <c r="BA21" s="395"/>
      <c r="BB21" s="395"/>
      <c r="BC21" s="369"/>
      <c r="BD21" s="395"/>
      <c r="BE21" s="395"/>
      <c r="BF21" s="524"/>
      <c r="BG21" s="395"/>
      <c r="BH21" s="395"/>
      <c r="BI21" s="369"/>
      <c r="BJ21" s="395"/>
      <c r="BK21" s="395"/>
      <c r="BL21" s="395"/>
      <c r="BM21" s="395"/>
      <c r="BN21" s="395"/>
      <c r="BO21" s="395"/>
      <c r="BP21" s="395"/>
      <c r="BQ21" s="369"/>
      <c r="BR21" s="369"/>
      <c r="BS21" s="395"/>
      <c r="BT21" s="369"/>
      <c r="BU21" s="369"/>
      <c r="BV21" s="369"/>
      <c r="BW21" s="369"/>
      <c r="BX21" s="369"/>
      <c r="BY21" s="369"/>
      <c r="CH21" s="395"/>
      <c r="CI21" s="511"/>
    </row>
    <row r="22" spans="2:87" s="370" customFormat="1" ht="13.9" customHeight="1" outlineLevel="1">
      <c r="B22" s="602"/>
      <c r="C22" s="620" t="s">
        <v>1249</v>
      </c>
      <c r="D22" s="604">
        <v>0</v>
      </c>
      <c r="E22" s="605">
        <v>0</v>
      </c>
      <c r="F22" s="475">
        <v>0</v>
      </c>
      <c r="G22" s="616">
        <v>0</v>
      </c>
      <c r="H22" s="604">
        <v>0</v>
      </c>
      <c r="I22" s="605">
        <v>0</v>
      </c>
      <c r="J22" s="475">
        <v>0</v>
      </c>
      <c r="K22" s="616">
        <v>0</v>
      </c>
      <c r="L22" s="604">
        <v>0</v>
      </c>
      <c r="M22" s="605">
        <f>L22*(IF($E$4="NA6",54000,59500))</f>
        <v>0</v>
      </c>
      <c r="N22" s="634">
        <v>0</v>
      </c>
      <c r="O22" s="613">
        <v>0</v>
      </c>
      <c r="P22" s="635">
        <v>0</v>
      </c>
      <c r="Q22" s="636">
        <v>0</v>
      </c>
      <c r="R22" s="613">
        <v>0</v>
      </c>
      <c r="S22" s="613">
        <v>0</v>
      </c>
      <c r="T22" s="613">
        <v>0</v>
      </c>
      <c r="U22" s="613">
        <v>0</v>
      </c>
      <c r="V22" s="613">
        <v>0</v>
      </c>
      <c r="W22" s="605">
        <v>0</v>
      </c>
      <c r="X22" s="613">
        <v>0</v>
      </c>
      <c r="Y22" s="613">
        <v>0</v>
      </c>
      <c r="Z22" s="637"/>
      <c r="AA22" s="495"/>
      <c r="AC22" s="431"/>
      <c r="AD22" s="431"/>
      <c r="AE22" s="431"/>
      <c r="AF22" s="431"/>
      <c r="AH22" s="521"/>
      <c r="AJ22" s="483"/>
      <c r="AK22" s="522"/>
      <c r="AL22" s="401"/>
      <c r="AM22" s="523"/>
      <c r="AO22" s="521"/>
      <c r="AQ22" s="369"/>
      <c r="AR22" s="418"/>
      <c r="AS22" s="483"/>
      <c r="AT22" s="418"/>
      <c r="AV22" s="521"/>
      <c r="AX22" s="395"/>
      <c r="AY22" s="395"/>
      <c r="AZ22" s="395"/>
      <c r="BA22" s="395"/>
      <c r="BB22" s="395"/>
      <c r="BC22" s="369"/>
      <c r="BD22" s="395"/>
      <c r="BE22" s="395"/>
      <c r="BF22" s="524"/>
      <c r="BG22" s="395"/>
      <c r="BH22" s="395"/>
      <c r="BI22" s="369"/>
      <c r="BJ22" s="395"/>
      <c r="BK22" s="395"/>
      <c r="BL22" s="395"/>
      <c r="BM22" s="395"/>
      <c r="BN22" s="395"/>
      <c r="BO22" s="395"/>
      <c r="BP22" s="395"/>
      <c r="BQ22" s="369"/>
      <c r="BR22" s="369"/>
      <c r="BS22" s="395"/>
      <c r="BT22" s="369"/>
      <c r="BU22" s="369"/>
      <c r="BV22" s="369"/>
      <c r="BW22" s="369"/>
      <c r="BX22" s="369"/>
      <c r="BY22" s="369"/>
      <c r="CH22" s="395"/>
      <c r="CI22" s="511"/>
    </row>
    <row r="23" spans="2:87" s="370" customFormat="1" ht="13.9" customHeight="1" outlineLevel="1">
      <c r="B23" s="602"/>
      <c r="C23" s="620" t="s">
        <v>737</v>
      </c>
      <c r="D23" s="604">
        <v>0.316</v>
      </c>
      <c r="E23" s="606">
        <f>0.316*65000</f>
        <v>20540</v>
      </c>
      <c r="F23" s="475">
        <v>0.39860000000000007</v>
      </c>
      <c r="G23" s="638">
        <f>0.399*65000</f>
        <v>25935</v>
      </c>
      <c r="H23" s="604">
        <v>0.12</v>
      </c>
      <c r="I23" s="605">
        <v>7000</v>
      </c>
      <c r="J23" s="475">
        <v>0</v>
      </c>
      <c r="K23" s="616">
        <v>0</v>
      </c>
      <c r="L23" s="604">
        <v>0</v>
      </c>
      <c r="M23" s="605">
        <f>L23*(IF($E$4="NA6",54000,59500))</f>
        <v>0</v>
      </c>
      <c r="N23" s="634">
        <v>84</v>
      </c>
      <c r="O23" s="613">
        <v>136</v>
      </c>
      <c r="P23" s="635">
        <v>136</v>
      </c>
      <c r="Q23" s="636">
        <v>0</v>
      </c>
      <c r="R23" s="613">
        <v>35</v>
      </c>
      <c r="S23" s="613">
        <v>20</v>
      </c>
      <c r="T23" s="613">
        <v>0</v>
      </c>
      <c r="U23" s="613">
        <v>20</v>
      </c>
      <c r="V23" s="613">
        <v>0</v>
      </c>
      <c r="W23" s="605">
        <v>0</v>
      </c>
      <c r="X23" s="613">
        <v>20</v>
      </c>
      <c r="Y23" s="613">
        <v>20</v>
      </c>
      <c r="Z23" s="637"/>
      <c r="AA23" s="495"/>
      <c r="AC23" s="431"/>
      <c r="AD23" s="431"/>
      <c r="AE23" s="431"/>
      <c r="AF23" s="431"/>
      <c r="AH23" s="521"/>
      <c r="AJ23" s="483"/>
      <c r="AK23" s="522"/>
      <c r="AL23" s="401"/>
      <c r="AM23" s="523"/>
      <c r="AO23" s="521"/>
      <c r="AQ23" s="369"/>
      <c r="AR23" s="418"/>
      <c r="AS23" s="483"/>
      <c r="AT23" s="418"/>
      <c r="AV23" s="521"/>
      <c r="AX23" s="395"/>
      <c r="AY23" s="395"/>
      <c r="AZ23" s="395"/>
      <c r="BA23" s="395"/>
      <c r="BB23" s="395"/>
      <c r="BC23" s="369"/>
      <c r="BD23" s="395"/>
      <c r="BE23" s="395"/>
      <c r="BF23" s="524"/>
      <c r="BG23" s="395"/>
      <c r="BH23" s="395"/>
      <c r="BI23" s="369"/>
      <c r="BJ23" s="395"/>
      <c r="BK23" s="395"/>
      <c r="BL23" s="395"/>
      <c r="BM23" s="395"/>
      <c r="BN23" s="395"/>
      <c r="BO23" s="395"/>
      <c r="BP23" s="395"/>
      <c r="BQ23" s="369"/>
      <c r="BR23" s="369"/>
      <c r="BS23" s="395"/>
      <c r="BT23" s="369"/>
      <c r="BU23" s="369"/>
      <c r="BV23" s="369"/>
      <c r="BW23" s="369"/>
      <c r="BX23" s="369"/>
      <c r="BY23" s="369"/>
      <c r="CH23" s="395"/>
      <c r="CI23" s="511"/>
    </row>
    <row r="24" spans="2:87" s="370" customFormat="1" ht="13.9" customHeight="1" outlineLevel="1">
      <c r="B24" s="602"/>
      <c r="C24" s="620" t="s">
        <v>738</v>
      </c>
      <c r="D24" s="604">
        <v>0.316</v>
      </c>
      <c r="E24" s="606">
        <f>0.316*70500</f>
        <v>22278</v>
      </c>
      <c r="F24" s="475">
        <v>0.39860000000000007</v>
      </c>
      <c r="G24" s="638">
        <f>0.399*70500</f>
        <v>28129.5</v>
      </c>
      <c r="H24" s="604">
        <v>0.12</v>
      </c>
      <c r="I24" s="605">
        <v>7000</v>
      </c>
      <c r="J24" s="475">
        <v>0</v>
      </c>
      <c r="K24" s="616">
        <v>0</v>
      </c>
      <c r="L24" s="604">
        <v>0</v>
      </c>
      <c r="M24" s="605">
        <f>L24*(IF($E$4="NA6",54000,59500))</f>
        <v>0</v>
      </c>
      <c r="N24" s="634">
        <v>84</v>
      </c>
      <c r="O24" s="613">
        <v>136</v>
      </c>
      <c r="P24" s="635">
        <v>136</v>
      </c>
      <c r="Q24" s="636">
        <v>0</v>
      </c>
      <c r="R24" s="613">
        <v>35</v>
      </c>
      <c r="S24" s="613">
        <v>20</v>
      </c>
      <c r="T24" s="613">
        <v>0</v>
      </c>
      <c r="U24" s="613">
        <v>20</v>
      </c>
      <c r="V24" s="613">
        <v>0</v>
      </c>
      <c r="W24" s="605">
        <v>0</v>
      </c>
      <c r="X24" s="613">
        <v>20</v>
      </c>
      <c r="Y24" s="613">
        <v>20</v>
      </c>
      <c r="Z24" s="637"/>
      <c r="AA24" s="495"/>
      <c r="AC24" s="431"/>
      <c r="AD24" s="431"/>
      <c r="AE24" s="431"/>
      <c r="AF24" s="431"/>
      <c r="AH24" s="521"/>
      <c r="AJ24" s="483"/>
      <c r="AK24" s="522"/>
      <c r="AL24" s="401"/>
      <c r="AM24" s="523"/>
      <c r="AO24" s="521"/>
      <c r="AQ24" s="369"/>
      <c r="AR24" s="418"/>
      <c r="AS24" s="483"/>
      <c r="AT24" s="418"/>
      <c r="AV24" s="521"/>
      <c r="AX24" s="395"/>
      <c r="AY24" s="395"/>
      <c r="AZ24" s="395"/>
      <c r="BA24" s="395"/>
      <c r="BB24" s="395"/>
      <c r="BC24" s="369"/>
      <c r="BD24" s="395"/>
      <c r="BE24" s="395"/>
      <c r="BF24" s="524"/>
      <c r="BG24" s="395"/>
      <c r="BH24" s="395"/>
      <c r="BI24" s="369"/>
      <c r="BJ24" s="395"/>
      <c r="BK24" s="395"/>
      <c r="BL24" s="395"/>
      <c r="BM24" s="395"/>
      <c r="BN24" s="395"/>
      <c r="BO24" s="395"/>
      <c r="BP24" s="395"/>
      <c r="BQ24" s="369"/>
      <c r="BR24" s="369"/>
      <c r="BS24" s="395"/>
      <c r="BT24" s="369"/>
      <c r="BU24" s="369"/>
      <c r="BV24" s="369"/>
      <c r="BW24" s="369"/>
      <c r="BX24" s="369"/>
      <c r="BY24" s="369"/>
      <c r="CH24" s="395"/>
      <c r="CI24" s="511"/>
    </row>
    <row r="25" spans="2:87" s="370" customFormat="1" ht="13.9" customHeight="1" outlineLevel="1">
      <c r="B25" s="602"/>
      <c r="C25" s="620" t="s">
        <v>739</v>
      </c>
      <c r="D25" s="604">
        <v>0.71099999999999997</v>
      </c>
      <c r="E25" s="606">
        <f>0.711*65000</f>
        <v>46215</v>
      </c>
      <c r="F25" s="475">
        <v>0.53900000000000003</v>
      </c>
      <c r="G25" s="638">
        <f>0.539*65000</f>
        <v>35035</v>
      </c>
      <c r="H25" s="604">
        <v>0.12388600000000001</v>
      </c>
      <c r="I25" s="605">
        <v>7000</v>
      </c>
      <c r="J25" s="475">
        <v>0</v>
      </c>
      <c r="K25" s="616">
        <v>0</v>
      </c>
      <c r="L25" s="604">
        <v>0</v>
      </c>
      <c r="M25" s="605">
        <f>L25*(IF($E$4="NA6",54000,59500))</f>
        <v>0</v>
      </c>
      <c r="N25" s="634">
        <v>115</v>
      </c>
      <c r="O25" s="635">
        <v>198</v>
      </c>
      <c r="P25" s="613">
        <v>198</v>
      </c>
      <c r="Q25" s="636">
        <v>0</v>
      </c>
      <c r="R25" s="613">
        <v>60</v>
      </c>
      <c r="S25" s="613">
        <v>40</v>
      </c>
      <c r="T25" s="613">
        <v>0</v>
      </c>
      <c r="U25" s="613">
        <v>40</v>
      </c>
      <c r="V25" s="613">
        <v>0</v>
      </c>
      <c r="W25" s="605">
        <v>0</v>
      </c>
      <c r="X25" s="613">
        <v>40</v>
      </c>
      <c r="Y25" s="613">
        <v>40</v>
      </c>
      <c r="Z25" s="637"/>
      <c r="AA25" s="495"/>
      <c r="AC25" s="431"/>
      <c r="AD25" s="431"/>
      <c r="AE25" s="431"/>
      <c r="AF25" s="431"/>
      <c r="AH25" s="521"/>
      <c r="AJ25" s="483"/>
      <c r="AK25" s="522"/>
      <c r="AL25" s="401"/>
      <c r="AM25" s="523"/>
      <c r="AO25" s="521"/>
      <c r="AQ25" s="369"/>
      <c r="AR25" s="418"/>
      <c r="AS25" s="483"/>
      <c r="AT25" s="418"/>
      <c r="AV25" s="521"/>
      <c r="AX25" s="395"/>
      <c r="AY25" s="395"/>
      <c r="AZ25" s="395"/>
      <c r="BA25" s="395"/>
      <c r="BB25" s="395"/>
      <c r="BC25" s="369"/>
      <c r="BD25" s="395"/>
      <c r="BE25" s="395"/>
      <c r="BF25" s="524"/>
      <c r="BG25" s="395"/>
      <c r="BH25" s="395"/>
      <c r="BI25" s="369"/>
      <c r="BJ25" s="395"/>
      <c r="BK25" s="395"/>
      <c r="BL25" s="395"/>
      <c r="BM25" s="395"/>
      <c r="BN25" s="395"/>
      <c r="BO25" s="395"/>
      <c r="BP25" s="395"/>
      <c r="BQ25" s="369"/>
      <c r="BR25" s="369"/>
      <c r="BS25" s="395"/>
      <c r="BT25" s="369"/>
      <c r="BU25" s="369"/>
      <c r="BV25" s="369"/>
      <c r="BW25" s="369"/>
      <c r="BX25" s="369"/>
      <c r="BY25" s="369"/>
      <c r="CH25" s="395"/>
      <c r="CI25" s="511"/>
    </row>
    <row r="26" spans="2:87" s="370" customFormat="1" ht="13.9" customHeight="1" outlineLevel="1">
      <c r="B26" s="602"/>
      <c r="C26" s="620" t="s">
        <v>740</v>
      </c>
      <c r="D26" s="604">
        <v>0.71099999999999997</v>
      </c>
      <c r="E26" s="606">
        <f>0.711*70500</f>
        <v>50125.5</v>
      </c>
      <c r="F26" s="475">
        <v>0.53900000000000003</v>
      </c>
      <c r="G26" s="638">
        <f>0.539*70500</f>
        <v>37999.5</v>
      </c>
      <c r="H26" s="604">
        <v>0.12388600000000001</v>
      </c>
      <c r="I26" s="605">
        <v>7000</v>
      </c>
      <c r="J26" s="475">
        <v>0</v>
      </c>
      <c r="K26" s="616">
        <v>0</v>
      </c>
      <c r="L26" s="604">
        <v>0</v>
      </c>
      <c r="M26" s="605">
        <f>L26*(IF($E$4="NA6",54000,59500))</f>
        <v>0</v>
      </c>
      <c r="N26" s="634">
        <v>115</v>
      </c>
      <c r="O26" s="635">
        <v>198</v>
      </c>
      <c r="P26" s="613">
        <v>198</v>
      </c>
      <c r="Q26" s="636">
        <v>0</v>
      </c>
      <c r="R26" s="613">
        <v>60</v>
      </c>
      <c r="S26" s="613">
        <v>40</v>
      </c>
      <c r="T26" s="613">
        <v>0</v>
      </c>
      <c r="U26" s="613">
        <v>40</v>
      </c>
      <c r="V26" s="605">
        <v>0</v>
      </c>
      <c r="W26" s="605">
        <v>0</v>
      </c>
      <c r="X26" s="613">
        <v>40</v>
      </c>
      <c r="Y26" s="613">
        <v>40</v>
      </c>
      <c r="Z26" s="637"/>
      <c r="AA26" s="495"/>
      <c r="AC26" s="431"/>
      <c r="AD26" s="431"/>
      <c r="AE26" s="431"/>
      <c r="AF26" s="431"/>
      <c r="AH26" s="521"/>
      <c r="AJ26" s="483"/>
      <c r="AK26" s="522"/>
      <c r="AL26" s="401"/>
      <c r="AM26" s="523"/>
      <c r="AO26" s="521"/>
      <c r="AQ26" s="369"/>
      <c r="AR26" s="418"/>
      <c r="AS26" s="483"/>
      <c r="AT26" s="418"/>
      <c r="AV26" s="521"/>
      <c r="AX26" s="395"/>
      <c r="AY26" s="395"/>
      <c r="AZ26" s="395"/>
      <c r="BA26" s="395"/>
      <c r="BB26" s="395"/>
      <c r="BC26" s="369"/>
      <c r="BD26" s="395"/>
      <c r="BE26" s="395"/>
      <c r="BF26" s="524"/>
      <c r="BG26" s="395"/>
      <c r="BH26" s="395"/>
      <c r="BI26" s="369"/>
      <c r="BJ26" s="395"/>
      <c r="BK26" s="395"/>
      <c r="BL26" s="395"/>
      <c r="BM26" s="395"/>
      <c r="BN26" s="395"/>
      <c r="BO26" s="395"/>
      <c r="BP26" s="395"/>
      <c r="BQ26" s="369"/>
      <c r="BR26" s="369"/>
      <c r="BS26" s="395"/>
      <c r="BT26" s="369"/>
      <c r="BU26" s="369"/>
      <c r="BV26" s="369"/>
      <c r="BW26" s="369"/>
      <c r="BX26" s="369"/>
      <c r="BY26" s="369"/>
      <c r="CH26" s="395"/>
      <c r="CI26" s="511"/>
    </row>
    <row r="27" spans="2:87" s="370" customFormat="1" ht="13.9" customHeight="1" outlineLevel="1">
      <c r="B27" s="602"/>
      <c r="C27" s="620" t="s">
        <v>741</v>
      </c>
      <c r="D27" s="604">
        <f>0.647+0.354+0.168*2</f>
        <v>1.337</v>
      </c>
      <c r="E27" s="606">
        <f>(0.647+0.354)*65000+7000*2</f>
        <v>79065</v>
      </c>
      <c r="F27" s="475">
        <f>0.392+0.521+0.168*2</f>
        <v>1.2490000000000001</v>
      </c>
      <c r="G27" s="638">
        <f>(0.392+0.521)*65000+7000*2</f>
        <v>73345</v>
      </c>
      <c r="H27" s="604">
        <v>0.13427</v>
      </c>
      <c r="I27" s="605">
        <f>12/6.3*1.16*14700</f>
        <v>32480.000000000004</v>
      </c>
      <c r="J27" s="475">
        <v>3.5000000000000003E-2</v>
      </c>
      <c r="K27" s="616">
        <v>4000</v>
      </c>
      <c r="L27" s="604">
        <v>0.17899999999999996</v>
      </c>
      <c r="M27" s="606">
        <f>0.179*65000</f>
        <v>11635</v>
      </c>
      <c r="N27" s="634">
        <v>95</v>
      </c>
      <c r="O27" s="635">
        <v>244</v>
      </c>
      <c r="P27" s="613">
        <v>201</v>
      </c>
      <c r="Q27" s="636">
        <v>14</v>
      </c>
      <c r="R27" s="613">
        <v>84</v>
      </c>
      <c r="S27" s="613">
        <v>84</v>
      </c>
      <c r="T27" s="613">
        <v>26</v>
      </c>
      <c r="U27" s="613">
        <v>40</v>
      </c>
      <c r="V27" s="605">
        <v>60</v>
      </c>
      <c r="W27" s="605">
        <v>75</v>
      </c>
      <c r="X27" s="613">
        <v>56</v>
      </c>
      <c r="Y27" s="613">
        <v>34</v>
      </c>
      <c r="Z27" s="637"/>
      <c r="AA27" s="495"/>
      <c r="AC27" s="431"/>
      <c r="AD27" s="431"/>
      <c r="AE27" s="431"/>
      <c r="AF27" s="431"/>
      <c r="AH27" s="521"/>
      <c r="AJ27" s="483"/>
      <c r="AK27" s="522"/>
      <c r="AL27" s="401"/>
      <c r="AM27" s="523"/>
      <c r="AO27" s="521"/>
      <c r="AQ27" s="369"/>
      <c r="AR27" s="418"/>
      <c r="AS27" s="483"/>
      <c r="AT27" s="418"/>
      <c r="AV27" s="521"/>
      <c r="AX27" s="395"/>
      <c r="AY27" s="395"/>
      <c r="AZ27" s="395"/>
      <c r="BA27" s="395"/>
      <c r="BB27" s="395"/>
      <c r="BC27" s="369"/>
      <c r="BD27" s="395"/>
      <c r="BE27" s="395"/>
      <c r="BF27" s="524"/>
      <c r="BG27" s="395"/>
      <c r="BH27" s="395"/>
      <c r="BI27" s="369"/>
      <c r="BJ27" s="395"/>
      <c r="BK27" s="395"/>
      <c r="BL27" s="395"/>
      <c r="BM27" s="395"/>
      <c r="BN27" s="395"/>
      <c r="BO27" s="395"/>
      <c r="BP27" s="395"/>
      <c r="BQ27" s="369"/>
      <c r="BR27" s="369"/>
      <c r="BS27" s="395"/>
      <c r="BT27" s="369"/>
      <c r="BU27" s="369"/>
      <c r="BV27" s="369"/>
      <c r="BW27" s="369"/>
      <c r="BX27" s="369"/>
      <c r="BY27" s="369"/>
      <c r="CH27" s="395"/>
      <c r="CI27" s="511"/>
    </row>
    <row r="28" spans="2:87" s="370" customFormat="1" ht="13.9" customHeight="1" outlineLevel="1">
      <c r="B28" s="602"/>
      <c r="C28" s="620" t="s">
        <v>742</v>
      </c>
      <c r="D28" s="604">
        <f>0.647+0.354+0.168*2</f>
        <v>1.337</v>
      </c>
      <c r="E28" s="606">
        <f>(0.647+0.354)*70500+7000*2</f>
        <v>84570.499999999985</v>
      </c>
      <c r="F28" s="475">
        <f>0.392+0.521+0.168*2</f>
        <v>1.2490000000000001</v>
      </c>
      <c r="G28" s="638">
        <f>(0.392+0.521)*70500+7000*2</f>
        <v>78366.5</v>
      </c>
      <c r="H28" s="604">
        <v>0.13427</v>
      </c>
      <c r="I28" s="605">
        <f>12/6.3*1.16*14700</f>
        <v>32480.000000000004</v>
      </c>
      <c r="J28" s="475">
        <v>3.5000000000000003E-2</v>
      </c>
      <c r="K28" s="616">
        <v>4000</v>
      </c>
      <c r="L28" s="604">
        <v>0.17899999999999996</v>
      </c>
      <c r="M28" s="606">
        <f>0.179*70500</f>
        <v>12619.5</v>
      </c>
      <c r="N28" s="634">
        <v>95</v>
      </c>
      <c r="O28" s="635">
        <v>244</v>
      </c>
      <c r="P28" s="613">
        <v>201</v>
      </c>
      <c r="Q28" s="636">
        <v>14</v>
      </c>
      <c r="R28" s="613">
        <v>84</v>
      </c>
      <c r="S28" s="613">
        <v>84</v>
      </c>
      <c r="T28" s="613">
        <v>26</v>
      </c>
      <c r="U28" s="613">
        <v>40</v>
      </c>
      <c r="V28" s="605">
        <v>60</v>
      </c>
      <c r="W28" s="605">
        <v>75</v>
      </c>
      <c r="X28" s="635">
        <v>56</v>
      </c>
      <c r="Y28" s="613">
        <v>34</v>
      </c>
      <c r="Z28" s="637"/>
      <c r="AA28" s="495"/>
      <c r="AC28" s="431"/>
      <c r="AD28" s="431"/>
      <c r="AE28" s="431"/>
      <c r="AF28" s="431"/>
      <c r="AH28" s="521"/>
      <c r="AJ28" s="483"/>
      <c r="AK28" s="522"/>
      <c r="AL28" s="401"/>
      <c r="AM28" s="523"/>
      <c r="AO28" s="521"/>
      <c r="AQ28" s="369"/>
      <c r="AR28" s="418"/>
      <c r="AS28" s="483"/>
      <c r="AT28" s="418"/>
      <c r="AV28" s="521"/>
      <c r="AX28" s="395"/>
      <c r="AY28" s="395"/>
      <c r="AZ28" s="395"/>
      <c r="BA28" s="395"/>
      <c r="BB28" s="395"/>
      <c r="BC28" s="369"/>
      <c r="BD28" s="395"/>
      <c r="BE28" s="395"/>
      <c r="BF28" s="524"/>
      <c r="BG28" s="395"/>
      <c r="BH28" s="395"/>
      <c r="BI28" s="369"/>
      <c r="BJ28" s="395"/>
      <c r="BK28" s="395"/>
      <c r="BL28" s="395"/>
      <c r="BM28" s="395"/>
      <c r="BN28" s="395"/>
      <c r="BO28" s="395"/>
      <c r="BP28" s="395"/>
      <c r="BQ28" s="369"/>
      <c r="BR28" s="369"/>
      <c r="BS28" s="395"/>
      <c r="BT28" s="369"/>
      <c r="BU28" s="369"/>
      <c r="BV28" s="369"/>
      <c r="BW28" s="369"/>
      <c r="BX28" s="369"/>
      <c r="BY28" s="369"/>
      <c r="CH28" s="395"/>
      <c r="CI28" s="511"/>
    </row>
    <row r="29" spans="2:87" s="370" customFormat="1" ht="13.9" customHeight="1" outlineLevel="1">
      <c r="B29" s="602"/>
      <c r="C29" s="620" t="s">
        <v>736</v>
      </c>
      <c r="D29" s="604">
        <f>1.083+0.354+0.168*2</f>
        <v>1.7729999999999999</v>
      </c>
      <c r="E29" s="606">
        <f>(1.083+0.354)*85000+7000*2</f>
        <v>136145</v>
      </c>
      <c r="F29" s="475">
        <f>0.571+0.521+0.168*2</f>
        <v>1.4280000000000002</v>
      </c>
      <c r="G29" s="638">
        <f>(0.571+0.52)*85000+7000*2</f>
        <v>106735</v>
      </c>
      <c r="H29" s="604">
        <v>0.42476000000000003</v>
      </c>
      <c r="I29" s="605">
        <f>2.8*1.16*14700</f>
        <v>47745.599999999999</v>
      </c>
      <c r="J29" s="475">
        <v>5.6627999999999998E-2</v>
      </c>
      <c r="K29" s="616">
        <f>5/6.3*1.16*14700</f>
        <v>13533.333333333334</v>
      </c>
      <c r="L29" s="604">
        <v>0.17899999999999996</v>
      </c>
      <c r="M29" s="606">
        <f>0.179*65000</f>
        <v>11635</v>
      </c>
      <c r="N29" s="634">
        <v>140</v>
      </c>
      <c r="O29" s="635">
        <v>334</v>
      </c>
      <c r="P29" s="613">
        <v>240</v>
      </c>
      <c r="Q29" s="636">
        <v>14</v>
      </c>
      <c r="R29" s="613">
        <v>58</v>
      </c>
      <c r="S29" s="613">
        <v>58</v>
      </c>
      <c r="T29" s="613">
        <v>52</v>
      </c>
      <c r="U29" s="613">
        <v>67</v>
      </c>
      <c r="V29" s="605">
        <v>28</v>
      </c>
      <c r="W29" s="605">
        <v>58</v>
      </c>
      <c r="X29" s="635">
        <v>82</v>
      </c>
      <c r="Y29" s="613">
        <v>34</v>
      </c>
      <c r="Z29" s="637"/>
      <c r="AA29" s="495"/>
      <c r="AC29" s="431"/>
      <c r="AD29" s="431"/>
      <c r="AE29" s="431"/>
      <c r="AF29" s="431"/>
      <c r="AH29" s="521"/>
      <c r="AJ29" s="483"/>
      <c r="AK29" s="522"/>
      <c r="AL29" s="401"/>
      <c r="AM29" s="523"/>
      <c r="AO29" s="521"/>
      <c r="AQ29" s="369"/>
      <c r="AR29" s="418"/>
      <c r="AS29" s="483"/>
      <c r="AT29" s="418"/>
      <c r="AV29" s="521"/>
      <c r="AX29" s="395"/>
      <c r="AY29" s="395"/>
      <c r="AZ29" s="395"/>
      <c r="BA29" s="395"/>
      <c r="BB29" s="395"/>
      <c r="BC29" s="369"/>
      <c r="BD29" s="395"/>
      <c r="BE29" s="395"/>
      <c r="BF29" s="524"/>
      <c r="BG29" s="395"/>
      <c r="BH29" s="395"/>
      <c r="BI29" s="369"/>
      <c r="BJ29" s="395"/>
      <c r="BK29" s="395"/>
      <c r="BL29" s="395"/>
      <c r="BM29" s="395"/>
      <c r="BN29" s="395"/>
      <c r="BO29" s="395"/>
      <c r="BP29" s="395"/>
      <c r="BQ29" s="369"/>
      <c r="BR29" s="369"/>
      <c r="BS29" s="395"/>
      <c r="BT29" s="369"/>
      <c r="BU29" s="369"/>
      <c r="BV29" s="369"/>
      <c r="BW29" s="369"/>
      <c r="BX29" s="369"/>
      <c r="BY29" s="369"/>
      <c r="CH29" s="395"/>
      <c r="CI29" s="511"/>
    </row>
    <row r="30" spans="2:87" s="370" customFormat="1" ht="13.9" customHeight="1" outlineLevel="1">
      <c r="B30" s="602"/>
      <c r="C30" s="620" t="s">
        <v>743</v>
      </c>
      <c r="D30" s="604">
        <f>1.083+0.354+0.168*2</f>
        <v>1.7729999999999999</v>
      </c>
      <c r="E30" s="606">
        <f>(1.083+0.354)*85000+7000*2</f>
        <v>136145</v>
      </c>
      <c r="F30" s="475">
        <f>0.571+0.521+0.168*2</f>
        <v>1.4280000000000002</v>
      </c>
      <c r="G30" s="638">
        <f>(0.571+0.52)*85000+7000*2</f>
        <v>106735</v>
      </c>
      <c r="H30" s="604">
        <v>0.42476000000000003</v>
      </c>
      <c r="I30" s="605">
        <f>2.8*1.16*14700</f>
        <v>47745.599999999999</v>
      </c>
      <c r="J30" s="475">
        <v>5.6627999999999998E-2</v>
      </c>
      <c r="K30" s="616">
        <f>5/6.3*1.16*14700</f>
        <v>13533.333333333334</v>
      </c>
      <c r="L30" s="604">
        <v>0.17899999999999996</v>
      </c>
      <c r="M30" s="606">
        <f>0.179*70500</f>
        <v>12619.5</v>
      </c>
      <c r="N30" s="634">
        <v>140</v>
      </c>
      <c r="O30" s="635">
        <v>334</v>
      </c>
      <c r="P30" s="613">
        <v>240</v>
      </c>
      <c r="Q30" s="636">
        <v>14</v>
      </c>
      <c r="R30" s="613">
        <v>58</v>
      </c>
      <c r="S30" s="613">
        <v>58</v>
      </c>
      <c r="T30" s="613">
        <v>52</v>
      </c>
      <c r="U30" s="613">
        <v>67</v>
      </c>
      <c r="V30" s="605">
        <v>28</v>
      </c>
      <c r="W30" s="605">
        <v>58</v>
      </c>
      <c r="X30" s="635">
        <v>82</v>
      </c>
      <c r="Y30" s="613">
        <v>34</v>
      </c>
      <c r="Z30" s="637"/>
      <c r="AA30" s="495"/>
      <c r="AC30" s="431"/>
      <c r="AD30" s="431"/>
      <c r="AE30" s="431"/>
      <c r="AF30" s="431"/>
      <c r="AH30" s="521"/>
      <c r="AJ30" s="483"/>
      <c r="AK30" s="522"/>
      <c r="AL30" s="401"/>
      <c r="AM30" s="523"/>
      <c r="AO30" s="521"/>
      <c r="AQ30" s="369"/>
      <c r="AR30" s="418"/>
      <c r="AS30" s="483"/>
      <c r="AT30" s="418"/>
      <c r="AV30" s="521"/>
      <c r="AX30" s="395"/>
      <c r="AY30" s="395"/>
      <c r="AZ30" s="395"/>
      <c r="BA30" s="395"/>
      <c r="BB30" s="395"/>
      <c r="BC30" s="369"/>
      <c r="BD30" s="395"/>
      <c r="BE30" s="395"/>
      <c r="BF30" s="524"/>
      <c r="BG30" s="395"/>
      <c r="BH30" s="395"/>
      <c r="BI30" s="369"/>
      <c r="BJ30" s="395"/>
      <c r="BK30" s="395"/>
      <c r="BL30" s="395"/>
      <c r="BM30" s="395"/>
      <c r="BN30" s="395"/>
      <c r="BO30" s="395"/>
      <c r="BP30" s="395"/>
      <c r="BQ30" s="369"/>
      <c r="BR30" s="369"/>
      <c r="BS30" s="395"/>
      <c r="BT30" s="369"/>
      <c r="BU30" s="369"/>
      <c r="BV30" s="369"/>
      <c r="BW30" s="369"/>
      <c r="BX30" s="369"/>
      <c r="BY30" s="369"/>
      <c r="CH30" s="395"/>
      <c r="CI30" s="511"/>
    </row>
    <row r="31" spans="2:87" s="370" customFormat="1" ht="13.9" customHeight="1" outlineLevel="1">
      <c r="B31" s="602"/>
      <c r="C31" s="620" t="s">
        <v>744</v>
      </c>
      <c r="D31" s="604">
        <v>1.6120699999999999</v>
      </c>
      <c r="E31" s="605">
        <f>IF($E$4="NA6",154.6/6,183.97/6)*1.16*3570</f>
        <v>126976.09399999998</v>
      </c>
      <c r="F31" s="475">
        <v>1.2431000000000001</v>
      </c>
      <c r="G31" s="616">
        <f>IF($E$4="NA6",119.15/6,137.78/6)*1.16*3570</f>
        <v>95095.755999999994</v>
      </c>
      <c r="H31" s="604">
        <v>0.21</v>
      </c>
      <c r="I31" s="605">
        <f>14.15*1.16*3570</f>
        <v>58597.979999999996</v>
      </c>
      <c r="J31" s="475">
        <v>0.04</v>
      </c>
      <c r="K31" s="616">
        <f>4.3*1.16*3570</f>
        <v>17807.16</v>
      </c>
      <c r="L31" s="604">
        <v>0.177586206896552</v>
      </c>
      <c r="M31" s="605">
        <f>17.25/6*1.16*3570</f>
        <v>11905.95</v>
      </c>
      <c r="N31" s="634">
        <v>140</v>
      </c>
      <c r="O31" s="635">
        <v>334</v>
      </c>
      <c r="P31" s="613">
        <v>240</v>
      </c>
      <c r="Q31" s="636">
        <v>14</v>
      </c>
      <c r="R31" s="613">
        <v>80</v>
      </c>
      <c r="S31" s="613">
        <v>80</v>
      </c>
      <c r="T31" s="613">
        <v>0</v>
      </c>
      <c r="U31" s="613">
        <v>80</v>
      </c>
      <c r="V31" s="605">
        <v>80</v>
      </c>
      <c r="W31" s="605">
        <v>80</v>
      </c>
      <c r="X31" s="635">
        <v>62</v>
      </c>
      <c r="Y31" s="613">
        <v>42</v>
      </c>
      <c r="Z31" s="637"/>
      <c r="AA31" s="495"/>
      <c r="AC31" s="431"/>
      <c r="AD31" s="431"/>
      <c r="AE31" s="431"/>
      <c r="AF31" s="431"/>
      <c r="AH31" s="521"/>
      <c r="AJ31" s="483"/>
      <c r="AK31" s="522"/>
      <c r="AL31" s="401"/>
      <c r="AM31" s="523"/>
      <c r="AO31" s="521"/>
      <c r="AQ31" s="369"/>
      <c r="AR31" s="418"/>
      <c r="AS31" s="483"/>
      <c r="AT31" s="418"/>
      <c r="AV31" s="521"/>
      <c r="AX31" s="395"/>
      <c r="AY31" s="395"/>
      <c r="AZ31" s="395"/>
      <c r="BA31" s="395"/>
      <c r="BB31" s="395"/>
      <c r="BC31" s="369"/>
      <c r="BD31" s="395"/>
      <c r="BE31" s="395"/>
      <c r="BF31" s="524"/>
      <c r="BG31" s="395"/>
      <c r="BH31" s="395"/>
      <c r="BI31" s="369"/>
      <c r="BJ31" s="395"/>
      <c r="BK31" s="395"/>
      <c r="BL31" s="395"/>
      <c r="BM31" s="395"/>
      <c r="BN31" s="395"/>
      <c r="BO31" s="395"/>
      <c r="BP31" s="395"/>
      <c r="BQ31" s="369"/>
      <c r="BR31" s="369"/>
      <c r="BS31" s="395"/>
      <c r="BT31" s="369"/>
      <c r="BU31" s="369"/>
      <c r="BV31" s="369"/>
      <c r="BW31" s="369"/>
      <c r="BX31" s="369"/>
      <c r="BY31" s="369"/>
      <c r="CH31" s="395"/>
      <c r="CI31" s="511"/>
    </row>
    <row r="32" spans="2:87" s="370" customFormat="1" ht="13.9" customHeight="1" outlineLevel="1">
      <c r="B32" s="602"/>
      <c r="C32" s="620" t="s">
        <v>745</v>
      </c>
      <c r="D32" s="604">
        <v>1.9327586206896599</v>
      </c>
      <c r="E32" s="605">
        <f>IF($E$4="NA6",223.3/6,265.83/6)*1.16*3570</f>
        <v>183475.86600000001</v>
      </c>
      <c r="F32" s="475">
        <v>1.5689655172413799</v>
      </c>
      <c r="G32" s="616">
        <f>IF($E$4="NA6",193.45/6,223.7/6)*1.16*3570</f>
        <v>154397.74</v>
      </c>
      <c r="H32" s="604">
        <v>0.21</v>
      </c>
      <c r="I32" s="605">
        <f>14.15*1.16*3570</f>
        <v>58597.979999999996</v>
      </c>
      <c r="J32" s="475">
        <v>0.04</v>
      </c>
      <c r="K32" s="616">
        <f>4.3*1.16*3570</f>
        <v>17807.16</v>
      </c>
      <c r="L32" s="604">
        <v>0.177586206896552</v>
      </c>
      <c r="M32" s="605">
        <f>19.95/6*1.16*3570</f>
        <v>13769.489999999998</v>
      </c>
      <c r="N32" s="634">
        <v>140</v>
      </c>
      <c r="O32" s="635">
        <v>334</v>
      </c>
      <c r="P32" s="613">
        <v>240</v>
      </c>
      <c r="Q32" s="636">
        <v>14</v>
      </c>
      <c r="R32" s="613">
        <v>80</v>
      </c>
      <c r="S32" s="613">
        <v>80</v>
      </c>
      <c r="T32" s="613">
        <v>0</v>
      </c>
      <c r="U32" s="613">
        <v>80</v>
      </c>
      <c r="V32" s="605">
        <v>80</v>
      </c>
      <c r="W32" s="605">
        <v>80</v>
      </c>
      <c r="X32" s="635">
        <v>62</v>
      </c>
      <c r="Y32" s="613">
        <v>42</v>
      </c>
      <c r="Z32" s="637"/>
      <c r="AA32" s="495"/>
      <c r="AC32" s="431"/>
      <c r="AD32" s="431"/>
      <c r="AE32" s="431"/>
      <c r="AF32" s="431"/>
      <c r="AH32" s="521"/>
      <c r="AJ32" s="483"/>
      <c r="AK32" s="522"/>
      <c r="AL32" s="401"/>
      <c r="AM32" s="523"/>
      <c r="AO32" s="521"/>
      <c r="AQ32" s="369"/>
      <c r="AR32" s="418"/>
      <c r="AS32" s="483"/>
      <c r="AT32" s="418"/>
      <c r="AV32" s="521"/>
      <c r="AX32" s="395"/>
      <c r="AY32" s="395"/>
      <c r="AZ32" s="395"/>
      <c r="BA32" s="395"/>
      <c r="BB32" s="395"/>
      <c r="BC32" s="369"/>
      <c r="BD32" s="395"/>
      <c r="BE32" s="395"/>
      <c r="BF32" s="524"/>
      <c r="BG32" s="395"/>
      <c r="BH32" s="395"/>
      <c r="BI32" s="369"/>
      <c r="BJ32" s="395"/>
      <c r="BK32" s="395"/>
      <c r="BL32" s="395"/>
      <c r="BM32" s="395"/>
      <c r="BN32" s="395"/>
      <c r="BO32" s="395"/>
      <c r="BP32" s="395"/>
      <c r="BQ32" s="369"/>
      <c r="BR32" s="369"/>
      <c r="BS32" s="395"/>
      <c r="BT32" s="369"/>
      <c r="BU32" s="369"/>
      <c r="BV32" s="369"/>
      <c r="BW32" s="369"/>
      <c r="BX32" s="369"/>
      <c r="BY32" s="369"/>
      <c r="CH32" s="395"/>
      <c r="CI32" s="511"/>
    </row>
    <row r="33" spans="2:87" s="370" customFormat="1" ht="13.9" customHeight="1" outlineLevel="1">
      <c r="B33" s="602"/>
      <c r="C33" s="620" t="s">
        <v>746</v>
      </c>
      <c r="D33" s="604">
        <v>4.9690000000000003</v>
      </c>
      <c r="E33" s="605">
        <v>182255</v>
      </c>
      <c r="F33" s="475">
        <v>4.2249999999999996</v>
      </c>
      <c r="G33" s="616">
        <v>150824</v>
      </c>
      <c r="H33" s="604">
        <v>0.77200000000000002</v>
      </c>
      <c r="I33" s="605">
        <v>31390</v>
      </c>
      <c r="J33" s="475">
        <v>6.2E-2</v>
      </c>
      <c r="K33" s="616">
        <v>3719</v>
      </c>
      <c r="L33" s="604">
        <v>0</v>
      </c>
      <c r="M33" s="605">
        <v>0</v>
      </c>
      <c r="N33" s="634">
        <v>0</v>
      </c>
      <c r="O33" s="635">
        <v>0</v>
      </c>
      <c r="P33" s="613">
        <v>0</v>
      </c>
      <c r="Q33" s="636">
        <v>0</v>
      </c>
      <c r="R33" s="613">
        <v>50</v>
      </c>
      <c r="S33" s="613">
        <v>50</v>
      </c>
      <c r="T33" s="613">
        <v>0</v>
      </c>
      <c r="U33" s="613">
        <v>50</v>
      </c>
      <c r="V33" s="605">
        <v>0</v>
      </c>
      <c r="W33" s="605">
        <v>0</v>
      </c>
      <c r="X33" s="635">
        <v>50</v>
      </c>
      <c r="Y33" s="613">
        <v>50</v>
      </c>
      <c r="Z33" s="637"/>
      <c r="AA33" s="495"/>
      <c r="AC33" s="431"/>
      <c r="AD33" s="431"/>
      <c r="AE33" s="431"/>
      <c r="AF33" s="431"/>
      <c r="AH33" s="521"/>
      <c r="AJ33" s="483"/>
      <c r="AK33" s="522"/>
      <c r="AL33" s="401"/>
      <c r="AM33" s="523"/>
      <c r="AO33" s="521"/>
      <c r="AQ33" s="369"/>
      <c r="AR33" s="418"/>
      <c r="AS33" s="483"/>
      <c r="AT33" s="418"/>
      <c r="AV33" s="521"/>
      <c r="AX33" s="395"/>
      <c r="AY33" s="395"/>
      <c r="AZ33" s="395"/>
      <c r="BA33" s="395"/>
      <c r="BB33" s="395"/>
      <c r="BC33" s="369"/>
      <c r="BD33" s="395"/>
      <c r="BE33" s="395"/>
      <c r="BF33" s="524"/>
      <c r="BG33" s="395"/>
      <c r="BH33" s="395"/>
      <c r="BI33" s="369"/>
      <c r="BJ33" s="395"/>
      <c r="BK33" s="395"/>
      <c r="BL33" s="395"/>
      <c r="BM33" s="395"/>
      <c r="BN33" s="395"/>
      <c r="BO33" s="395"/>
      <c r="BP33" s="395"/>
      <c r="BQ33" s="369"/>
      <c r="BR33" s="369"/>
      <c r="BS33" s="395"/>
      <c r="BT33" s="369"/>
      <c r="BU33" s="369"/>
      <c r="BV33" s="369"/>
      <c r="BW33" s="369"/>
      <c r="BX33" s="369"/>
      <c r="BY33" s="369"/>
      <c r="CH33" s="395"/>
      <c r="CI33" s="511"/>
    </row>
    <row r="34" spans="2:87" s="370" customFormat="1" ht="13.9" customHeight="1" outlineLevel="1">
      <c r="B34" s="602"/>
      <c r="C34" s="620" t="s">
        <v>747</v>
      </c>
      <c r="D34" s="604">
        <v>5.0810000000000004</v>
      </c>
      <c r="E34" s="605">
        <v>271704</v>
      </c>
      <c r="F34" s="475">
        <v>4.3170000000000002</v>
      </c>
      <c r="G34" s="616">
        <v>224300</v>
      </c>
      <c r="H34" s="604">
        <v>0.79200000000000004</v>
      </c>
      <c r="I34" s="605">
        <v>47203</v>
      </c>
      <c r="J34" s="475">
        <v>6.4000000000000001E-2</v>
      </c>
      <c r="K34" s="616">
        <v>3814</v>
      </c>
      <c r="L34" s="604">
        <v>0</v>
      </c>
      <c r="M34" s="605">
        <v>0</v>
      </c>
      <c r="N34" s="634">
        <v>0</v>
      </c>
      <c r="O34" s="635">
        <v>0</v>
      </c>
      <c r="P34" s="613">
        <v>0</v>
      </c>
      <c r="Q34" s="636">
        <v>0</v>
      </c>
      <c r="R34" s="613">
        <v>50</v>
      </c>
      <c r="S34" s="613">
        <v>50</v>
      </c>
      <c r="T34" s="613">
        <v>0</v>
      </c>
      <c r="U34" s="613">
        <v>50</v>
      </c>
      <c r="V34" s="605">
        <v>0</v>
      </c>
      <c r="W34" s="605">
        <v>0</v>
      </c>
      <c r="X34" s="635">
        <v>50</v>
      </c>
      <c r="Y34" s="613">
        <v>50</v>
      </c>
      <c r="Z34" s="637"/>
      <c r="AA34" s="495"/>
      <c r="AC34" s="431"/>
      <c r="AD34" s="431"/>
      <c r="AE34" s="431"/>
      <c r="AF34" s="431"/>
      <c r="AH34" s="521"/>
      <c r="AJ34" s="483"/>
      <c r="AK34" s="522"/>
      <c r="AL34" s="401"/>
      <c r="AM34" s="523"/>
      <c r="AO34" s="521"/>
      <c r="AQ34" s="369"/>
      <c r="AR34" s="418"/>
      <c r="AS34" s="483"/>
      <c r="AT34" s="418"/>
      <c r="AV34" s="521"/>
      <c r="AX34" s="395"/>
      <c r="AY34" s="395"/>
      <c r="AZ34" s="395"/>
      <c r="BA34" s="395"/>
      <c r="BB34" s="395"/>
      <c r="BC34" s="369"/>
      <c r="BD34" s="395"/>
      <c r="BE34" s="395"/>
      <c r="BF34" s="524"/>
      <c r="BG34" s="395"/>
      <c r="BH34" s="395"/>
      <c r="BI34" s="369"/>
      <c r="BJ34" s="395"/>
      <c r="BK34" s="395"/>
      <c r="BL34" s="395"/>
      <c r="BM34" s="395"/>
      <c r="BN34" s="395"/>
      <c r="BO34" s="395"/>
      <c r="BP34" s="395"/>
      <c r="BQ34" s="369"/>
      <c r="BR34" s="369"/>
      <c r="BS34" s="395"/>
      <c r="BT34" s="369"/>
      <c r="BU34" s="369"/>
      <c r="BV34" s="369"/>
      <c r="BW34" s="369"/>
      <c r="BX34" s="369"/>
      <c r="BY34" s="369"/>
      <c r="CH34" s="395"/>
      <c r="CI34" s="511"/>
    </row>
    <row r="35" spans="2:87" s="370" customFormat="1" ht="13.9" customHeight="1" outlineLevel="1">
      <c r="B35" s="602"/>
      <c r="C35" s="620" t="s">
        <v>748</v>
      </c>
      <c r="D35" s="604">
        <v>6.1470000000000002</v>
      </c>
      <c r="E35" s="605">
        <v>232434</v>
      </c>
      <c r="F35" s="475">
        <v>5.0049999999999999</v>
      </c>
      <c r="G35" s="616">
        <v>182531</v>
      </c>
      <c r="H35" s="604">
        <v>1.9139999999999999</v>
      </c>
      <c r="I35" s="605">
        <v>77809</v>
      </c>
      <c r="J35" s="475">
        <v>9.4E-2</v>
      </c>
      <c r="K35" s="616">
        <v>3805</v>
      </c>
      <c r="L35" s="604">
        <v>0</v>
      </c>
      <c r="M35" s="605">
        <v>0</v>
      </c>
      <c r="N35" s="634">
        <v>0</v>
      </c>
      <c r="O35" s="635">
        <v>0</v>
      </c>
      <c r="P35" s="613">
        <v>0</v>
      </c>
      <c r="Q35" s="636">
        <v>0</v>
      </c>
      <c r="R35" s="613">
        <v>70</v>
      </c>
      <c r="S35" s="613">
        <v>50</v>
      </c>
      <c r="T35" s="613">
        <v>0</v>
      </c>
      <c r="U35" s="613">
        <v>70</v>
      </c>
      <c r="V35" s="605">
        <v>0</v>
      </c>
      <c r="W35" s="605">
        <v>0</v>
      </c>
      <c r="X35" s="635">
        <v>70</v>
      </c>
      <c r="Y35" s="613">
        <v>50</v>
      </c>
      <c r="Z35" s="637"/>
      <c r="AA35" s="495"/>
      <c r="AC35" s="431"/>
      <c r="AD35" s="431"/>
      <c r="AE35" s="431"/>
      <c r="AF35" s="431"/>
      <c r="AH35" s="521"/>
      <c r="AJ35" s="483"/>
      <c r="AK35" s="522"/>
      <c r="AL35" s="401"/>
      <c r="AM35" s="523"/>
      <c r="AO35" s="521"/>
      <c r="AQ35" s="369"/>
      <c r="AR35" s="418"/>
      <c r="AS35" s="483"/>
      <c r="AT35" s="418"/>
      <c r="AV35" s="521"/>
      <c r="AX35" s="395"/>
      <c r="AY35" s="395"/>
      <c r="AZ35" s="395"/>
      <c r="BA35" s="395"/>
      <c r="BB35" s="395"/>
      <c r="BC35" s="369"/>
      <c r="BD35" s="395"/>
      <c r="BE35" s="395"/>
      <c r="BF35" s="524"/>
      <c r="BG35" s="395"/>
      <c r="BH35" s="395"/>
      <c r="BI35" s="369"/>
      <c r="BJ35" s="395"/>
      <c r="BK35" s="395"/>
      <c r="BL35" s="395"/>
      <c r="BM35" s="395"/>
      <c r="BN35" s="395"/>
      <c r="BO35" s="395"/>
      <c r="BP35" s="395"/>
      <c r="BQ35" s="369"/>
      <c r="BR35" s="369"/>
      <c r="BS35" s="395"/>
      <c r="BT35" s="369"/>
      <c r="BU35" s="369"/>
      <c r="BV35" s="369"/>
      <c r="BW35" s="369"/>
      <c r="BX35" s="369"/>
      <c r="BY35" s="369"/>
      <c r="CH35" s="395"/>
      <c r="CI35" s="511"/>
    </row>
    <row r="36" spans="2:87" s="370" customFormat="1" ht="13.9" customHeight="1" outlineLevel="1">
      <c r="B36" s="602"/>
      <c r="C36" s="620" t="s">
        <v>749</v>
      </c>
      <c r="D36" s="604">
        <v>6.2910000000000004</v>
      </c>
      <c r="E36" s="605">
        <v>347439</v>
      </c>
      <c r="F36" s="475">
        <v>5.117</v>
      </c>
      <c r="G36" s="616">
        <v>271980</v>
      </c>
      <c r="H36" s="604">
        <v>1.9630000000000001</v>
      </c>
      <c r="I36" s="605">
        <v>117007</v>
      </c>
      <c r="J36" s="475">
        <v>9.6000000000000002E-2</v>
      </c>
      <c r="K36" s="616">
        <v>5722</v>
      </c>
      <c r="L36" s="604">
        <v>0</v>
      </c>
      <c r="M36" s="605">
        <v>0</v>
      </c>
      <c r="N36" s="634">
        <v>0</v>
      </c>
      <c r="O36" s="635">
        <v>0</v>
      </c>
      <c r="P36" s="613">
        <v>0</v>
      </c>
      <c r="Q36" s="636">
        <v>0</v>
      </c>
      <c r="R36" s="613">
        <v>70</v>
      </c>
      <c r="S36" s="613">
        <v>50</v>
      </c>
      <c r="T36" s="613">
        <v>0</v>
      </c>
      <c r="U36" s="613">
        <v>70</v>
      </c>
      <c r="V36" s="605">
        <v>0</v>
      </c>
      <c r="W36" s="605">
        <v>0</v>
      </c>
      <c r="X36" s="635">
        <v>70</v>
      </c>
      <c r="Y36" s="613">
        <v>50</v>
      </c>
      <c r="Z36" s="637"/>
      <c r="AA36" s="495"/>
      <c r="AC36" s="431"/>
      <c r="AD36" s="431"/>
      <c r="AE36" s="431"/>
      <c r="AF36" s="431"/>
      <c r="AH36" s="521"/>
      <c r="AJ36" s="483"/>
      <c r="AK36" s="522"/>
      <c r="AL36" s="401"/>
      <c r="AM36" s="523"/>
      <c r="AO36" s="521"/>
      <c r="AQ36" s="369"/>
      <c r="AR36" s="418"/>
      <c r="AS36" s="483"/>
      <c r="AT36" s="418"/>
      <c r="AV36" s="521"/>
      <c r="AX36" s="395"/>
      <c r="AY36" s="395"/>
      <c r="AZ36" s="395"/>
      <c r="BA36" s="395"/>
      <c r="BB36" s="395"/>
      <c r="BC36" s="369"/>
      <c r="BD36" s="395"/>
      <c r="BE36" s="395"/>
      <c r="BF36" s="524"/>
      <c r="BG36" s="395"/>
      <c r="BH36" s="395"/>
      <c r="BI36" s="369"/>
      <c r="BJ36" s="395"/>
      <c r="BK36" s="395"/>
      <c r="BL36" s="395"/>
      <c r="BM36" s="395"/>
      <c r="BN36" s="395"/>
      <c r="BO36" s="395"/>
      <c r="BP36" s="395"/>
      <c r="BQ36" s="369"/>
      <c r="BR36" s="369"/>
      <c r="BS36" s="395"/>
      <c r="BT36" s="369"/>
      <c r="BU36" s="369"/>
      <c r="BV36" s="369"/>
      <c r="BW36" s="369"/>
      <c r="BX36" s="369"/>
      <c r="BY36" s="369"/>
      <c r="CH36" s="395"/>
      <c r="CI36" s="511"/>
    </row>
    <row r="37" spans="2:87" s="370" customFormat="1" ht="13.9" customHeight="1" outlineLevel="1">
      <c r="B37" s="602"/>
      <c r="C37" s="620" t="s">
        <v>750</v>
      </c>
      <c r="D37" s="604">
        <v>2.0739999999999998</v>
      </c>
      <c r="E37" s="605">
        <v>745100</v>
      </c>
      <c r="F37" s="475">
        <v>1.897</v>
      </c>
      <c r="G37" s="616">
        <v>792400</v>
      </c>
      <c r="H37" s="604">
        <v>0.31</v>
      </c>
      <c r="I37" s="605">
        <v>740100</v>
      </c>
      <c r="J37" s="475">
        <v>9.4E-2</v>
      </c>
      <c r="K37" s="616">
        <v>176300</v>
      </c>
      <c r="L37" s="604">
        <v>0</v>
      </c>
      <c r="M37" s="605">
        <v>0</v>
      </c>
      <c r="N37" s="634">
        <v>0</v>
      </c>
      <c r="O37" s="635">
        <v>0</v>
      </c>
      <c r="P37" s="613">
        <v>0</v>
      </c>
      <c r="Q37" s="636">
        <v>0</v>
      </c>
      <c r="R37" s="613">
        <v>60</v>
      </c>
      <c r="S37" s="613">
        <v>60</v>
      </c>
      <c r="T37" s="613">
        <v>0</v>
      </c>
      <c r="U37" s="613">
        <v>40</v>
      </c>
      <c r="V37" s="605">
        <v>0</v>
      </c>
      <c r="W37" s="605">
        <v>0</v>
      </c>
      <c r="X37" s="635">
        <v>60</v>
      </c>
      <c r="Y37" s="613">
        <v>60</v>
      </c>
      <c r="Z37" s="637"/>
      <c r="AA37" s="495"/>
      <c r="AC37" s="431"/>
      <c r="AD37" s="431"/>
      <c r="AE37" s="431"/>
      <c r="AF37" s="431"/>
      <c r="AH37" s="521"/>
      <c r="AJ37" s="483"/>
      <c r="AK37" s="522"/>
      <c r="AL37" s="401"/>
      <c r="AM37" s="523"/>
      <c r="AO37" s="521"/>
      <c r="AQ37" s="369"/>
      <c r="AR37" s="418"/>
      <c r="AS37" s="483"/>
      <c r="AT37" s="418"/>
      <c r="AV37" s="521"/>
      <c r="AX37" s="395"/>
      <c r="AY37" s="395"/>
      <c r="AZ37" s="395"/>
      <c r="BA37" s="395"/>
      <c r="BB37" s="395"/>
      <c r="BC37" s="369"/>
      <c r="BD37" s="395"/>
      <c r="BE37" s="395"/>
      <c r="BF37" s="524"/>
      <c r="BG37" s="395"/>
      <c r="BH37" s="395"/>
      <c r="BI37" s="369"/>
      <c r="BJ37" s="395"/>
      <c r="BK37" s="395"/>
      <c r="BL37" s="395"/>
      <c r="BM37" s="395"/>
      <c r="BN37" s="395"/>
      <c r="BO37" s="395"/>
      <c r="BP37" s="395"/>
      <c r="BQ37" s="369"/>
      <c r="BR37" s="369"/>
      <c r="BS37" s="395"/>
      <c r="BT37" s="369"/>
      <c r="BU37" s="369"/>
      <c r="BV37" s="369"/>
      <c r="BW37" s="369"/>
      <c r="BX37" s="369"/>
      <c r="BY37" s="369"/>
      <c r="CH37" s="395"/>
      <c r="CI37" s="511"/>
    </row>
    <row r="38" spans="2:87" s="370" customFormat="1" ht="13.9" customHeight="1" outlineLevel="1">
      <c r="B38" s="602"/>
      <c r="C38" s="620" t="s">
        <v>751</v>
      </c>
      <c r="D38" s="604">
        <v>2.0739999999999998</v>
      </c>
      <c r="E38" s="605">
        <v>875200</v>
      </c>
      <c r="F38" s="475">
        <v>1.897</v>
      </c>
      <c r="G38" s="616">
        <v>922500</v>
      </c>
      <c r="H38" s="604">
        <v>0.31</v>
      </c>
      <c r="I38" s="605">
        <v>740100</v>
      </c>
      <c r="J38" s="475">
        <v>9.4E-2</v>
      </c>
      <c r="K38" s="616">
        <v>176300</v>
      </c>
      <c r="L38" s="604">
        <v>0</v>
      </c>
      <c r="M38" s="605">
        <v>0</v>
      </c>
      <c r="N38" s="634">
        <v>0</v>
      </c>
      <c r="O38" s="635">
        <v>0</v>
      </c>
      <c r="P38" s="613">
        <v>0</v>
      </c>
      <c r="Q38" s="636">
        <v>0</v>
      </c>
      <c r="R38" s="613">
        <v>60</v>
      </c>
      <c r="S38" s="613">
        <v>60</v>
      </c>
      <c r="T38" s="613">
        <v>0</v>
      </c>
      <c r="U38" s="613">
        <v>40</v>
      </c>
      <c r="V38" s="605">
        <v>0</v>
      </c>
      <c r="W38" s="605">
        <v>0</v>
      </c>
      <c r="X38" s="635">
        <v>40</v>
      </c>
      <c r="Y38" s="613">
        <v>40</v>
      </c>
      <c r="Z38" s="637"/>
      <c r="AA38" s="495"/>
      <c r="AC38" s="431"/>
      <c r="AD38" s="431"/>
      <c r="AE38" s="431"/>
      <c r="AF38" s="431"/>
      <c r="AH38" s="521"/>
      <c r="AJ38" s="483"/>
      <c r="AK38" s="522"/>
      <c r="AL38" s="401"/>
      <c r="AM38" s="523"/>
      <c r="AO38" s="521"/>
      <c r="AQ38" s="369"/>
      <c r="AR38" s="418"/>
      <c r="AS38" s="483"/>
      <c r="AT38" s="418"/>
      <c r="AV38" s="521"/>
      <c r="AX38" s="395"/>
      <c r="AY38" s="395"/>
      <c r="AZ38" s="395"/>
      <c r="BA38" s="395"/>
      <c r="BB38" s="395"/>
      <c r="BC38" s="369"/>
      <c r="BD38" s="395"/>
      <c r="BE38" s="395"/>
      <c r="BF38" s="524"/>
      <c r="BG38" s="395"/>
      <c r="BH38" s="395"/>
      <c r="BI38" s="369"/>
      <c r="BJ38" s="395"/>
      <c r="BK38" s="395"/>
      <c r="BL38" s="395"/>
      <c r="BM38" s="395"/>
      <c r="BN38" s="395"/>
      <c r="BO38" s="395"/>
      <c r="BP38" s="395"/>
      <c r="BQ38" s="369"/>
      <c r="BR38" s="369"/>
      <c r="BS38" s="395"/>
      <c r="BT38" s="369"/>
      <c r="BU38" s="369"/>
      <c r="BV38" s="369"/>
      <c r="BW38" s="369"/>
      <c r="BX38" s="369"/>
      <c r="BY38" s="369"/>
      <c r="CH38" s="395"/>
      <c r="CI38" s="511"/>
    </row>
    <row r="39" spans="2:87" s="370" customFormat="1" ht="13.9" customHeight="1" outlineLevel="1">
      <c r="B39" s="602"/>
      <c r="C39" s="620" t="s">
        <v>752</v>
      </c>
      <c r="D39" s="604">
        <v>2.63</v>
      </c>
      <c r="E39" s="605">
        <v>875200</v>
      </c>
      <c r="F39" s="475">
        <v>2.61</v>
      </c>
      <c r="G39" s="616">
        <v>863300</v>
      </c>
      <c r="H39" s="604">
        <v>0.49399999999999999</v>
      </c>
      <c r="I39" s="605">
        <v>775300</v>
      </c>
      <c r="J39" s="475">
        <v>0.15</v>
      </c>
      <c r="K39" s="616">
        <v>176300</v>
      </c>
      <c r="L39" s="604">
        <v>0</v>
      </c>
      <c r="M39" s="605">
        <v>0</v>
      </c>
      <c r="N39" s="634">
        <v>0</v>
      </c>
      <c r="O39" s="635">
        <v>0</v>
      </c>
      <c r="P39" s="613">
        <v>0</v>
      </c>
      <c r="Q39" s="636">
        <v>0</v>
      </c>
      <c r="R39" s="613">
        <v>70</v>
      </c>
      <c r="S39" s="613">
        <v>70</v>
      </c>
      <c r="T39" s="613">
        <v>0</v>
      </c>
      <c r="U39" s="613">
        <v>50</v>
      </c>
      <c r="V39" s="605">
        <v>0</v>
      </c>
      <c r="W39" s="605">
        <v>0</v>
      </c>
      <c r="X39" s="635">
        <v>50</v>
      </c>
      <c r="Y39" s="613">
        <v>50</v>
      </c>
      <c r="Z39" s="637"/>
      <c r="AA39" s="495"/>
      <c r="AC39" s="431"/>
      <c r="AD39" s="431"/>
      <c r="AE39" s="431"/>
      <c r="AF39" s="431"/>
      <c r="AH39" s="521"/>
      <c r="AJ39" s="483"/>
      <c r="AK39" s="522"/>
      <c r="AL39" s="401"/>
      <c r="AM39" s="523"/>
      <c r="AO39" s="521"/>
      <c r="AQ39" s="369"/>
      <c r="AR39" s="418"/>
      <c r="AS39" s="483"/>
      <c r="AT39" s="418"/>
      <c r="AV39" s="521"/>
      <c r="AX39" s="395"/>
      <c r="AY39" s="395"/>
      <c r="AZ39" s="395"/>
      <c r="BA39" s="395"/>
      <c r="BB39" s="395"/>
      <c r="BC39" s="369"/>
      <c r="BD39" s="395"/>
      <c r="BE39" s="395"/>
      <c r="BF39" s="524"/>
      <c r="BG39" s="395"/>
      <c r="BH39" s="395"/>
      <c r="BI39" s="369"/>
      <c r="BJ39" s="395"/>
      <c r="BK39" s="395"/>
      <c r="BL39" s="395"/>
      <c r="BM39" s="395"/>
      <c r="BN39" s="395"/>
      <c r="BO39" s="395"/>
      <c r="BP39" s="395"/>
      <c r="BQ39" s="369"/>
      <c r="BR39" s="369"/>
      <c r="BS39" s="395"/>
      <c r="BT39" s="369"/>
      <c r="BU39" s="369"/>
      <c r="BV39" s="369"/>
      <c r="BW39" s="369"/>
      <c r="BX39" s="369"/>
      <c r="BY39" s="369"/>
      <c r="CH39" s="395"/>
      <c r="CI39" s="511"/>
    </row>
    <row r="40" spans="2:87" s="370" customFormat="1" ht="13.9" customHeight="1" outlineLevel="1">
      <c r="B40" s="602"/>
      <c r="C40" s="620" t="s">
        <v>753</v>
      </c>
      <c r="D40" s="604">
        <v>2.63</v>
      </c>
      <c r="E40" s="605">
        <v>898800</v>
      </c>
      <c r="F40" s="493">
        <v>2.61</v>
      </c>
      <c r="G40" s="623">
        <v>887000</v>
      </c>
      <c r="H40" s="604">
        <v>0.49399999999999999</v>
      </c>
      <c r="I40" s="605">
        <v>775300</v>
      </c>
      <c r="J40" s="493">
        <v>0.15</v>
      </c>
      <c r="K40" s="623">
        <v>176300</v>
      </c>
      <c r="L40" s="604">
        <v>0</v>
      </c>
      <c r="M40" s="605">
        <v>0</v>
      </c>
      <c r="N40" s="639">
        <v>0</v>
      </c>
      <c r="O40" s="640">
        <v>0</v>
      </c>
      <c r="P40" s="641">
        <v>0</v>
      </c>
      <c r="Q40" s="642">
        <v>0</v>
      </c>
      <c r="R40" s="613">
        <v>70</v>
      </c>
      <c r="S40" s="613">
        <v>70</v>
      </c>
      <c r="T40" s="613">
        <v>0</v>
      </c>
      <c r="U40" s="613">
        <v>50</v>
      </c>
      <c r="V40" s="605">
        <v>0</v>
      </c>
      <c r="W40" s="605">
        <v>0</v>
      </c>
      <c r="X40" s="635">
        <v>50</v>
      </c>
      <c r="Y40" s="613">
        <v>50</v>
      </c>
      <c r="Z40" s="637"/>
      <c r="AA40" s="495"/>
      <c r="AC40" s="431"/>
      <c r="AD40" s="431"/>
      <c r="AE40" s="431"/>
      <c r="AF40" s="431"/>
      <c r="AH40" s="521"/>
      <c r="AJ40" s="483"/>
      <c r="AK40" s="522"/>
      <c r="AL40" s="401"/>
      <c r="AM40" s="523"/>
      <c r="AO40" s="521"/>
      <c r="AQ40" s="369"/>
      <c r="AR40" s="418"/>
      <c r="AS40" s="483"/>
      <c r="AT40" s="418"/>
      <c r="AV40" s="521"/>
      <c r="AX40" s="395"/>
      <c r="AY40" s="395"/>
      <c r="AZ40" s="395"/>
      <c r="BA40" s="395"/>
      <c r="BB40" s="395"/>
      <c r="BC40" s="369"/>
      <c r="BD40" s="395"/>
      <c r="BE40" s="395"/>
      <c r="BF40" s="524"/>
      <c r="BG40" s="395"/>
      <c r="BH40" s="395"/>
      <c r="BI40" s="369"/>
      <c r="BJ40" s="395"/>
      <c r="BK40" s="395"/>
      <c r="BL40" s="395"/>
      <c r="BM40" s="395"/>
      <c r="BN40" s="395"/>
      <c r="BO40" s="395"/>
      <c r="BP40" s="395"/>
      <c r="BQ40" s="369"/>
      <c r="BR40" s="369"/>
      <c r="BS40" s="395"/>
      <c r="BT40" s="369"/>
      <c r="BU40" s="369"/>
      <c r="BV40" s="369"/>
      <c r="BW40" s="369"/>
      <c r="BX40" s="369"/>
      <c r="BY40" s="369"/>
      <c r="CH40" s="395"/>
      <c r="CI40" s="511"/>
    </row>
    <row r="41" spans="2:87" s="370" customFormat="1" ht="15">
      <c r="B41" s="568" t="s">
        <v>1250</v>
      </c>
      <c r="C41" s="625"/>
      <c r="D41" s="2146" t="s">
        <v>1251</v>
      </c>
      <c r="E41" s="2147"/>
      <c r="F41" s="2147"/>
      <c r="G41" s="2148"/>
      <c r="H41" s="2151" t="s">
        <v>1252</v>
      </c>
      <c r="I41" s="2152"/>
      <c r="J41" s="2152"/>
      <c r="K41" s="2152"/>
      <c r="L41" s="2152"/>
      <c r="M41" s="2153"/>
      <c r="N41" s="2146" t="s">
        <v>1243</v>
      </c>
      <c r="O41" s="2154"/>
      <c r="P41" s="2155" t="s">
        <v>1253</v>
      </c>
      <c r="Q41" s="2148"/>
      <c r="R41" s="2146" t="s">
        <v>1254</v>
      </c>
      <c r="S41" s="2147"/>
      <c r="T41" s="2147"/>
      <c r="U41" s="2148"/>
      <c r="V41" s="2146" t="s">
        <v>1165</v>
      </c>
      <c r="W41" s="2147"/>
      <c r="X41" s="2147"/>
      <c r="Y41" s="2147"/>
      <c r="Z41" s="570"/>
      <c r="AA41" s="626"/>
      <c r="AC41" s="574"/>
      <c r="AD41" s="574"/>
      <c r="AE41" s="574"/>
      <c r="AF41" s="574"/>
      <c r="AH41" s="521"/>
      <c r="AJ41" s="483"/>
      <c r="AK41" s="522"/>
      <c r="AL41" s="401"/>
      <c r="AM41" s="523"/>
      <c r="AO41" s="521"/>
      <c r="AQ41" s="369"/>
      <c r="AR41" s="418"/>
      <c r="AS41" s="483"/>
      <c r="AT41" s="418"/>
      <c r="AV41" s="521"/>
      <c r="AX41" s="395"/>
      <c r="AY41" s="395"/>
      <c r="AZ41" s="395"/>
      <c r="BA41" s="395"/>
      <c r="BB41" s="395"/>
      <c r="BC41" s="369"/>
      <c r="BD41" s="395"/>
      <c r="BE41" s="395"/>
      <c r="BF41" s="524"/>
      <c r="BG41" s="395"/>
      <c r="BH41" s="395"/>
      <c r="BI41" s="369"/>
      <c r="BJ41" s="395"/>
      <c r="BK41" s="395"/>
      <c r="BL41" s="395"/>
      <c r="BM41" s="395"/>
      <c r="BN41" s="395"/>
      <c r="BO41" s="395"/>
      <c r="BP41" s="395"/>
      <c r="BQ41" s="369"/>
      <c r="BR41" s="369"/>
      <c r="BS41" s="395"/>
      <c r="BT41" s="369"/>
      <c r="BU41" s="369"/>
      <c r="BV41" s="369"/>
      <c r="BW41" s="369"/>
      <c r="BX41" s="369"/>
      <c r="BY41" s="369"/>
      <c r="CH41" s="395"/>
      <c r="CI41" s="511"/>
    </row>
    <row r="42" spans="2:87" s="370" customFormat="1" ht="15">
      <c r="B42" s="575"/>
      <c r="C42" s="627" t="s">
        <v>87</v>
      </c>
      <c r="D42" s="581" t="s">
        <v>119</v>
      </c>
      <c r="E42" s="579" t="s">
        <v>87</v>
      </c>
      <c r="F42" s="643" t="s">
        <v>70</v>
      </c>
      <c r="G42" s="643" t="s">
        <v>1081</v>
      </c>
      <c r="H42" s="581" t="s">
        <v>87</v>
      </c>
      <c r="I42" s="578" t="s">
        <v>119</v>
      </c>
      <c r="J42" s="578" t="s">
        <v>1255</v>
      </c>
      <c r="K42" s="578" t="s">
        <v>1256</v>
      </c>
      <c r="L42" s="578" t="s">
        <v>70</v>
      </c>
      <c r="M42" s="628" t="s">
        <v>1081</v>
      </c>
      <c r="N42" s="578" t="s">
        <v>732</v>
      </c>
      <c r="O42" s="644" t="s">
        <v>733</v>
      </c>
      <c r="P42" s="583" t="s">
        <v>732</v>
      </c>
      <c r="Q42" s="628" t="s">
        <v>733</v>
      </c>
      <c r="R42" s="577" t="s">
        <v>87</v>
      </c>
      <c r="S42" s="643" t="s">
        <v>70</v>
      </c>
      <c r="T42" s="643" t="s">
        <v>1081</v>
      </c>
      <c r="U42" s="645" t="s">
        <v>119</v>
      </c>
      <c r="V42" s="579" t="s">
        <v>87</v>
      </c>
      <c r="W42" s="643" t="s">
        <v>70</v>
      </c>
      <c r="X42" s="643" t="s">
        <v>1081</v>
      </c>
      <c r="Y42" s="646" t="s">
        <v>119</v>
      </c>
      <c r="Z42" s="578"/>
      <c r="AA42" s="630"/>
      <c r="AC42" s="588"/>
      <c r="AD42" s="588"/>
      <c r="AE42" s="588"/>
      <c r="AF42" s="588"/>
      <c r="AH42" s="521"/>
      <c r="AJ42" s="483"/>
      <c r="AK42" s="522"/>
      <c r="AL42" s="401"/>
      <c r="AM42" s="523"/>
      <c r="AO42" s="521"/>
      <c r="AQ42" s="369"/>
      <c r="AR42" s="418"/>
      <c r="AS42" s="483"/>
      <c r="AT42" s="418"/>
      <c r="AV42" s="521"/>
      <c r="AX42" s="395"/>
      <c r="AY42" s="395"/>
      <c r="AZ42" s="395"/>
      <c r="BA42" s="395"/>
      <c r="BB42" s="395"/>
      <c r="BC42" s="369"/>
      <c r="BD42" s="395"/>
      <c r="BE42" s="395"/>
      <c r="BF42" s="524"/>
      <c r="BG42" s="395"/>
      <c r="BH42" s="395"/>
      <c r="BI42" s="369"/>
      <c r="BJ42" s="395"/>
      <c r="BK42" s="395"/>
      <c r="BL42" s="395"/>
      <c r="BM42" s="395"/>
      <c r="BN42" s="395"/>
      <c r="BO42" s="395"/>
      <c r="BP42" s="395"/>
      <c r="BQ42" s="369"/>
      <c r="BR42" s="369"/>
      <c r="BS42" s="395"/>
      <c r="BT42" s="369"/>
      <c r="BU42" s="369"/>
      <c r="BV42" s="369"/>
      <c r="BW42" s="369"/>
      <c r="BX42" s="369"/>
      <c r="BY42" s="369"/>
      <c r="CH42" s="395"/>
      <c r="CI42" s="511"/>
    </row>
    <row r="43" spans="2:87" s="370" customFormat="1" ht="15">
      <c r="B43" s="589"/>
      <c r="C43" s="631" t="str">
        <f>+D4</f>
        <v>1540T(NA06)</v>
      </c>
      <c r="D43" s="632">
        <f>VLOOKUP($C43,$C$44:$Q$62,2,FALSE)</f>
        <v>15</v>
      </c>
      <c r="E43" s="598">
        <f>+L4</f>
        <v>0</v>
      </c>
      <c r="F43" s="647">
        <f>VLOOKUP($E43,$E$44:$Q$62,2,FALSE)</f>
        <v>0</v>
      </c>
      <c r="G43" s="592">
        <f>VLOOKUP($E43,$E$44:$Q$62,3,FALSE)</f>
        <v>0</v>
      </c>
      <c r="H43" s="648" t="str">
        <f>VLOOKUP($C43,$C$44:$Q$62,6,FALSE)</f>
        <v>PE3</v>
      </c>
      <c r="I43" s="598">
        <f>VLOOKUP($C43,$C$44:$Q$62,7,FALSE)</f>
        <v>3</v>
      </c>
      <c r="J43" s="598">
        <f>VLOOKUP($C43,$C$44:$Q$62,8,FALSE)</f>
        <v>80</v>
      </c>
      <c r="K43" s="598">
        <f>VLOOKUP($C43,$C$44:$Q$62,9,FALSE)</f>
        <v>80</v>
      </c>
      <c r="L43" s="649">
        <f>VLOOKUP($C43,$C$44:$Q$62,10,FALSE)</f>
        <v>24.50643333333333</v>
      </c>
      <c r="M43" s="593">
        <f>VLOOKUP($C43,$C$44:$Q$62,11,FALSE)</f>
        <v>132531.76663478618</v>
      </c>
      <c r="N43" s="650">
        <f>VLOOKUP($C43,$C$44:$Q$62,12,FALSE)</f>
        <v>0</v>
      </c>
      <c r="O43" s="596">
        <f>VLOOKUP($C43,$C$44:$Q$62,13,FALSE)</f>
        <v>0</v>
      </c>
      <c r="P43" s="651">
        <f>VLOOKUP($C43,$C$44:$Q$62,14,FALSE)</f>
        <v>1.39E-3</v>
      </c>
      <c r="Q43" s="593">
        <f>VLOOKUP($C43,$C$44:$Q$62,15,FALSE)</f>
        <v>2116.6133333333332</v>
      </c>
      <c r="R43" s="652" t="str">
        <f>+G4</f>
        <v>GI</v>
      </c>
      <c r="S43" s="592">
        <f>VLOOKUP($R43,$R$44:$U$62,2,FALSE)</f>
        <v>8030</v>
      </c>
      <c r="T43" s="592">
        <f>VLOOKUP($R43,$R$44:$U$62,3,FALSE)</f>
        <v>22500</v>
      </c>
      <c r="U43" s="653">
        <f>IF(H4&gt;=0,(VLOOKUP($R43,$R$44:$U$62,4,FALSE)),H4)</f>
        <v>0.4</v>
      </c>
      <c r="V43" s="592">
        <f>+I4</f>
        <v>0</v>
      </c>
      <c r="W43" s="592">
        <f>VLOOKUP($V43,$V$44:$Y$62,2,FALSE)</f>
        <v>0</v>
      </c>
      <c r="X43" s="592">
        <f>VLOOKUP($V43,$V$44:$Y$62,3,FALSE)</f>
        <v>0</v>
      </c>
      <c r="Y43" s="654">
        <f>VLOOKUP($V43,$V$44:$Y$62,4,FALSE)</f>
        <v>0</v>
      </c>
      <c r="Z43" s="655"/>
      <c r="AA43" s="633"/>
      <c r="AC43" s="601"/>
      <c r="AD43" s="601"/>
      <c r="AE43" s="601"/>
      <c r="AF43" s="601"/>
      <c r="AH43" s="521"/>
      <c r="AJ43" s="483"/>
      <c r="AK43" s="522"/>
      <c r="AL43" s="401"/>
      <c r="AM43" s="523"/>
      <c r="AO43" s="521"/>
      <c r="AQ43" s="369"/>
      <c r="AR43" s="418"/>
      <c r="AS43" s="483"/>
      <c r="AT43" s="418"/>
      <c r="AV43" s="521"/>
      <c r="AX43" s="395"/>
      <c r="AY43" s="395"/>
      <c r="AZ43" s="395"/>
      <c r="BA43" s="395"/>
      <c r="BB43" s="395"/>
      <c r="BC43" s="369"/>
      <c r="BD43" s="395"/>
      <c r="BE43" s="395"/>
      <c r="BF43" s="524"/>
      <c r="BG43" s="395"/>
      <c r="BH43" s="395"/>
      <c r="BI43" s="369"/>
      <c r="BJ43" s="395"/>
      <c r="BK43" s="395"/>
      <c r="BL43" s="395"/>
      <c r="BM43" s="395"/>
      <c r="BN43" s="395"/>
      <c r="BO43" s="395"/>
      <c r="BP43" s="395"/>
      <c r="BQ43" s="369"/>
      <c r="BR43" s="369"/>
      <c r="BS43" s="395"/>
      <c r="BT43" s="369"/>
      <c r="BU43" s="369"/>
      <c r="BV43" s="369"/>
      <c r="BW43" s="369"/>
      <c r="BX43" s="369"/>
      <c r="BY43" s="369"/>
      <c r="CH43" s="395"/>
      <c r="CI43" s="511"/>
    </row>
    <row r="44" spans="2:87" s="370" customFormat="1" ht="13.9" customHeight="1" outlineLevel="1">
      <c r="B44" s="602"/>
      <c r="C44" s="620" t="s">
        <v>1249</v>
      </c>
      <c r="D44" s="634">
        <v>0</v>
      </c>
      <c r="E44" s="635">
        <v>0</v>
      </c>
      <c r="F44" s="656">
        <v>0</v>
      </c>
      <c r="G44" s="605">
        <v>0</v>
      </c>
      <c r="H44" s="657">
        <v>0</v>
      </c>
      <c r="I44" s="635">
        <v>0</v>
      </c>
      <c r="J44" s="613">
        <v>0</v>
      </c>
      <c r="K44" s="613">
        <v>0</v>
      </c>
      <c r="L44" s="656">
        <v>0</v>
      </c>
      <c r="M44" s="616">
        <v>0</v>
      </c>
      <c r="N44" s="604">
        <v>0</v>
      </c>
      <c r="O44" s="617">
        <v>0</v>
      </c>
      <c r="P44" s="618">
        <v>0</v>
      </c>
      <c r="Q44" s="616">
        <v>0</v>
      </c>
      <c r="R44" s="658">
        <v>0</v>
      </c>
      <c r="S44" s="605">
        <v>0</v>
      </c>
      <c r="T44" s="605">
        <v>0</v>
      </c>
      <c r="U44" s="508">
        <v>0</v>
      </c>
      <c r="V44" s="659">
        <v>0</v>
      </c>
      <c r="W44" s="605">
        <v>0</v>
      </c>
      <c r="X44" s="605">
        <v>0</v>
      </c>
      <c r="Y44" s="494">
        <v>0</v>
      </c>
      <c r="Z44" s="637"/>
      <c r="AA44" s="495"/>
      <c r="AC44" s="431"/>
      <c r="AD44" s="431"/>
      <c r="AE44" s="431"/>
      <c r="AF44" s="431"/>
      <c r="AH44" s="521"/>
      <c r="AJ44" s="483"/>
      <c r="AK44" s="522"/>
      <c r="AL44" s="401"/>
      <c r="AM44" s="523"/>
      <c r="AO44" s="521"/>
      <c r="AQ44" s="369"/>
      <c r="AR44" s="418"/>
      <c r="AS44" s="483"/>
      <c r="AT44" s="418"/>
      <c r="AV44" s="521"/>
      <c r="AX44" s="395"/>
      <c r="AY44" s="395"/>
      <c r="AZ44" s="395"/>
      <c r="BA44" s="395"/>
      <c r="BB44" s="395"/>
      <c r="BC44" s="369"/>
      <c r="BD44" s="395"/>
      <c r="BE44" s="395"/>
      <c r="BF44" s="524"/>
      <c r="BG44" s="395"/>
      <c r="BH44" s="395"/>
      <c r="BI44" s="369"/>
      <c r="BJ44" s="395"/>
      <c r="BK44" s="395"/>
      <c r="BL44" s="395"/>
      <c r="BM44" s="395"/>
      <c r="BN44" s="395"/>
      <c r="BO44" s="395"/>
      <c r="BP44" s="395"/>
      <c r="BQ44" s="369"/>
      <c r="BR44" s="369"/>
      <c r="BS44" s="395"/>
      <c r="BT44" s="369"/>
      <c r="BU44" s="369"/>
      <c r="BV44" s="369"/>
      <c r="BW44" s="369"/>
      <c r="BX44" s="369"/>
      <c r="BY44" s="369"/>
      <c r="CH44" s="395"/>
      <c r="CI44" s="511"/>
    </row>
    <row r="45" spans="2:87" s="370" customFormat="1" ht="13.9" customHeight="1" outlineLevel="1">
      <c r="B45" s="602"/>
      <c r="C45" s="620" t="s">
        <v>737</v>
      </c>
      <c r="D45" s="634">
        <f>IF(E$56="PE",10,15)</f>
        <v>15</v>
      </c>
      <c r="E45" s="635" t="s">
        <v>141</v>
      </c>
      <c r="F45" s="656">
        <v>24.50643333333333</v>
      </c>
      <c r="G45" s="605">
        <v>132531.76663478618</v>
      </c>
      <c r="H45" s="657" t="s">
        <v>1119</v>
      </c>
      <c r="I45" s="635">
        <v>3</v>
      </c>
      <c r="J45" s="613">
        <v>30</v>
      </c>
      <c r="K45" s="613">
        <f>15+20+15</f>
        <v>50</v>
      </c>
      <c r="L45" s="656">
        <v>24.50643333333333</v>
      </c>
      <c r="M45" s="616">
        <v>132531.76663478618</v>
      </c>
      <c r="N45" s="604">
        <v>0</v>
      </c>
      <c r="O45" s="617">
        <v>0</v>
      </c>
      <c r="P45" s="618">
        <v>1.39E-3</v>
      </c>
      <c r="Q45" s="616">
        <v>2116.6133333333332</v>
      </c>
      <c r="R45" s="658">
        <v>0</v>
      </c>
      <c r="S45" s="605">
        <v>0</v>
      </c>
      <c r="T45" s="605">
        <v>0</v>
      </c>
      <c r="U45" s="508">
        <v>0</v>
      </c>
      <c r="V45" s="659">
        <v>0</v>
      </c>
      <c r="W45" s="605">
        <v>0</v>
      </c>
      <c r="X45" s="605">
        <v>0</v>
      </c>
      <c r="Y45" s="494">
        <v>0</v>
      </c>
      <c r="Z45" s="637"/>
      <c r="AA45" s="495"/>
      <c r="AC45" s="431"/>
      <c r="AD45" s="431"/>
      <c r="AE45" s="431"/>
      <c r="AF45" s="431"/>
      <c r="AH45" s="521"/>
      <c r="AJ45" s="483"/>
      <c r="AK45" s="522"/>
      <c r="AL45" s="401"/>
      <c r="AM45" s="523"/>
      <c r="AO45" s="521"/>
      <c r="AQ45" s="369"/>
      <c r="AR45" s="418"/>
      <c r="AS45" s="483"/>
      <c r="AT45" s="418"/>
      <c r="AV45" s="521"/>
      <c r="AX45" s="395"/>
      <c r="AY45" s="395"/>
      <c r="AZ45" s="395"/>
      <c r="BA45" s="395"/>
      <c r="BB45" s="395"/>
      <c r="BC45" s="369"/>
      <c r="BD45" s="395"/>
      <c r="BE45" s="395"/>
      <c r="BF45" s="524"/>
      <c r="BG45" s="395"/>
      <c r="BH45" s="395"/>
      <c r="BI45" s="369"/>
      <c r="BJ45" s="395"/>
      <c r="BK45" s="395"/>
      <c r="BL45" s="395"/>
      <c r="BM45" s="395"/>
      <c r="BN45" s="395"/>
      <c r="BO45" s="395"/>
      <c r="BP45" s="395"/>
      <c r="BQ45" s="369"/>
      <c r="BR45" s="369"/>
      <c r="BS45" s="395"/>
      <c r="BT45" s="369"/>
      <c r="BU45" s="369"/>
      <c r="BV45" s="369"/>
      <c r="BW45" s="369"/>
      <c r="BX45" s="369"/>
      <c r="BY45" s="369"/>
      <c r="CH45" s="395"/>
      <c r="CI45" s="511"/>
    </row>
    <row r="46" spans="2:87" s="370" customFormat="1" ht="13.9" customHeight="1" outlineLevel="1">
      <c r="B46" s="602"/>
      <c r="C46" s="620" t="s">
        <v>738</v>
      </c>
      <c r="D46" s="634">
        <f>IF(E$56="PE",10,15)</f>
        <v>15</v>
      </c>
      <c r="E46" s="635" t="s">
        <v>1123</v>
      </c>
      <c r="F46" s="656">
        <v>48</v>
      </c>
      <c r="G46" s="638">
        <v>55000</v>
      </c>
      <c r="H46" s="657" t="s">
        <v>1119</v>
      </c>
      <c r="I46" s="635">
        <v>3</v>
      </c>
      <c r="J46" s="613">
        <v>30</v>
      </c>
      <c r="K46" s="613">
        <f>15+20+15</f>
        <v>50</v>
      </c>
      <c r="L46" s="656">
        <v>24.50643333333333</v>
      </c>
      <c r="M46" s="616">
        <v>132531.76663478618</v>
      </c>
      <c r="N46" s="604">
        <v>0</v>
      </c>
      <c r="O46" s="617">
        <v>0</v>
      </c>
      <c r="P46" s="618">
        <v>1.39E-3</v>
      </c>
      <c r="Q46" s="616">
        <v>2116.6133333333332</v>
      </c>
      <c r="R46" s="634" t="s">
        <v>75</v>
      </c>
      <c r="S46" s="605">
        <v>8030</v>
      </c>
      <c r="T46" s="606">
        <v>22500</v>
      </c>
      <c r="U46" s="508">
        <v>0.4</v>
      </c>
      <c r="V46" s="635" t="s">
        <v>75</v>
      </c>
      <c r="W46" s="605">
        <v>8030</v>
      </c>
      <c r="X46" s="606">
        <v>22500</v>
      </c>
      <c r="Y46" s="494">
        <v>0.4</v>
      </c>
      <c r="Z46" s="637"/>
      <c r="AA46" s="495"/>
      <c r="AC46" s="431"/>
      <c r="AD46" s="431"/>
      <c r="AE46" s="431"/>
      <c r="AF46" s="431"/>
      <c r="AH46" s="521"/>
      <c r="AJ46" s="483"/>
      <c r="AK46" s="522"/>
      <c r="AL46" s="401"/>
      <c r="AM46" s="523"/>
      <c r="AO46" s="521"/>
      <c r="AQ46" s="369"/>
      <c r="AR46" s="418"/>
      <c r="AS46" s="483"/>
      <c r="AT46" s="418"/>
      <c r="AV46" s="521"/>
      <c r="AX46" s="395"/>
      <c r="AY46" s="395"/>
      <c r="AZ46" s="395"/>
      <c r="BA46" s="395"/>
      <c r="BB46" s="395"/>
      <c r="BC46" s="369"/>
      <c r="BD46" s="395"/>
      <c r="BE46" s="395"/>
      <c r="BF46" s="524"/>
      <c r="BG46" s="395"/>
      <c r="BH46" s="395"/>
      <c r="BI46" s="369"/>
      <c r="BJ46" s="395"/>
      <c r="BK46" s="395"/>
      <c r="BL46" s="395"/>
      <c r="BM46" s="395"/>
      <c r="BN46" s="395"/>
      <c r="BO46" s="395"/>
      <c r="BP46" s="395"/>
      <c r="BQ46" s="369"/>
      <c r="BR46" s="369"/>
      <c r="BS46" s="395"/>
      <c r="BT46" s="369"/>
      <c r="BU46" s="369"/>
      <c r="BV46" s="369"/>
      <c r="BW46" s="369"/>
      <c r="BX46" s="369"/>
      <c r="BY46" s="369"/>
      <c r="CH46" s="395"/>
      <c r="CI46" s="511"/>
    </row>
    <row r="47" spans="2:87" s="370" customFormat="1" ht="13.9" customHeight="1" outlineLevel="1">
      <c r="B47" s="602"/>
      <c r="C47" s="620" t="s">
        <v>739</v>
      </c>
      <c r="D47" s="634">
        <f>IF(E$56="PE",10,15)</f>
        <v>15</v>
      </c>
      <c r="E47" s="635" t="s">
        <v>1122</v>
      </c>
      <c r="F47" s="656">
        <v>48</v>
      </c>
      <c r="G47" s="638">
        <v>52000</v>
      </c>
      <c r="H47" s="660" t="s">
        <v>1119</v>
      </c>
      <c r="I47" s="635">
        <v>3</v>
      </c>
      <c r="J47" s="613">
        <v>80</v>
      </c>
      <c r="K47" s="613">
        <f>40+20+20</f>
        <v>80</v>
      </c>
      <c r="L47" s="656">
        <v>24.50643333333333</v>
      </c>
      <c r="M47" s="616">
        <v>132531.76663478618</v>
      </c>
      <c r="N47" s="604">
        <v>0</v>
      </c>
      <c r="O47" s="617">
        <v>0</v>
      </c>
      <c r="P47" s="618">
        <v>1.39E-3</v>
      </c>
      <c r="Q47" s="616">
        <v>2116.6133333333332</v>
      </c>
      <c r="R47" s="634" t="s">
        <v>1082</v>
      </c>
      <c r="S47" s="605">
        <v>8360</v>
      </c>
      <c r="T47" s="605">
        <v>30500</v>
      </c>
      <c r="U47" s="636">
        <v>0.45</v>
      </c>
      <c r="V47" s="635" t="s">
        <v>1082</v>
      </c>
      <c r="W47" s="605">
        <v>8360</v>
      </c>
      <c r="X47" s="605">
        <v>30200</v>
      </c>
      <c r="Y47" s="613">
        <v>0.45</v>
      </c>
      <c r="Z47" s="637"/>
      <c r="AA47" s="495"/>
      <c r="AC47" s="431"/>
      <c r="AD47" s="431"/>
      <c r="AE47" s="431"/>
      <c r="AF47" s="431"/>
      <c r="AH47" s="521"/>
      <c r="AJ47" s="483"/>
      <c r="AK47" s="522"/>
      <c r="AL47" s="401"/>
      <c r="AM47" s="523"/>
      <c r="AO47" s="521"/>
      <c r="AQ47" s="369"/>
      <c r="AR47" s="418"/>
      <c r="AS47" s="483"/>
      <c r="AT47" s="418"/>
      <c r="AV47" s="521"/>
      <c r="AX47" s="395"/>
      <c r="AY47" s="395"/>
      <c r="AZ47" s="395"/>
      <c r="BA47" s="395"/>
      <c r="BB47" s="395"/>
      <c r="BC47" s="369"/>
      <c r="BD47" s="395"/>
      <c r="BE47" s="395"/>
      <c r="BF47" s="524"/>
      <c r="BG47" s="395"/>
      <c r="BH47" s="395"/>
      <c r="BI47" s="369"/>
      <c r="BJ47" s="395"/>
      <c r="BK47" s="395"/>
      <c r="BL47" s="395"/>
      <c r="BM47" s="395"/>
      <c r="BN47" s="395"/>
      <c r="BO47" s="395"/>
      <c r="BP47" s="395"/>
      <c r="BQ47" s="369"/>
      <c r="BR47" s="369"/>
      <c r="BS47" s="395"/>
      <c r="BT47" s="369"/>
      <c r="BU47" s="369"/>
      <c r="BV47" s="369"/>
      <c r="BW47" s="369"/>
      <c r="BX47" s="369"/>
      <c r="BY47" s="369"/>
      <c r="CH47" s="395"/>
      <c r="CI47" s="511"/>
    </row>
    <row r="48" spans="2:87" s="370" customFormat="1" ht="13.9" customHeight="1" outlineLevel="1">
      <c r="B48" s="602"/>
      <c r="C48" s="620" t="s">
        <v>740</v>
      </c>
      <c r="D48" s="634">
        <f>IF(E$56="PE",10,15)</f>
        <v>15</v>
      </c>
      <c r="E48" s="613" t="s">
        <v>1257</v>
      </c>
      <c r="F48" s="656">
        <v>60</v>
      </c>
      <c r="G48" s="605">
        <f>134.87*14500</f>
        <v>1955615</v>
      </c>
      <c r="H48" s="660" t="s">
        <v>1119</v>
      </c>
      <c r="I48" s="635">
        <v>3</v>
      </c>
      <c r="J48" s="613">
        <v>80</v>
      </c>
      <c r="K48" s="613">
        <f>40+20+20</f>
        <v>80</v>
      </c>
      <c r="L48" s="656">
        <v>24.50643333333333</v>
      </c>
      <c r="M48" s="616">
        <v>132531.76663478618</v>
      </c>
      <c r="N48" s="604">
        <v>0</v>
      </c>
      <c r="O48" s="617">
        <v>0</v>
      </c>
      <c r="P48" s="618">
        <v>1.39E-3</v>
      </c>
      <c r="Q48" s="616">
        <v>2116.6133333333332</v>
      </c>
      <c r="R48" s="634" t="s">
        <v>1258</v>
      </c>
      <c r="S48" s="605">
        <v>1400</v>
      </c>
      <c r="T48" s="605">
        <v>37250</v>
      </c>
      <c r="U48" s="508">
        <v>0.7</v>
      </c>
      <c r="V48" s="635" t="s">
        <v>1258</v>
      </c>
      <c r="W48" s="605">
        <v>1400</v>
      </c>
      <c r="X48" s="605">
        <v>37250</v>
      </c>
      <c r="Y48" s="494">
        <v>0.7</v>
      </c>
      <c r="Z48" s="637"/>
      <c r="AA48" s="495"/>
      <c r="AC48" s="431"/>
      <c r="AD48" s="431"/>
      <c r="AE48" s="431"/>
      <c r="AF48" s="431"/>
      <c r="AH48" s="521"/>
      <c r="AJ48" s="483"/>
      <c r="AK48" s="522"/>
      <c r="AL48" s="401"/>
      <c r="AM48" s="523"/>
      <c r="AO48" s="521"/>
      <c r="AQ48" s="369"/>
      <c r="AR48" s="418"/>
      <c r="AS48" s="483"/>
      <c r="AT48" s="418"/>
      <c r="AV48" s="521"/>
      <c r="AX48" s="395"/>
      <c r="AY48" s="395"/>
      <c r="AZ48" s="395"/>
      <c r="BA48" s="395"/>
      <c r="BB48" s="395"/>
      <c r="BC48" s="369"/>
      <c r="BD48" s="395"/>
      <c r="BE48" s="395"/>
      <c r="BF48" s="524"/>
      <c r="BG48" s="395"/>
      <c r="BH48" s="395"/>
      <c r="BI48" s="369"/>
      <c r="BJ48" s="395"/>
      <c r="BK48" s="395"/>
      <c r="BL48" s="395"/>
      <c r="BM48" s="395"/>
      <c r="BN48" s="395"/>
      <c r="BO48" s="395"/>
      <c r="BP48" s="395"/>
      <c r="BQ48" s="369"/>
      <c r="BR48" s="369"/>
      <c r="BS48" s="395"/>
      <c r="BT48" s="369"/>
      <c r="BU48" s="369"/>
      <c r="BV48" s="369"/>
      <c r="BW48" s="369"/>
      <c r="BX48" s="369"/>
      <c r="BY48" s="369"/>
      <c r="CH48" s="395"/>
      <c r="CI48" s="511"/>
    </row>
    <row r="49" spans="2:87" s="370" customFormat="1" ht="13.9" customHeight="1" outlineLevel="1">
      <c r="B49" s="602"/>
      <c r="C49" s="620" t="s">
        <v>741</v>
      </c>
      <c r="D49" s="634">
        <v>24</v>
      </c>
      <c r="E49" s="613" t="s">
        <v>1121</v>
      </c>
      <c r="F49" s="656">
        <v>80</v>
      </c>
      <c r="G49" s="605">
        <f>177.26*14500</f>
        <v>2570270</v>
      </c>
      <c r="H49" s="657" t="s">
        <v>1259</v>
      </c>
      <c r="I49" s="635">
        <v>0</v>
      </c>
      <c r="J49" s="613">
        <v>0</v>
      </c>
      <c r="K49" s="613">
        <v>0</v>
      </c>
      <c r="L49" s="656">
        <v>0</v>
      </c>
      <c r="M49" s="616">
        <v>0</v>
      </c>
      <c r="N49" s="604">
        <v>0.04</v>
      </c>
      <c r="O49" s="617">
        <v>4275</v>
      </c>
      <c r="P49" s="618">
        <v>0.06</v>
      </c>
      <c r="Q49" s="616">
        <v>6935</v>
      </c>
      <c r="R49" s="634" t="s">
        <v>1083</v>
      </c>
      <c r="S49" s="605">
        <v>7800</v>
      </c>
      <c r="T49" s="606">
        <v>65000</v>
      </c>
      <c r="U49" s="508">
        <v>0.5</v>
      </c>
      <c r="V49" s="635" t="s">
        <v>1083</v>
      </c>
      <c r="W49" s="605">
        <v>7800</v>
      </c>
      <c r="X49" s="606">
        <v>65000</v>
      </c>
      <c r="Y49" s="494">
        <v>0.5</v>
      </c>
      <c r="Z49" s="637"/>
      <c r="AA49" s="495"/>
      <c r="AC49" s="431"/>
      <c r="AD49" s="431"/>
      <c r="AE49" s="431"/>
      <c r="AF49" s="431"/>
      <c r="AH49" s="521"/>
      <c r="AJ49" s="483"/>
      <c r="AK49" s="522"/>
      <c r="AL49" s="401"/>
      <c r="AM49" s="523"/>
      <c r="AO49" s="521"/>
      <c r="AQ49" s="369"/>
      <c r="AR49" s="418"/>
      <c r="AS49" s="483"/>
      <c r="AT49" s="418"/>
      <c r="AV49" s="521"/>
      <c r="AX49" s="395"/>
      <c r="AY49" s="395"/>
      <c r="AZ49" s="395"/>
      <c r="BA49" s="395"/>
      <c r="BB49" s="395"/>
      <c r="BC49" s="369"/>
      <c r="BD49" s="395"/>
      <c r="BE49" s="395"/>
      <c r="BF49" s="524"/>
      <c r="BG49" s="395"/>
      <c r="BH49" s="395"/>
      <c r="BI49" s="369"/>
      <c r="BJ49" s="395"/>
      <c r="BK49" s="395"/>
      <c r="BL49" s="395"/>
      <c r="BM49" s="395"/>
      <c r="BN49" s="395"/>
      <c r="BO49" s="395"/>
      <c r="BP49" s="395"/>
      <c r="BQ49" s="369"/>
      <c r="BR49" s="369"/>
      <c r="BS49" s="395"/>
      <c r="BT49" s="369"/>
      <c r="BU49" s="369"/>
      <c r="BV49" s="369"/>
      <c r="BW49" s="369"/>
      <c r="BX49" s="369"/>
      <c r="BY49" s="369"/>
      <c r="CH49" s="395"/>
      <c r="CI49" s="511"/>
    </row>
    <row r="50" spans="2:87" s="370" customFormat="1" ht="13.9" customHeight="1" outlineLevel="1">
      <c r="B50" s="602"/>
      <c r="C50" s="620" t="s">
        <v>742</v>
      </c>
      <c r="D50" s="634">
        <v>24</v>
      </c>
      <c r="E50" s="613" t="s">
        <v>1260</v>
      </c>
      <c r="F50" s="656">
        <v>100</v>
      </c>
      <c r="G50" s="605">
        <f>223.51*14500</f>
        <v>3240895</v>
      </c>
      <c r="H50" s="660" t="s">
        <v>1259</v>
      </c>
      <c r="I50" s="635">
        <v>0</v>
      </c>
      <c r="J50" s="613">
        <v>0</v>
      </c>
      <c r="K50" s="613">
        <v>0</v>
      </c>
      <c r="L50" s="656">
        <v>0</v>
      </c>
      <c r="M50" s="636">
        <v>0</v>
      </c>
      <c r="N50" s="604">
        <v>0.04</v>
      </c>
      <c r="O50" s="617">
        <v>4275</v>
      </c>
      <c r="P50" s="618">
        <v>0.06</v>
      </c>
      <c r="Q50" s="616">
        <v>6935</v>
      </c>
      <c r="R50" s="634" t="s">
        <v>1084</v>
      </c>
      <c r="S50" s="605">
        <v>8000</v>
      </c>
      <c r="T50" s="606">
        <v>80000</v>
      </c>
      <c r="U50" s="508">
        <v>0.5</v>
      </c>
      <c r="V50" s="635" t="s">
        <v>1084</v>
      </c>
      <c r="W50" s="605">
        <v>8000</v>
      </c>
      <c r="X50" s="606">
        <v>80000</v>
      </c>
      <c r="Y50" s="494">
        <v>0.5</v>
      </c>
      <c r="Z50" s="637"/>
      <c r="AA50" s="495"/>
      <c r="AC50" s="431"/>
      <c r="AD50" s="431"/>
      <c r="AE50" s="431"/>
      <c r="AF50" s="431"/>
      <c r="AH50" s="521"/>
      <c r="AJ50" s="483"/>
      <c r="AK50" s="522"/>
      <c r="AL50" s="401"/>
      <c r="AM50" s="523"/>
      <c r="AO50" s="521"/>
      <c r="AQ50" s="369"/>
      <c r="AR50" s="418"/>
      <c r="AS50" s="483"/>
      <c r="AT50" s="418"/>
      <c r="AV50" s="521"/>
      <c r="AX50" s="395"/>
      <c r="AY50" s="395"/>
      <c r="AZ50" s="395"/>
      <c r="BA50" s="395"/>
      <c r="BB50" s="395"/>
      <c r="BC50" s="369"/>
      <c r="BD50" s="395"/>
      <c r="BE50" s="395"/>
      <c r="BF50" s="524"/>
      <c r="BG50" s="395"/>
      <c r="BH50" s="395"/>
      <c r="BI50" s="369"/>
      <c r="BJ50" s="395"/>
      <c r="BK50" s="395"/>
      <c r="BL50" s="395"/>
      <c r="BM50" s="395"/>
      <c r="BN50" s="395"/>
      <c r="BO50" s="395"/>
      <c r="BP50" s="395"/>
      <c r="BQ50" s="369"/>
      <c r="BR50" s="369"/>
      <c r="BS50" s="395"/>
      <c r="BT50" s="369"/>
      <c r="BU50" s="369"/>
      <c r="BV50" s="369"/>
      <c r="BW50" s="369"/>
      <c r="BX50" s="369"/>
      <c r="BY50" s="369"/>
      <c r="CH50" s="395"/>
      <c r="CI50" s="511"/>
    </row>
    <row r="51" spans="2:87" s="370" customFormat="1" ht="13.9" customHeight="1" outlineLevel="1">
      <c r="B51" s="602"/>
      <c r="C51" s="620" t="s">
        <v>736</v>
      </c>
      <c r="D51" s="634">
        <v>47</v>
      </c>
      <c r="E51" s="613"/>
      <c r="F51" s="656"/>
      <c r="G51" s="605"/>
      <c r="H51" s="657" t="s">
        <v>1259</v>
      </c>
      <c r="I51" s="635">
        <v>0</v>
      </c>
      <c r="J51" s="613">
        <v>0</v>
      </c>
      <c r="K51" s="613">
        <v>0</v>
      </c>
      <c r="L51" s="656">
        <v>0</v>
      </c>
      <c r="M51" s="616">
        <v>0</v>
      </c>
      <c r="N51" s="604">
        <v>0.04</v>
      </c>
      <c r="O51" s="617">
        <v>4275</v>
      </c>
      <c r="P51" s="618">
        <v>0.06</v>
      </c>
      <c r="Q51" s="616">
        <v>6935</v>
      </c>
      <c r="R51" s="634" t="s">
        <v>1089</v>
      </c>
      <c r="S51" s="605">
        <v>8900</v>
      </c>
      <c r="T51" s="606">
        <v>207000</v>
      </c>
      <c r="U51" s="508">
        <v>0.5</v>
      </c>
      <c r="V51" s="635" t="s">
        <v>1089</v>
      </c>
      <c r="W51" s="605">
        <v>8900</v>
      </c>
      <c r="X51" s="606">
        <v>207000</v>
      </c>
      <c r="Y51" s="494">
        <v>0.5</v>
      </c>
      <c r="Z51" s="637"/>
      <c r="AA51" s="495"/>
      <c r="AC51" s="431"/>
      <c r="AD51" s="431"/>
      <c r="AE51" s="431"/>
      <c r="AF51" s="431"/>
      <c r="AH51" s="521"/>
      <c r="AJ51" s="483"/>
      <c r="AK51" s="522"/>
      <c r="AL51" s="401"/>
      <c r="AM51" s="523"/>
      <c r="AO51" s="521"/>
      <c r="AQ51" s="369"/>
      <c r="AR51" s="418"/>
      <c r="AS51" s="483"/>
      <c r="AT51" s="418"/>
      <c r="AV51" s="521"/>
      <c r="AX51" s="395"/>
      <c r="AY51" s="395"/>
      <c r="AZ51" s="395"/>
      <c r="BA51" s="395"/>
      <c r="BB51" s="395"/>
      <c r="BC51" s="369"/>
      <c r="BD51" s="395"/>
      <c r="BE51" s="395"/>
      <c r="BF51" s="524"/>
      <c r="BG51" s="395"/>
      <c r="BH51" s="395"/>
      <c r="BI51" s="369"/>
      <c r="BJ51" s="395"/>
      <c r="BK51" s="395"/>
      <c r="BL51" s="395"/>
      <c r="BM51" s="395"/>
      <c r="BN51" s="395"/>
      <c r="BO51" s="395"/>
      <c r="BP51" s="395"/>
      <c r="BQ51" s="369"/>
      <c r="BR51" s="369"/>
      <c r="BS51" s="395"/>
      <c r="BT51" s="369"/>
      <c r="BU51" s="369"/>
      <c r="BV51" s="369"/>
      <c r="BW51" s="369"/>
      <c r="BX51" s="369"/>
      <c r="BY51" s="369"/>
      <c r="CH51" s="395"/>
      <c r="CI51" s="511"/>
    </row>
    <row r="52" spans="2:87" s="370" customFormat="1" ht="13.9" customHeight="1" outlineLevel="1">
      <c r="B52" s="602"/>
      <c r="C52" s="620" t="s">
        <v>743</v>
      </c>
      <c r="D52" s="634">
        <v>47</v>
      </c>
      <c r="E52" s="613"/>
      <c r="F52" s="656"/>
      <c r="G52" s="605"/>
      <c r="H52" s="660" t="s">
        <v>1259</v>
      </c>
      <c r="I52" s="635">
        <v>0</v>
      </c>
      <c r="J52" s="613">
        <v>0</v>
      </c>
      <c r="K52" s="613">
        <v>0</v>
      </c>
      <c r="L52" s="656">
        <v>0</v>
      </c>
      <c r="M52" s="616">
        <v>0</v>
      </c>
      <c r="N52" s="604">
        <v>0.04</v>
      </c>
      <c r="O52" s="617">
        <v>4275</v>
      </c>
      <c r="P52" s="618">
        <v>0.06</v>
      </c>
      <c r="Q52" s="616">
        <v>6935</v>
      </c>
      <c r="R52" s="634"/>
      <c r="S52" s="605"/>
      <c r="T52" s="605"/>
      <c r="U52" s="508"/>
      <c r="V52" s="635"/>
      <c r="W52" s="605"/>
      <c r="X52" s="605"/>
      <c r="Y52" s="494"/>
      <c r="Z52" s="637"/>
      <c r="AA52" s="495"/>
      <c r="AC52" s="431"/>
      <c r="AD52" s="431"/>
      <c r="AE52" s="431"/>
      <c r="AF52" s="431"/>
      <c r="AH52" s="521"/>
      <c r="AJ52" s="483"/>
      <c r="AK52" s="522"/>
      <c r="AL52" s="401"/>
      <c r="AM52" s="523"/>
      <c r="AO52" s="521"/>
      <c r="AQ52" s="369"/>
      <c r="AR52" s="418"/>
      <c r="AS52" s="483"/>
      <c r="AT52" s="418"/>
      <c r="AV52" s="521"/>
      <c r="AX52" s="395"/>
      <c r="AY52" s="395"/>
      <c r="AZ52" s="395"/>
      <c r="BA52" s="395"/>
      <c r="BB52" s="395"/>
      <c r="BC52" s="369"/>
      <c r="BD52" s="395"/>
      <c r="BE52" s="395"/>
      <c r="BF52" s="524"/>
      <c r="BG52" s="395"/>
      <c r="BH52" s="395"/>
      <c r="BI52" s="369"/>
      <c r="BJ52" s="395"/>
      <c r="BK52" s="395"/>
      <c r="BL52" s="395"/>
      <c r="BM52" s="395"/>
      <c r="BN52" s="395"/>
      <c r="BO52" s="395"/>
      <c r="BP52" s="395"/>
      <c r="BQ52" s="369"/>
      <c r="BR52" s="369"/>
      <c r="BS52" s="395"/>
      <c r="BT52" s="369"/>
      <c r="BU52" s="369"/>
      <c r="BV52" s="369"/>
      <c r="BW52" s="369"/>
      <c r="BX52" s="369"/>
      <c r="BY52" s="369"/>
      <c r="CH52" s="395"/>
      <c r="CI52" s="511"/>
    </row>
    <row r="53" spans="2:87" s="370" customFormat="1" ht="13.9" customHeight="1" outlineLevel="1">
      <c r="B53" s="602"/>
      <c r="C53" s="620" t="s">
        <v>744</v>
      </c>
      <c r="D53" s="634">
        <v>50</v>
      </c>
      <c r="E53" s="613"/>
      <c r="F53" s="656"/>
      <c r="G53" s="605"/>
      <c r="H53" s="660" t="s">
        <v>1119</v>
      </c>
      <c r="I53" s="635">
        <v>3</v>
      </c>
      <c r="J53" s="613">
        <v>120</v>
      </c>
      <c r="K53" s="613">
        <f>20+40+20</f>
        <v>80</v>
      </c>
      <c r="L53" s="656">
        <v>24.50643333333333</v>
      </c>
      <c r="M53" s="616">
        <v>132531.76663478618</v>
      </c>
      <c r="N53" s="604">
        <v>0</v>
      </c>
      <c r="O53" s="617">
        <v>0</v>
      </c>
      <c r="P53" s="618">
        <v>1.39E-3</v>
      </c>
      <c r="Q53" s="616">
        <v>2116.6133333333332</v>
      </c>
      <c r="R53" s="634"/>
      <c r="S53" s="605"/>
      <c r="T53" s="605"/>
      <c r="U53" s="508"/>
      <c r="V53" s="635"/>
      <c r="W53" s="605"/>
      <c r="X53" s="605"/>
      <c r="Y53" s="494"/>
      <c r="Z53" s="637"/>
      <c r="AA53" s="495"/>
      <c r="AC53" s="431"/>
      <c r="AD53" s="431"/>
      <c r="AE53" s="431"/>
      <c r="AF53" s="431"/>
      <c r="AH53" s="521"/>
      <c r="AJ53" s="483"/>
      <c r="AK53" s="522"/>
      <c r="AL53" s="401"/>
      <c r="AM53" s="523"/>
      <c r="AO53" s="521"/>
      <c r="AQ53" s="369"/>
      <c r="AR53" s="418"/>
      <c r="AS53" s="483"/>
      <c r="AT53" s="418"/>
      <c r="AV53" s="521"/>
      <c r="AX53" s="395"/>
      <c r="AY53" s="395"/>
      <c r="AZ53" s="395"/>
      <c r="BA53" s="395"/>
      <c r="BB53" s="395"/>
      <c r="BC53" s="369"/>
      <c r="BD53" s="395"/>
      <c r="BE53" s="395"/>
      <c r="BF53" s="524"/>
      <c r="BG53" s="395"/>
      <c r="BH53" s="395"/>
      <c r="BI53" s="369"/>
      <c r="BJ53" s="395"/>
      <c r="BK53" s="395"/>
      <c r="BL53" s="395"/>
      <c r="BM53" s="395"/>
      <c r="BN53" s="395"/>
      <c r="BO53" s="395"/>
      <c r="BP53" s="395"/>
      <c r="BQ53" s="369"/>
      <c r="BR53" s="369"/>
      <c r="BS53" s="395"/>
      <c r="BT53" s="369"/>
      <c r="BU53" s="369"/>
      <c r="BV53" s="369"/>
      <c r="BW53" s="369"/>
      <c r="BX53" s="369"/>
      <c r="BY53" s="369"/>
      <c r="CH53" s="395"/>
      <c r="CI53" s="511"/>
    </row>
    <row r="54" spans="2:87" s="370" customFormat="1" ht="13.9" customHeight="1" outlineLevel="1">
      <c r="B54" s="602"/>
      <c r="C54" s="620" t="s">
        <v>745</v>
      </c>
      <c r="D54" s="634">
        <v>50</v>
      </c>
      <c r="E54" s="613"/>
      <c r="F54" s="656"/>
      <c r="G54" s="605"/>
      <c r="H54" s="660" t="s">
        <v>1259</v>
      </c>
      <c r="I54" s="635">
        <v>0</v>
      </c>
      <c r="J54" s="613">
        <v>0</v>
      </c>
      <c r="K54" s="613">
        <v>0</v>
      </c>
      <c r="L54" s="656">
        <v>0</v>
      </c>
      <c r="M54" s="616">
        <v>0</v>
      </c>
      <c r="N54" s="604">
        <v>0</v>
      </c>
      <c r="O54" s="617">
        <v>0</v>
      </c>
      <c r="P54" s="618">
        <v>1.39E-3</v>
      </c>
      <c r="Q54" s="616">
        <v>2116.6133333333332</v>
      </c>
      <c r="R54" s="634"/>
      <c r="S54" s="605"/>
      <c r="T54" s="605"/>
      <c r="U54" s="508"/>
      <c r="V54" s="635"/>
      <c r="W54" s="605"/>
      <c r="X54" s="605"/>
      <c r="Y54" s="494"/>
      <c r="Z54" s="637"/>
      <c r="AA54" s="495"/>
      <c r="AC54" s="431"/>
      <c r="AD54" s="431"/>
      <c r="AE54" s="431"/>
      <c r="AF54" s="431"/>
      <c r="AH54" s="521"/>
      <c r="AJ54" s="483"/>
      <c r="AK54" s="522"/>
      <c r="AL54" s="401"/>
      <c r="AM54" s="523"/>
      <c r="AO54" s="521"/>
      <c r="AQ54" s="369"/>
      <c r="AR54" s="418"/>
      <c r="AS54" s="483"/>
      <c r="AT54" s="418"/>
      <c r="AV54" s="521"/>
      <c r="AX54" s="395"/>
      <c r="AY54" s="395"/>
      <c r="AZ54" s="395"/>
      <c r="BA54" s="395"/>
      <c r="BB54" s="395"/>
      <c r="BC54" s="369"/>
      <c r="BD54" s="395"/>
      <c r="BE54" s="395"/>
      <c r="BF54" s="524"/>
      <c r="BG54" s="395"/>
      <c r="BH54" s="395"/>
      <c r="BI54" s="369"/>
      <c r="BJ54" s="395"/>
      <c r="BK54" s="395"/>
      <c r="BL54" s="395"/>
      <c r="BM54" s="395"/>
      <c r="BN54" s="395"/>
      <c r="BO54" s="395"/>
      <c r="BP54" s="395"/>
      <c r="BQ54" s="369"/>
      <c r="BR54" s="369"/>
      <c r="BS54" s="395"/>
      <c r="BT54" s="369"/>
      <c r="BU54" s="369"/>
      <c r="BV54" s="369"/>
      <c r="BW54" s="369"/>
      <c r="BX54" s="369"/>
      <c r="BY54" s="369"/>
      <c r="CH54" s="395"/>
      <c r="CI54" s="511"/>
    </row>
    <row r="55" spans="2:87" s="370" customFormat="1" ht="13.9" customHeight="1" outlineLevel="1">
      <c r="B55" s="602"/>
      <c r="C55" s="620" t="s">
        <v>746</v>
      </c>
      <c r="D55" s="634">
        <v>24</v>
      </c>
      <c r="E55" s="613"/>
      <c r="F55" s="656"/>
      <c r="G55" s="605"/>
      <c r="H55" s="660" t="s">
        <v>1120</v>
      </c>
      <c r="I55" s="635">
        <v>5</v>
      </c>
      <c r="J55" s="613">
        <v>90</v>
      </c>
      <c r="K55" s="613">
        <v>90</v>
      </c>
      <c r="L55" s="656">
        <v>24.50643333333333</v>
      </c>
      <c r="M55" s="616">
        <v>132531.76663478618</v>
      </c>
      <c r="N55" s="604">
        <v>0</v>
      </c>
      <c r="O55" s="617">
        <v>0</v>
      </c>
      <c r="P55" s="618">
        <v>1.39E-3</v>
      </c>
      <c r="Q55" s="616">
        <v>2116.6133333333332</v>
      </c>
      <c r="R55" s="634"/>
      <c r="S55" s="605"/>
      <c r="T55" s="605"/>
      <c r="U55" s="508"/>
      <c r="V55" s="635"/>
      <c r="W55" s="605"/>
      <c r="X55" s="605"/>
      <c r="Y55" s="494"/>
      <c r="Z55" s="637"/>
      <c r="AA55" s="495"/>
      <c r="AC55" s="431"/>
      <c r="AD55" s="431"/>
      <c r="AE55" s="431"/>
      <c r="AF55" s="431"/>
      <c r="AH55" s="521"/>
      <c r="AJ55" s="483"/>
      <c r="AK55" s="522"/>
      <c r="AL55" s="401"/>
      <c r="AM55" s="523"/>
      <c r="AO55" s="521"/>
      <c r="AQ55" s="369"/>
      <c r="AR55" s="418"/>
      <c r="AS55" s="483"/>
      <c r="AT55" s="418"/>
      <c r="AV55" s="521"/>
      <c r="AX55" s="395"/>
      <c r="AY55" s="395"/>
      <c r="AZ55" s="395"/>
      <c r="BA55" s="395"/>
      <c r="BB55" s="395"/>
      <c r="BC55" s="369"/>
      <c r="BD55" s="395"/>
      <c r="BE55" s="395"/>
      <c r="BF55" s="524"/>
      <c r="BG55" s="395"/>
      <c r="BH55" s="395"/>
      <c r="BI55" s="369"/>
      <c r="BJ55" s="395"/>
      <c r="BK55" s="395"/>
      <c r="BL55" s="395"/>
      <c r="BM55" s="395"/>
      <c r="BN55" s="395"/>
      <c r="BO55" s="395"/>
      <c r="BP55" s="395"/>
      <c r="BQ55" s="369"/>
      <c r="BR55" s="369"/>
      <c r="BS55" s="395"/>
      <c r="BT55" s="369"/>
      <c r="BU55" s="369"/>
      <c r="BV55" s="369"/>
      <c r="BW55" s="369"/>
      <c r="BX55" s="369"/>
      <c r="BY55" s="369"/>
      <c r="CH55" s="395"/>
      <c r="CI55" s="511"/>
    </row>
    <row r="56" spans="2:87" s="370" customFormat="1" ht="13.9" customHeight="1" outlineLevel="1">
      <c r="B56" s="602"/>
      <c r="C56" s="620" t="s">
        <v>747</v>
      </c>
      <c r="D56" s="634">
        <v>24</v>
      </c>
      <c r="E56" s="613"/>
      <c r="F56" s="656"/>
      <c r="G56" s="605"/>
      <c r="H56" s="660" t="s">
        <v>1120</v>
      </c>
      <c r="I56" s="635">
        <v>5</v>
      </c>
      <c r="J56" s="613">
        <v>90</v>
      </c>
      <c r="K56" s="613">
        <v>90</v>
      </c>
      <c r="L56" s="656">
        <v>24.50643333333333</v>
      </c>
      <c r="M56" s="616">
        <v>132531.76663478618</v>
      </c>
      <c r="N56" s="604">
        <v>0</v>
      </c>
      <c r="O56" s="617">
        <v>0</v>
      </c>
      <c r="P56" s="618">
        <v>1.39E-3</v>
      </c>
      <c r="Q56" s="616">
        <v>2116.6133333333332</v>
      </c>
      <c r="R56" s="634"/>
      <c r="S56" s="605"/>
      <c r="T56" s="605"/>
      <c r="U56" s="508"/>
      <c r="V56" s="635"/>
      <c r="W56" s="605"/>
      <c r="X56" s="605"/>
      <c r="Y56" s="494"/>
      <c r="Z56" s="637"/>
      <c r="AA56" s="495"/>
      <c r="AC56" s="431"/>
      <c r="AD56" s="431"/>
      <c r="AE56" s="431"/>
      <c r="AF56" s="431"/>
      <c r="AH56" s="521"/>
      <c r="AJ56" s="483"/>
      <c r="AK56" s="522"/>
      <c r="AL56" s="401"/>
      <c r="AM56" s="523"/>
      <c r="AO56" s="521"/>
      <c r="AQ56" s="369"/>
      <c r="AR56" s="418"/>
      <c r="AS56" s="483"/>
      <c r="AT56" s="418"/>
      <c r="AV56" s="521"/>
      <c r="AX56" s="395"/>
      <c r="AY56" s="395"/>
      <c r="AZ56" s="395"/>
      <c r="BA56" s="395"/>
      <c r="BB56" s="395"/>
      <c r="BC56" s="369"/>
      <c r="BD56" s="395"/>
      <c r="BE56" s="395"/>
      <c r="BF56" s="524"/>
      <c r="BG56" s="395"/>
      <c r="BH56" s="395"/>
      <c r="BI56" s="369"/>
      <c r="BJ56" s="395"/>
      <c r="BK56" s="395"/>
      <c r="BL56" s="395"/>
      <c r="BM56" s="395"/>
      <c r="BN56" s="395"/>
      <c r="BO56" s="395"/>
      <c r="BP56" s="395"/>
      <c r="BQ56" s="369"/>
      <c r="BR56" s="369"/>
      <c r="BS56" s="395"/>
      <c r="BT56" s="369"/>
      <c r="BU56" s="369"/>
      <c r="BV56" s="369"/>
      <c r="BW56" s="369"/>
      <c r="BX56" s="369"/>
      <c r="BY56" s="369"/>
      <c r="CH56" s="395"/>
      <c r="CI56" s="511"/>
    </row>
    <row r="57" spans="2:87" s="370" customFormat="1" ht="13.9" customHeight="1" outlineLevel="1">
      <c r="B57" s="602"/>
      <c r="C57" s="620" t="s">
        <v>748</v>
      </c>
      <c r="D57" s="634">
        <v>47</v>
      </c>
      <c r="E57" s="613"/>
      <c r="F57" s="656"/>
      <c r="G57" s="605"/>
      <c r="H57" s="660" t="s">
        <v>1120</v>
      </c>
      <c r="I57" s="635">
        <v>5</v>
      </c>
      <c r="J57" s="613">
        <v>80</v>
      </c>
      <c r="K57" s="613">
        <v>90</v>
      </c>
      <c r="L57" s="656">
        <v>24.50643333333333</v>
      </c>
      <c r="M57" s="616">
        <v>132531.76663478618</v>
      </c>
      <c r="N57" s="604">
        <v>0</v>
      </c>
      <c r="O57" s="617">
        <v>0</v>
      </c>
      <c r="P57" s="618">
        <v>1.39E-3</v>
      </c>
      <c r="Q57" s="616">
        <v>2116.6133333333332</v>
      </c>
      <c r="R57" s="634"/>
      <c r="S57" s="605"/>
      <c r="T57" s="605"/>
      <c r="U57" s="508"/>
      <c r="V57" s="635"/>
      <c r="W57" s="605"/>
      <c r="X57" s="605"/>
      <c r="Y57" s="494"/>
      <c r="Z57" s="637"/>
      <c r="AA57" s="495"/>
      <c r="AC57" s="431"/>
      <c r="AD57" s="431"/>
      <c r="AE57" s="431"/>
      <c r="AF57" s="431"/>
      <c r="AH57" s="521"/>
      <c r="AJ57" s="483"/>
      <c r="AK57" s="522"/>
      <c r="AL57" s="401"/>
      <c r="AM57" s="523"/>
      <c r="AO57" s="521"/>
      <c r="AQ57" s="369"/>
      <c r="AR57" s="418"/>
      <c r="AS57" s="483"/>
      <c r="AT57" s="418"/>
      <c r="AV57" s="521"/>
      <c r="AX57" s="395"/>
      <c r="AY57" s="395"/>
      <c r="AZ57" s="395"/>
      <c r="BA57" s="395"/>
      <c r="BB57" s="395"/>
      <c r="BC57" s="369"/>
      <c r="BD57" s="395"/>
      <c r="BE57" s="395"/>
      <c r="BF57" s="524"/>
      <c r="BG57" s="395"/>
      <c r="BH57" s="395"/>
      <c r="BI57" s="369"/>
      <c r="BJ57" s="395"/>
      <c r="BK57" s="395"/>
      <c r="BL57" s="395"/>
      <c r="BM57" s="395"/>
      <c r="BN57" s="395"/>
      <c r="BO57" s="395"/>
      <c r="BP57" s="395"/>
      <c r="BQ57" s="369"/>
      <c r="BR57" s="369"/>
      <c r="BS57" s="395"/>
      <c r="BT57" s="369"/>
      <c r="BU57" s="369"/>
      <c r="BV57" s="369"/>
      <c r="BW57" s="369"/>
      <c r="BX57" s="369"/>
      <c r="BY57" s="369"/>
      <c r="CH57" s="395"/>
      <c r="CI57" s="511"/>
    </row>
    <row r="58" spans="2:87" s="370" customFormat="1" ht="13.9" customHeight="1" outlineLevel="1">
      <c r="B58" s="602"/>
      <c r="C58" s="620" t="s">
        <v>749</v>
      </c>
      <c r="D58" s="634">
        <v>47</v>
      </c>
      <c r="E58" s="613"/>
      <c r="F58" s="656"/>
      <c r="G58" s="605"/>
      <c r="H58" s="660" t="s">
        <v>1120</v>
      </c>
      <c r="I58" s="635">
        <v>5</v>
      </c>
      <c r="J58" s="613">
        <v>80</v>
      </c>
      <c r="K58" s="613">
        <v>90</v>
      </c>
      <c r="L58" s="656">
        <v>24.50643333333333</v>
      </c>
      <c r="M58" s="616">
        <v>132531.76663478618</v>
      </c>
      <c r="N58" s="604">
        <v>0</v>
      </c>
      <c r="O58" s="617">
        <v>0</v>
      </c>
      <c r="P58" s="618">
        <v>1.39E-3</v>
      </c>
      <c r="Q58" s="616">
        <v>2116.6133333333332</v>
      </c>
      <c r="R58" s="634"/>
      <c r="S58" s="605"/>
      <c r="T58" s="605"/>
      <c r="U58" s="508"/>
      <c r="V58" s="635"/>
      <c r="W58" s="605"/>
      <c r="X58" s="605"/>
      <c r="Y58" s="494"/>
      <c r="Z58" s="637"/>
      <c r="AA58" s="495"/>
      <c r="AC58" s="431"/>
      <c r="AD58" s="431"/>
      <c r="AE58" s="431"/>
      <c r="AF58" s="431"/>
      <c r="AH58" s="521"/>
      <c r="AJ58" s="483"/>
      <c r="AK58" s="522"/>
      <c r="AL58" s="401"/>
      <c r="AM58" s="523"/>
      <c r="AO58" s="521"/>
      <c r="AQ58" s="369"/>
      <c r="AR58" s="418"/>
      <c r="AS58" s="483"/>
      <c r="AT58" s="418"/>
      <c r="AV58" s="521"/>
      <c r="AX58" s="395"/>
      <c r="AY58" s="395"/>
      <c r="AZ58" s="395"/>
      <c r="BA58" s="395"/>
      <c r="BB58" s="395"/>
      <c r="BC58" s="369"/>
      <c r="BD58" s="395"/>
      <c r="BE58" s="395"/>
      <c r="BF58" s="524"/>
      <c r="BG58" s="395"/>
      <c r="BH58" s="395"/>
      <c r="BI58" s="369"/>
      <c r="BJ58" s="395"/>
      <c r="BK58" s="395"/>
      <c r="BL58" s="395"/>
      <c r="BM58" s="395"/>
      <c r="BN58" s="395"/>
      <c r="BO58" s="395"/>
      <c r="BP58" s="395"/>
      <c r="BQ58" s="369"/>
      <c r="BR58" s="369"/>
      <c r="BS58" s="395"/>
      <c r="BT58" s="369"/>
      <c r="BU58" s="369"/>
      <c r="BV58" s="369"/>
      <c r="BW58" s="369"/>
      <c r="BX58" s="369"/>
      <c r="BY58" s="369"/>
      <c r="CH58" s="395"/>
      <c r="CI58" s="511"/>
    </row>
    <row r="59" spans="2:87" s="370" customFormat="1" ht="13.9" customHeight="1" outlineLevel="1">
      <c r="B59" s="602"/>
      <c r="C59" s="620" t="s">
        <v>750</v>
      </c>
      <c r="D59" s="634">
        <v>25</v>
      </c>
      <c r="E59" s="613"/>
      <c r="F59" s="656"/>
      <c r="G59" s="605"/>
      <c r="H59" s="660" t="s">
        <v>1120</v>
      </c>
      <c r="I59" s="635">
        <v>5</v>
      </c>
      <c r="J59" s="613">
        <v>64</v>
      </c>
      <c r="K59" s="613">
        <v>80</v>
      </c>
      <c r="L59" s="656">
        <v>24.50643333333333</v>
      </c>
      <c r="M59" s="616">
        <v>132531.76663478618</v>
      </c>
      <c r="N59" s="604">
        <v>0</v>
      </c>
      <c r="O59" s="605">
        <v>0</v>
      </c>
      <c r="P59" s="604">
        <v>1.39E-3</v>
      </c>
      <c r="Q59" s="616">
        <v>2116.6133333333332</v>
      </c>
      <c r="R59" s="634"/>
      <c r="S59" s="605"/>
      <c r="T59" s="605"/>
      <c r="U59" s="508"/>
      <c r="V59" s="635"/>
      <c r="W59" s="605"/>
      <c r="X59" s="605"/>
      <c r="Y59" s="494"/>
      <c r="Z59" s="637"/>
      <c r="AA59" s="495"/>
      <c r="AC59" s="431"/>
      <c r="AD59" s="431"/>
      <c r="AE59" s="431"/>
      <c r="AF59" s="431"/>
      <c r="AH59" s="521"/>
      <c r="AJ59" s="483"/>
      <c r="AK59" s="522"/>
      <c r="AL59" s="401"/>
      <c r="AM59" s="523"/>
      <c r="AO59" s="521"/>
      <c r="AQ59" s="369"/>
      <c r="AR59" s="418"/>
      <c r="AS59" s="483"/>
      <c r="AT59" s="418"/>
      <c r="AV59" s="521"/>
      <c r="AX59" s="395"/>
      <c r="AY59" s="395"/>
      <c r="AZ59" s="395"/>
      <c r="BA59" s="395"/>
      <c r="BB59" s="395"/>
      <c r="BC59" s="369"/>
      <c r="BD59" s="395"/>
      <c r="BE59" s="395"/>
      <c r="BF59" s="524"/>
      <c r="BG59" s="395"/>
      <c r="BH59" s="395"/>
      <c r="BI59" s="369"/>
      <c r="BJ59" s="395"/>
      <c r="BK59" s="395"/>
      <c r="BL59" s="395"/>
      <c r="BM59" s="395"/>
      <c r="BN59" s="395"/>
      <c r="BO59" s="395"/>
      <c r="BP59" s="395"/>
      <c r="BQ59" s="369"/>
      <c r="BR59" s="369"/>
      <c r="BS59" s="395"/>
      <c r="BT59" s="369"/>
      <c r="BU59" s="369"/>
      <c r="BV59" s="369"/>
      <c r="BW59" s="369"/>
      <c r="BX59" s="369"/>
      <c r="BY59" s="369"/>
      <c r="CH59" s="395"/>
      <c r="CI59" s="511"/>
    </row>
    <row r="60" spans="2:87" s="370" customFormat="1" ht="13.9" customHeight="1" outlineLevel="1">
      <c r="B60" s="602"/>
      <c r="C60" s="620" t="s">
        <v>751</v>
      </c>
      <c r="D60" s="634">
        <v>25</v>
      </c>
      <c r="E60" s="613"/>
      <c r="F60" s="656"/>
      <c r="G60" s="605"/>
      <c r="H60" s="660" t="s">
        <v>1120</v>
      </c>
      <c r="I60" s="635">
        <v>5</v>
      </c>
      <c r="J60" s="613">
        <v>64</v>
      </c>
      <c r="K60" s="613">
        <v>80</v>
      </c>
      <c r="L60" s="656">
        <v>24.50643333333333</v>
      </c>
      <c r="M60" s="616">
        <v>132531.76663478618</v>
      </c>
      <c r="N60" s="604">
        <v>0</v>
      </c>
      <c r="O60" s="605">
        <v>0</v>
      </c>
      <c r="P60" s="604">
        <v>1.39E-3</v>
      </c>
      <c r="Q60" s="616">
        <v>2116.6133333333332</v>
      </c>
      <c r="R60" s="634"/>
      <c r="S60" s="605"/>
      <c r="T60" s="605"/>
      <c r="U60" s="508"/>
      <c r="V60" s="635"/>
      <c r="W60" s="605"/>
      <c r="X60" s="605"/>
      <c r="Y60" s="494"/>
      <c r="Z60" s="637"/>
      <c r="AA60" s="495"/>
      <c r="AC60" s="431"/>
      <c r="AD60" s="431"/>
      <c r="AE60" s="431"/>
      <c r="AF60" s="431"/>
      <c r="AH60" s="521"/>
      <c r="AJ60" s="483"/>
      <c r="AK60" s="522"/>
      <c r="AL60" s="401"/>
      <c r="AM60" s="523"/>
      <c r="AO60" s="521"/>
      <c r="AQ60" s="369"/>
      <c r="AR60" s="418"/>
      <c r="AS60" s="483"/>
      <c r="AT60" s="418"/>
      <c r="AV60" s="521"/>
      <c r="AX60" s="395"/>
      <c r="AY60" s="395"/>
      <c r="AZ60" s="395"/>
      <c r="BA60" s="395"/>
      <c r="BB60" s="395"/>
      <c r="BC60" s="369"/>
      <c r="BD60" s="395"/>
      <c r="BE60" s="395"/>
      <c r="BF60" s="524"/>
      <c r="BG60" s="395"/>
      <c r="BH60" s="395"/>
      <c r="BI60" s="369"/>
      <c r="BJ60" s="395"/>
      <c r="BK60" s="395"/>
      <c r="BL60" s="395"/>
      <c r="BM60" s="395"/>
      <c r="BN60" s="395"/>
      <c r="BO60" s="395"/>
      <c r="BP60" s="395"/>
      <c r="BQ60" s="369"/>
      <c r="BR60" s="369"/>
      <c r="BS60" s="395"/>
      <c r="BT60" s="369"/>
      <c r="BU60" s="369"/>
      <c r="BV60" s="369"/>
      <c r="BW60" s="369"/>
      <c r="BX60" s="369"/>
      <c r="BY60" s="369"/>
      <c r="CH60" s="395"/>
      <c r="CI60" s="511"/>
    </row>
    <row r="61" spans="2:87" s="370" customFormat="1" ht="13.9" customHeight="1" outlineLevel="1">
      <c r="B61" s="602"/>
      <c r="C61" s="620" t="s">
        <v>752</v>
      </c>
      <c r="D61" s="634">
        <v>45</v>
      </c>
      <c r="E61" s="613"/>
      <c r="F61" s="656"/>
      <c r="G61" s="605"/>
      <c r="H61" s="660" t="s">
        <v>1120</v>
      </c>
      <c r="I61" s="635">
        <v>5</v>
      </c>
      <c r="J61" s="613">
        <v>40</v>
      </c>
      <c r="K61" s="613">
        <v>90</v>
      </c>
      <c r="L61" s="656">
        <v>24.50643333333333</v>
      </c>
      <c r="M61" s="616">
        <v>132531.76663478618</v>
      </c>
      <c r="N61" s="604">
        <v>0</v>
      </c>
      <c r="O61" s="605">
        <v>0</v>
      </c>
      <c r="P61" s="604">
        <v>1.39E-3</v>
      </c>
      <c r="Q61" s="616">
        <v>2116.6133333333332</v>
      </c>
      <c r="R61" s="634"/>
      <c r="S61" s="605"/>
      <c r="T61" s="605"/>
      <c r="U61" s="508"/>
      <c r="V61" s="635"/>
      <c r="W61" s="605"/>
      <c r="X61" s="605"/>
      <c r="Y61" s="494"/>
      <c r="Z61" s="637"/>
      <c r="AA61" s="495"/>
      <c r="AC61" s="431"/>
      <c r="AD61" s="431"/>
      <c r="AE61" s="431"/>
      <c r="AF61" s="431"/>
      <c r="AH61" s="521"/>
      <c r="AJ61" s="483"/>
      <c r="AK61" s="522"/>
      <c r="AL61" s="401"/>
      <c r="AM61" s="523"/>
      <c r="AO61" s="521"/>
      <c r="AQ61" s="369"/>
      <c r="AR61" s="418"/>
      <c r="AS61" s="483"/>
      <c r="AT61" s="418"/>
      <c r="AV61" s="521"/>
      <c r="AX61" s="395"/>
      <c r="AY61" s="395"/>
      <c r="AZ61" s="395"/>
      <c r="BA61" s="395"/>
      <c r="BB61" s="395"/>
      <c r="BC61" s="369"/>
      <c r="BD61" s="395"/>
      <c r="BE61" s="395"/>
      <c r="BF61" s="524"/>
      <c r="BG61" s="395"/>
      <c r="BH61" s="395"/>
      <c r="BI61" s="369"/>
      <c r="BJ61" s="395"/>
      <c r="BK61" s="395"/>
      <c r="BL61" s="395"/>
      <c r="BM61" s="395"/>
      <c r="BN61" s="395"/>
      <c r="BO61" s="395"/>
      <c r="BP61" s="395"/>
      <c r="BQ61" s="369"/>
      <c r="BR61" s="369"/>
      <c r="BS61" s="395"/>
      <c r="BT61" s="369"/>
      <c r="BU61" s="369"/>
      <c r="BV61" s="369"/>
      <c r="BW61" s="369"/>
      <c r="BX61" s="369"/>
      <c r="BY61" s="369"/>
      <c r="CH61" s="395"/>
      <c r="CI61" s="511"/>
    </row>
    <row r="62" spans="2:87" s="370" customFormat="1" ht="13.9" customHeight="1" outlineLevel="1">
      <c r="B62" s="602"/>
      <c r="C62" s="620" t="s">
        <v>753</v>
      </c>
      <c r="D62" s="634">
        <v>45</v>
      </c>
      <c r="E62" s="613"/>
      <c r="F62" s="656"/>
      <c r="G62" s="605"/>
      <c r="H62" s="661" t="s">
        <v>1120</v>
      </c>
      <c r="I62" s="640">
        <v>5</v>
      </c>
      <c r="J62" s="641">
        <v>40</v>
      </c>
      <c r="K62" s="641">
        <v>90</v>
      </c>
      <c r="L62" s="662">
        <v>24.50643333333333</v>
      </c>
      <c r="M62" s="623">
        <v>132531.76663478618</v>
      </c>
      <c r="N62" s="604">
        <v>0</v>
      </c>
      <c r="O62" s="605">
        <v>0</v>
      </c>
      <c r="P62" s="604">
        <v>1.39E-3</v>
      </c>
      <c r="Q62" s="616">
        <v>2116.6133333333332</v>
      </c>
      <c r="R62" s="639"/>
      <c r="S62" s="622"/>
      <c r="T62" s="622"/>
      <c r="U62" s="507"/>
      <c r="V62" s="635"/>
      <c r="W62" s="605"/>
      <c r="X62" s="605"/>
      <c r="Y62" s="494"/>
      <c r="Z62" s="637"/>
      <c r="AA62" s="495"/>
      <c r="AC62" s="431"/>
      <c r="AD62" s="431"/>
      <c r="AE62" s="431"/>
      <c r="AF62" s="431"/>
      <c r="AH62" s="521"/>
      <c r="AJ62" s="483"/>
      <c r="AK62" s="522"/>
      <c r="AL62" s="401"/>
      <c r="AM62" s="523"/>
      <c r="AO62" s="521"/>
      <c r="AQ62" s="369"/>
      <c r="AR62" s="418"/>
      <c r="AS62" s="483"/>
      <c r="AT62" s="418"/>
      <c r="AV62" s="521"/>
      <c r="AX62" s="395"/>
      <c r="AY62" s="395"/>
      <c r="AZ62" s="395"/>
      <c r="BA62" s="395"/>
      <c r="BB62" s="395"/>
      <c r="BC62" s="369"/>
      <c r="BD62" s="395"/>
      <c r="BE62" s="395"/>
      <c r="BF62" s="524"/>
      <c r="BG62" s="395"/>
      <c r="BH62" s="395"/>
      <c r="BI62" s="369"/>
      <c r="BJ62" s="395"/>
      <c r="BK62" s="395"/>
      <c r="BL62" s="395"/>
      <c r="BM62" s="395"/>
      <c r="BN62" s="395"/>
      <c r="BO62" s="395"/>
      <c r="BP62" s="395"/>
      <c r="BQ62" s="369"/>
      <c r="BR62" s="369"/>
      <c r="BS62" s="395"/>
      <c r="BT62" s="369"/>
      <c r="BU62" s="369"/>
      <c r="BV62" s="369"/>
      <c r="BW62" s="369"/>
      <c r="BX62" s="369"/>
      <c r="BY62" s="369"/>
      <c r="CH62" s="395"/>
      <c r="CI62" s="511"/>
    </row>
    <row r="63" spans="2:87" s="370" customFormat="1" ht="15">
      <c r="B63" s="568" t="s">
        <v>1261</v>
      </c>
      <c r="C63" s="625"/>
      <c r="D63" s="2146" t="s">
        <v>1262</v>
      </c>
      <c r="E63" s="2147"/>
      <c r="F63" s="2148"/>
      <c r="G63" s="2146" t="s">
        <v>1263</v>
      </c>
      <c r="H63" s="2148"/>
      <c r="I63" s="2146" t="s">
        <v>1264</v>
      </c>
      <c r="J63" s="2148"/>
      <c r="K63" s="2146" t="s">
        <v>1265</v>
      </c>
      <c r="L63" s="2147"/>
      <c r="M63" s="2148"/>
      <c r="N63" s="2146" t="s">
        <v>1266</v>
      </c>
      <c r="O63" s="2147"/>
      <c r="P63" s="2148"/>
      <c r="Q63" s="2146" t="s">
        <v>1267</v>
      </c>
      <c r="R63" s="2147"/>
      <c r="S63" s="2148"/>
      <c r="T63" s="2146" t="s">
        <v>1268</v>
      </c>
      <c r="U63" s="2147"/>
      <c r="V63" s="2148"/>
      <c r="W63" s="663"/>
      <c r="X63" s="663"/>
      <c r="Y63" s="663"/>
      <c r="Z63" s="663"/>
      <c r="AA63" s="626"/>
      <c r="AC63" s="574"/>
      <c r="AD63" s="574"/>
      <c r="AE63" s="574"/>
      <c r="AF63" s="574"/>
      <c r="AH63" s="521"/>
      <c r="AJ63" s="483"/>
      <c r="AK63" s="522"/>
      <c r="AL63" s="401"/>
      <c r="AM63" s="523"/>
      <c r="AO63" s="521"/>
      <c r="AQ63" s="369"/>
      <c r="AR63" s="418"/>
      <c r="AS63" s="483"/>
      <c r="AT63" s="418"/>
      <c r="AV63" s="521"/>
      <c r="AX63" s="395"/>
      <c r="AY63" s="395"/>
      <c r="AZ63" s="395"/>
      <c r="BA63" s="395"/>
      <c r="BB63" s="395"/>
      <c r="BC63" s="369"/>
      <c r="BD63" s="395"/>
      <c r="BE63" s="395"/>
      <c r="BF63" s="524"/>
      <c r="BG63" s="395"/>
      <c r="BH63" s="395"/>
      <c r="BI63" s="369"/>
      <c r="BJ63" s="395"/>
      <c r="BK63" s="395"/>
      <c r="BL63" s="395"/>
      <c r="BM63" s="395"/>
      <c r="BN63" s="395"/>
      <c r="BO63" s="395"/>
      <c r="BP63" s="395"/>
      <c r="BQ63" s="369"/>
      <c r="BR63" s="369"/>
      <c r="BS63" s="395"/>
      <c r="BT63" s="369"/>
      <c r="BU63" s="369"/>
      <c r="BV63" s="369"/>
      <c r="BW63" s="369"/>
      <c r="BX63" s="369"/>
      <c r="BY63" s="369"/>
      <c r="CH63" s="395"/>
      <c r="CI63" s="511"/>
    </row>
    <row r="64" spans="2:87" s="370" customFormat="1" ht="15">
      <c r="B64" s="575"/>
      <c r="C64" s="627" t="s">
        <v>1128</v>
      </c>
      <c r="D64" s="577" t="s">
        <v>87</v>
      </c>
      <c r="E64" s="579" t="s">
        <v>1269</v>
      </c>
      <c r="F64" s="578" t="s">
        <v>1270</v>
      </c>
      <c r="G64" s="577" t="s">
        <v>1271</v>
      </c>
      <c r="H64" s="628" t="s">
        <v>1272</v>
      </c>
      <c r="I64" s="579" t="s">
        <v>1271</v>
      </c>
      <c r="J64" s="628" t="s">
        <v>1272</v>
      </c>
      <c r="K64" s="581" t="s">
        <v>87</v>
      </c>
      <c r="L64" s="579" t="s">
        <v>70</v>
      </c>
      <c r="M64" s="628" t="s">
        <v>1081</v>
      </c>
      <c r="N64" s="578" t="s">
        <v>87</v>
      </c>
      <c r="O64" s="579" t="s">
        <v>70</v>
      </c>
      <c r="P64" s="578" t="s">
        <v>1081</v>
      </c>
      <c r="Q64" s="581" t="s">
        <v>87</v>
      </c>
      <c r="R64" s="579" t="s">
        <v>70</v>
      </c>
      <c r="S64" s="628" t="s">
        <v>1081</v>
      </c>
      <c r="T64" s="581" t="s">
        <v>87</v>
      </c>
      <c r="U64" s="643" t="s">
        <v>70</v>
      </c>
      <c r="V64" s="664" t="s">
        <v>1081</v>
      </c>
      <c r="W64" s="578"/>
      <c r="X64" s="579"/>
      <c r="Y64" s="578"/>
      <c r="Z64" s="643"/>
      <c r="AA64" s="630"/>
      <c r="AC64" s="588"/>
      <c r="AD64" s="588"/>
      <c r="AE64" s="588"/>
      <c r="AF64" s="588"/>
      <c r="AH64" s="521"/>
      <c r="AJ64" s="483"/>
      <c r="AK64" s="522"/>
      <c r="AL64" s="401"/>
      <c r="AM64" s="523"/>
      <c r="AO64" s="521"/>
      <c r="AQ64" s="369"/>
      <c r="AR64" s="418"/>
      <c r="AS64" s="483"/>
      <c r="AT64" s="418"/>
      <c r="AV64" s="521"/>
      <c r="AX64" s="395"/>
      <c r="AY64" s="395"/>
      <c r="AZ64" s="395"/>
      <c r="BA64" s="395"/>
      <c r="BB64" s="395"/>
      <c r="BC64" s="369"/>
      <c r="BD64" s="395"/>
      <c r="BE64" s="395"/>
      <c r="BF64" s="524"/>
      <c r="BG64" s="395"/>
      <c r="BH64" s="395"/>
      <c r="BI64" s="369"/>
      <c r="BJ64" s="395"/>
      <c r="BK64" s="395"/>
      <c r="BL64" s="395"/>
      <c r="BM64" s="395"/>
      <c r="BN64" s="395"/>
      <c r="BO64" s="395"/>
      <c r="BP64" s="395"/>
      <c r="BQ64" s="369"/>
      <c r="BR64" s="369"/>
      <c r="BS64" s="395"/>
      <c r="BT64" s="369"/>
      <c r="BU64" s="369"/>
      <c r="BV64" s="369"/>
      <c r="BW64" s="369"/>
      <c r="BX64" s="369"/>
      <c r="BY64" s="369"/>
      <c r="CH64" s="395"/>
      <c r="CI64" s="511"/>
    </row>
    <row r="65" spans="2:87" s="370" customFormat="1" ht="15">
      <c r="B65" s="589"/>
      <c r="C65" s="665">
        <f>+I79</f>
        <v>9.5249999999999986</v>
      </c>
      <c r="D65" s="666" t="str">
        <f>VLOOKUP($C65,$C66:$J71,2,FALSE)</f>
        <v>3/8</v>
      </c>
      <c r="E65" s="667">
        <f>VLOOKUP($C65,$C66:$J71,3,FALSE)</f>
        <v>21.65</v>
      </c>
      <c r="F65" s="667">
        <f>VLOOKUP($C65,$C66:$J71,4,FALSE)</f>
        <v>25</v>
      </c>
      <c r="G65" s="668">
        <f>VLOOKUP($C65,$C66:$J71,5,FALSE)</f>
        <v>6.6573081645153057E-3</v>
      </c>
      <c r="H65" s="593">
        <f>VLOOKUP($C65,$C66:$J71,6,FALSE)</f>
        <v>2250</v>
      </c>
      <c r="I65" s="669">
        <f>VLOOKUP($C65,$C66:$J71,7,FALSE)</f>
        <v>8.25E-4</v>
      </c>
      <c r="J65" s="593">
        <f>VLOOKUP($C65,$C66:$J71,8,FALSE)</f>
        <v>900</v>
      </c>
      <c r="K65" s="632" t="str">
        <f>+D6</f>
        <v>Al1100</v>
      </c>
      <c r="L65" s="592">
        <f>VLOOKUP($K65,$K66:$M71,2,FALSE)</f>
        <v>2700</v>
      </c>
      <c r="M65" s="593">
        <f>VLOOKUP($K65,$K66:$M71,3,FALSE)</f>
        <v>70500</v>
      </c>
      <c r="N65" s="599" t="str">
        <f>+F6</f>
        <v>Cu</v>
      </c>
      <c r="O65" s="592">
        <f>VLOOKUP($N65,$N66:$P71,2,FALSE)</f>
        <v>8900</v>
      </c>
      <c r="P65" s="592">
        <f>VLOOKUP($N65,$N66:$P71,3,FALSE)</f>
        <v>207000</v>
      </c>
      <c r="Q65" s="648" t="str">
        <f>+H6</f>
        <v>SGCC</v>
      </c>
      <c r="R65" s="592">
        <f>VLOOKUP($Q65,$Q66:$S71,2,FALSE)</f>
        <v>7860</v>
      </c>
      <c r="S65" s="593">
        <f>VLOOKUP($Q65,$Q66:$S71,3,FALSE)</f>
        <v>22500</v>
      </c>
      <c r="T65" s="652" t="str">
        <f>+J6</f>
        <v>Copper</v>
      </c>
      <c r="U65" s="592">
        <f>VLOOKUP($T65,$T66:$V71,2,FALSE)</f>
        <v>8900</v>
      </c>
      <c r="V65" s="593">
        <f>VLOOKUP($T65,$T66:$V71,3,FALSE)</f>
        <v>207000</v>
      </c>
      <c r="W65" s="599"/>
      <c r="X65" s="592"/>
      <c r="Y65" s="592"/>
      <c r="Z65" s="592"/>
      <c r="AA65" s="633"/>
      <c r="AC65" s="601"/>
      <c r="AD65" s="601"/>
      <c r="AE65" s="601"/>
      <c r="AF65" s="601"/>
      <c r="AH65" s="521"/>
      <c r="AJ65" s="483"/>
      <c r="AK65" s="522"/>
      <c r="AL65" s="401"/>
      <c r="AM65" s="523"/>
      <c r="AO65" s="521"/>
      <c r="AQ65" s="369"/>
      <c r="AR65" s="418"/>
      <c r="AS65" s="483"/>
      <c r="AT65" s="418"/>
      <c r="AV65" s="521"/>
      <c r="AX65" s="395"/>
      <c r="AY65" s="395"/>
      <c r="AZ65" s="395"/>
      <c r="BA65" s="395"/>
      <c r="BB65" s="395"/>
      <c r="BC65" s="369"/>
      <c r="BD65" s="395"/>
      <c r="BE65" s="395"/>
      <c r="BF65" s="524"/>
      <c r="BG65" s="395"/>
      <c r="BH65" s="395"/>
      <c r="BI65" s="369"/>
      <c r="BJ65" s="395"/>
      <c r="BK65" s="395"/>
      <c r="BL65" s="395"/>
      <c r="BM65" s="395"/>
      <c r="BN65" s="395"/>
      <c r="BO65" s="395"/>
      <c r="BP65" s="395"/>
      <c r="BQ65" s="369"/>
      <c r="BR65" s="369"/>
      <c r="BS65" s="395"/>
      <c r="BT65" s="369"/>
      <c r="BU65" s="369"/>
      <c r="BV65" s="369"/>
      <c r="BW65" s="369"/>
      <c r="BX65" s="369"/>
      <c r="BY65" s="369"/>
      <c r="CH65" s="395"/>
      <c r="CI65" s="511"/>
    </row>
    <row r="66" spans="2:87" s="370" customFormat="1" ht="13.9" customHeight="1" outlineLevel="1">
      <c r="B66" s="602"/>
      <c r="C66" s="670">
        <v>7</v>
      </c>
      <c r="D66" s="671" t="s">
        <v>1273</v>
      </c>
      <c r="E66" s="494">
        <v>20</v>
      </c>
      <c r="F66" s="494">
        <v>22</v>
      </c>
      <c r="G66" s="672">
        <v>3.8250094703183709E-3</v>
      </c>
      <c r="H66" s="616">
        <v>1165</v>
      </c>
      <c r="I66" s="673">
        <v>0</v>
      </c>
      <c r="J66" s="616">
        <v>0</v>
      </c>
      <c r="K66" s="674" t="s">
        <v>1201</v>
      </c>
      <c r="L66" s="605">
        <v>2700</v>
      </c>
      <c r="M66" s="675">
        <v>70500</v>
      </c>
      <c r="N66" s="494" t="s">
        <v>71</v>
      </c>
      <c r="O66" s="605">
        <v>2700</v>
      </c>
      <c r="P66" s="675">
        <v>70500</v>
      </c>
      <c r="Q66" s="674" t="s">
        <v>1274</v>
      </c>
      <c r="R66" s="605">
        <v>2700</v>
      </c>
      <c r="S66" s="676">
        <v>70500</v>
      </c>
      <c r="T66" s="660" t="s">
        <v>1089</v>
      </c>
      <c r="U66" s="605">
        <v>8900</v>
      </c>
      <c r="V66" s="677">
        <v>207000</v>
      </c>
      <c r="W66" s="494"/>
      <c r="X66" s="605"/>
      <c r="Y66" s="605"/>
      <c r="Z66" s="605"/>
      <c r="AA66" s="495"/>
      <c r="AC66" s="431"/>
      <c r="AD66" s="431"/>
      <c r="AE66" s="431"/>
      <c r="AF66" s="431"/>
      <c r="AH66" s="521"/>
      <c r="AJ66" s="483"/>
      <c r="AK66" s="522"/>
      <c r="AL66" s="401"/>
      <c r="AM66" s="523"/>
      <c r="AO66" s="521"/>
      <c r="AQ66" s="369"/>
      <c r="AR66" s="418"/>
      <c r="AS66" s="483"/>
      <c r="AT66" s="418"/>
      <c r="AV66" s="521"/>
      <c r="AX66" s="395"/>
      <c r="AY66" s="395"/>
      <c r="AZ66" s="395"/>
      <c r="BA66" s="395"/>
      <c r="BB66" s="395"/>
      <c r="BC66" s="369"/>
      <c r="BD66" s="395"/>
      <c r="BE66" s="395"/>
      <c r="BF66" s="524"/>
      <c r="BG66" s="395"/>
      <c r="BH66" s="395"/>
      <c r="BI66" s="369"/>
      <c r="BJ66" s="395"/>
      <c r="BK66" s="395"/>
      <c r="BL66" s="395"/>
      <c r="BM66" s="395"/>
      <c r="BN66" s="395"/>
      <c r="BO66" s="395"/>
      <c r="BP66" s="395"/>
      <c r="BQ66" s="369"/>
      <c r="BR66" s="369"/>
      <c r="BS66" s="395"/>
      <c r="BT66" s="369"/>
      <c r="BU66" s="369"/>
      <c r="BV66" s="369"/>
      <c r="BW66" s="369"/>
      <c r="BX66" s="369"/>
      <c r="BY66" s="369"/>
      <c r="CH66" s="395"/>
      <c r="CI66" s="511"/>
    </row>
    <row r="67" spans="2:87" s="370" customFormat="1" ht="13.9" customHeight="1" outlineLevel="1">
      <c r="B67" s="602"/>
      <c r="C67" s="670">
        <v>9.5249999999999986</v>
      </c>
      <c r="D67" s="671" t="s">
        <v>1275</v>
      </c>
      <c r="E67" s="494">
        <v>21.65</v>
      </c>
      <c r="F67" s="494">
        <v>25</v>
      </c>
      <c r="G67" s="672">
        <v>6.6573081645153057E-3</v>
      </c>
      <c r="H67" s="678">
        <v>2250</v>
      </c>
      <c r="I67" s="673">
        <v>8.25E-4</v>
      </c>
      <c r="J67" s="616">
        <v>900</v>
      </c>
      <c r="K67" s="674" t="s">
        <v>1276</v>
      </c>
      <c r="L67" s="605">
        <v>2700</v>
      </c>
      <c r="M67" s="675">
        <f>60000+15805</f>
        <v>75805</v>
      </c>
      <c r="N67" s="494" t="s">
        <v>73</v>
      </c>
      <c r="O67" s="605">
        <v>8900</v>
      </c>
      <c r="P67" s="677">
        <v>207000</v>
      </c>
      <c r="Q67" s="674" t="s">
        <v>1089</v>
      </c>
      <c r="R67" s="605">
        <v>8900</v>
      </c>
      <c r="S67" s="675">
        <v>207000</v>
      </c>
      <c r="T67" s="660" t="s">
        <v>78</v>
      </c>
      <c r="U67" s="605">
        <v>7860</v>
      </c>
      <c r="V67" s="677">
        <v>21500</v>
      </c>
      <c r="W67" s="494"/>
      <c r="X67" s="605"/>
      <c r="Y67" s="605"/>
      <c r="Z67" s="605"/>
      <c r="AA67" s="495"/>
      <c r="AC67" s="431"/>
      <c r="AD67" s="431"/>
      <c r="AE67" s="431"/>
      <c r="AF67" s="431"/>
      <c r="AH67" s="521"/>
      <c r="AJ67" s="483"/>
      <c r="AK67" s="522"/>
      <c r="AL67" s="401"/>
      <c r="AM67" s="523"/>
      <c r="AO67" s="521"/>
      <c r="AQ67" s="369"/>
      <c r="AR67" s="418"/>
      <c r="AS67" s="483"/>
      <c r="AT67" s="418"/>
      <c r="AV67" s="521"/>
      <c r="AX67" s="395"/>
      <c r="AY67" s="395"/>
      <c r="AZ67" s="395"/>
      <c r="BA67" s="395"/>
      <c r="BB67" s="395"/>
      <c r="BC67" s="369"/>
      <c r="BD67" s="395"/>
      <c r="BE67" s="395"/>
      <c r="BF67" s="524"/>
      <c r="BG67" s="395"/>
      <c r="BH67" s="395"/>
      <c r="BI67" s="369"/>
      <c r="BJ67" s="395"/>
      <c r="BK67" s="395"/>
      <c r="BL67" s="395"/>
      <c r="BM67" s="395"/>
      <c r="BN67" s="395"/>
      <c r="BO67" s="395"/>
      <c r="BP67" s="395"/>
      <c r="BQ67" s="369"/>
      <c r="BR67" s="369"/>
      <c r="BS67" s="395"/>
      <c r="BT67" s="369"/>
      <c r="BU67" s="369"/>
      <c r="BV67" s="369"/>
      <c r="BW67" s="369"/>
      <c r="BX67" s="369"/>
      <c r="BY67" s="369"/>
      <c r="CH67" s="395"/>
      <c r="CI67" s="511"/>
    </row>
    <row r="68" spans="2:87" s="370" customFormat="1" ht="13.9" customHeight="1" outlineLevel="1">
      <c r="B68" s="602"/>
      <c r="C68" s="670">
        <v>12.7</v>
      </c>
      <c r="D68" s="671" t="s">
        <v>1277</v>
      </c>
      <c r="E68" s="494">
        <v>27.5</v>
      </c>
      <c r="F68" s="494">
        <v>31.75</v>
      </c>
      <c r="G68" s="672">
        <v>1.3338433051428582E-2</v>
      </c>
      <c r="H68" s="678">
        <v>7200</v>
      </c>
      <c r="I68" s="673">
        <v>1.1999999999999999E-3</v>
      </c>
      <c r="J68" s="616">
        <v>1100</v>
      </c>
      <c r="K68" s="674" t="s">
        <v>1278</v>
      </c>
      <c r="L68" s="605">
        <v>2700</v>
      </c>
      <c r="M68" s="675">
        <f>60000+15805+4060</f>
        <v>79865</v>
      </c>
      <c r="N68" s="494" t="s">
        <v>1088</v>
      </c>
      <c r="O68" s="605">
        <v>8900</v>
      </c>
      <c r="P68" s="677">
        <f>178000+4000</f>
        <v>182000</v>
      </c>
      <c r="Q68" s="674" t="s">
        <v>1194</v>
      </c>
      <c r="R68" s="605">
        <v>7860</v>
      </c>
      <c r="S68" s="675">
        <v>22500</v>
      </c>
      <c r="T68" s="660" t="s">
        <v>1083</v>
      </c>
      <c r="U68" s="605">
        <v>7800</v>
      </c>
      <c r="V68" s="677">
        <v>65000</v>
      </c>
      <c r="W68" s="494"/>
      <c r="X68" s="605"/>
      <c r="Y68" s="605"/>
      <c r="Z68" s="605"/>
      <c r="AA68" s="495"/>
      <c r="AC68" s="431"/>
      <c r="AD68" s="431"/>
      <c r="AE68" s="431"/>
      <c r="AF68" s="431"/>
      <c r="AH68" s="521"/>
      <c r="AJ68" s="483"/>
      <c r="AK68" s="522"/>
      <c r="AL68" s="401"/>
      <c r="AM68" s="523"/>
      <c r="AO68" s="521"/>
      <c r="AQ68" s="369"/>
      <c r="AR68" s="418"/>
      <c r="AS68" s="483"/>
      <c r="AT68" s="418"/>
      <c r="AV68" s="521"/>
      <c r="AX68" s="395"/>
      <c r="AY68" s="395"/>
      <c r="AZ68" s="395"/>
      <c r="BA68" s="395"/>
      <c r="BB68" s="395"/>
      <c r="BC68" s="369"/>
      <c r="BD68" s="395"/>
      <c r="BE68" s="395"/>
      <c r="BF68" s="524"/>
      <c r="BG68" s="395"/>
      <c r="BH68" s="395"/>
      <c r="BI68" s="369"/>
      <c r="BJ68" s="395"/>
      <c r="BK68" s="395"/>
      <c r="BL68" s="395"/>
      <c r="BM68" s="395"/>
      <c r="BN68" s="395"/>
      <c r="BO68" s="395"/>
      <c r="BP68" s="395"/>
      <c r="BQ68" s="369"/>
      <c r="BR68" s="369"/>
      <c r="BS68" s="395"/>
      <c r="BT68" s="369"/>
      <c r="BU68" s="369"/>
      <c r="BV68" s="369"/>
      <c r="BW68" s="369"/>
      <c r="BX68" s="369"/>
      <c r="BY68" s="369"/>
      <c r="CH68" s="395"/>
      <c r="CI68" s="511"/>
    </row>
    <row r="69" spans="2:87" s="370" customFormat="1" ht="13.9" customHeight="1" outlineLevel="1">
      <c r="B69" s="602"/>
      <c r="C69" s="670">
        <v>15.875</v>
      </c>
      <c r="D69" s="671" t="s">
        <v>1279</v>
      </c>
      <c r="E69" s="494">
        <v>33</v>
      </c>
      <c r="F69" s="494">
        <v>38.1</v>
      </c>
      <c r="G69" s="672">
        <v>2.0097475959942875E-2</v>
      </c>
      <c r="H69" s="678">
        <f>0.0201/0.0133*6800</f>
        <v>10276.691729323307</v>
      </c>
      <c r="I69" s="673">
        <v>1.745454545454545E-3</v>
      </c>
      <c r="J69" s="616">
        <v>1450</v>
      </c>
      <c r="K69" s="674" t="s">
        <v>1280</v>
      </c>
      <c r="L69" s="605">
        <v>8900</v>
      </c>
      <c r="M69" s="675">
        <v>207000</v>
      </c>
      <c r="N69" s="494" t="s">
        <v>80</v>
      </c>
      <c r="O69" s="605">
        <v>8900</v>
      </c>
      <c r="P69" s="677">
        <f>178000+4000-7975</f>
        <v>174025</v>
      </c>
      <c r="Q69" s="674" t="s">
        <v>77</v>
      </c>
      <c r="R69" s="605">
        <v>8400</v>
      </c>
      <c r="S69" s="676">
        <f>1875000/(1.2/1000*1.219*2.438*7800)+30510</f>
        <v>97914.364186042847</v>
      </c>
      <c r="T69" s="660" t="s">
        <v>1084</v>
      </c>
      <c r="U69" s="605">
        <v>8000</v>
      </c>
      <c r="V69" s="677">
        <v>80000</v>
      </c>
      <c r="W69" s="494"/>
      <c r="X69" s="605"/>
      <c r="Y69" s="605"/>
      <c r="Z69" s="605"/>
      <c r="AA69" s="495"/>
      <c r="AC69" s="431"/>
      <c r="AD69" s="431"/>
      <c r="AE69" s="431"/>
      <c r="AF69" s="431"/>
      <c r="AH69" s="521"/>
      <c r="AJ69" s="483"/>
      <c r="AK69" s="522"/>
      <c r="AL69" s="401"/>
      <c r="AM69" s="523"/>
      <c r="AO69" s="521"/>
      <c r="AQ69" s="369"/>
      <c r="AR69" s="418"/>
      <c r="AS69" s="483"/>
      <c r="AT69" s="418"/>
      <c r="AV69" s="521"/>
      <c r="AX69" s="395"/>
      <c r="AY69" s="395"/>
      <c r="AZ69" s="395"/>
      <c r="BA69" s="395"/>
      <c r="BB69" s="395"/>
      <c r="BC69" s="369"/>
      <c r="BD69" s="395"/>
      <c r="BE69" s="395"/>
      <c r="BF69" s="524"/>
      <c r="BG69" s="395"/>
      <c r="BH69" s="395"/>
      <c r="BI69" s="369"/>
      <c r="BJ69" s="395"/>
      <c r="BK69" s="395"/>
      <c r="BL69" s="395"/>
      <c r="BM69" s="395"/>
      <c r="BN69" s="395"/>
      <c r="BO69" s="395"/>
      <c r="BP69" s="395"/>
      <c r="BQ69" s="369"/>
      <c r="BR69" s="369"/>
      <c r="BS69" s="395"/>
      <c r="BT69" s="369"/>
      <c r="BU69" s="369"/>
      <c r="BV69" s="369"/>
      <c r="BW69" s="369"/>
      <c r="BX69" s="369"/>
      <c r="BY69" s="369"/>
      <c r="CH69" s="395"/>
      <c r="CI69" s="511"/>
    </row>
    <row r="70" spans="2:87" s="370" customFormat="1" ht="13.9" customHeight="1" outlineLevel="1">
      <c r="B70" s="602"/>
      <c r="C70" s="670">
        <v>16</v>
      </c>
      <c r="D70" s="671">
        <v>0.625</v>
      </c>
      <c r="E70" s="494">
        <v>32.9</v>
      </c>
      <c r="F70" s="494">
        <v>38</v>
      </c>
      <c r="G70" s="672">
        <v>3.205714285714284E-2</v>
      </c>
      <c r="H70" s="616">
        <f>60000*G70</f>
        <v>1923.4285714285704</v>
      </c>
      <c r="I70" s="673">
        <v>0</v>
      </c>
      <c r="J70" s="616">
        <v>0</v>
      </c>
      <c r="K70" s="674" t="s">
        <v>1083</v>
      </c>
      <c r="L70" s="605">
        <v>7800</v>
      </c>
      <c r="M70" s="676">
        <v>65000</v>
      </c>
      <c r="N70" s="494" t="s">
        <v>1083</v>
      </c>
      <c r="O70" s="605">
        <v>7800</v>
      </c>
      <c r="P70" s="676">
        <v>65000</v>
      </c>
      <c r="Q70" s="674" t="s">
        <v>1083</v>
      </c>
      <c r="R70" s="605">
        <v>7800</v>
      </c>
      <c r="S70" s="676">
        <v>65000</v>
      </c>
      <c r="T70" s="660"/>
      <c r="U70" s="637"/>
      <c r="V70" s="616"/>
      <c r="W70" s="494"/>
      <c r="X70" s="605"/>
      <c r="Y70" s="605"/>
      <c r="Z70" s="605"/>
      <c r="AA70" s="495"/>
      <c r="AC70" s="431"/>
      <c r="AD70" s="431"/>
      <c r="AE70" s="431"/>
      <c r="AF70" s="431"/>
      <c r="AH70" s="521"/>
      <c r="AJ70" s="483"/>
      <c r="AK70" s="522"/>
      <c r="AL70" s="401"/>
      <c r="AM70" s="523"/>
      <c r="AO70" s="521"/>
      <c r="AQ70" s="369"/>
      <c r="AR70" s="418"/>
      <c r="AS70" s="483"/>
      <c r="AT70" s="418"/>
      <c r="AV70" s="521"/>
      <c r="AX70" s="395"/>
      <c r="AY70" s="395"/>
      <c r="AZ70" s="395"/>
      <c r="BA70" s="395"/>
      <c r="BB70" s="395"/>
      <c r="BC70" s="369"/>
      <c r="BD70" s="395"/>
      <c r="BE70" s="395"/>
      <c r="BF70" s="524"/>
      <c r="BG70" s="395"/>
      <c r="BH70" s="395"/>
      <c r="BI70" s="369"/>
      <c r="BJ70" s="395"/>
      <c r="BK70" s="395"/>
      <c r="BL70" s="395"/>
      <c r="BM70" s="395"/>
      <c r="BN70" s="395"/>
      <c r="BO70" s="395"/>
      <c r="BP70" s="395"/>
      <c r="BQ70" s="369"/>
      <c r="BR70" s="369"/>
      <c r="BS70" s="395"/>
      <c r="BT70" s="369"/>
      <c r="BU70" s="369"/>
      <c r="BV70" s="369"/>
      <c r="BW70" s="369"/>
      <c r="BX70" s="369"/>
      <c r="BY70" s="369"/>
      <c r="CH70" s="395"/>
      <c r="CI70" s="511"/>
    </row>
    <row r="71" spans="2:87" s="370" customFormat="1" ht="13.9" customHeight="1" outlineLevel="1">
      <c r="B71" s="602"/>
      <c r="C71" s="679"/>
      <c r="D71" s="671"/>
      <c r="E71" s="494"/>
      <c r="F71" s="494"/>
      <c r="G71" s="680"/>
      <c r="H71" s="623"/>
      <c r="I71" s="673"/>
      <c r="J71" s="616"/>
      <c r="K71" s="681" t="s">
        <v>1084</v>
      </c>
      <c r="L71" s="622">
        <v>8000</v>
      </c>
      <c r="M71" s="676">
        <v>80000</v>
      </c>
      <c r="N71" s="496" t="s">
        <v>1084</v>
      </c>
      <c r="O71" s="622">
        <v>8000</v>
      </c>
      <c r="P71" s="676">
        <v>80000</v>
      </c>
      <c r="Q71" s="681" t="s">
        <v>1084</v>
      </c>
      <c r="R71" s="622">
        <v>8000</v>
      </c>
      <c r="S71" s="676">
        <v>80000</v>
      </c>
      <c r="T71" s="661"/>
      <c r="U71" s="682"/>
      <c r="V71" s="623"/>
      <c r="W71" s="494"/>
      <c r="X71" s="605"/>
      <c r="Y71" s="605"/>
      <c r="Z71" s="622"/>
      <c r="AA71" s="495"/>
      <c r="AC71" s="431"/>
      <c r="AD71" s="431"/>
      <c r="AE71" s="431"/>
      <c r="AF71" s="431"/>
      <c r="AH71" s="521"/>
      <c r="AJ71" s="483"/>
      <c r="AK71" s="522"/>
      <c r="AL71" s="401"/>
      <c r="AM71" s="523"/>
      <c r="AO71" s="521"/>
      <c r="AQ71" s="369"/>
      <c r="AR71" s="418"/>
      <c r="AS71" s="483"/>
      <c r="AT71" s="418"/>
      <c r="AV71" s="521"/>
      <c r="AX71" s="395"/>
      <c r="AY71" s="395"/>
      <c r="AZ71" s="395"/>
      <c r="BA71" s="395"/>
      <c r="BB71" s="395"/>
      <c r="BC71" s="369"/>
      <c r="BD71" s="395"/>
      <c r="BE71" s="395"/>
      <c r="BF71" s="524"/>
      <c r="BG71" s="395"/>
      <c r="BH71" s="395"/>
      <c r="BI71" s="369"/>
      <c r="BJ71" s="395"/>
      <c r="BK71" s="395"/>
      <c r="BL71" s="395"/>
      <c r="BM71" s="395"/>
      <c r="BN71" s="395"/>
      <c r="BO71" s="395"/>
      <c r="BP71" s="395"/>
      <c r="BQ71" s="369"/>
      <c r="BR71" s="369"/>
      <c r="BS71" s="395"/>
      <c r="BT71" s="369"/>
      <c r="BU71" s="369"/>
      <c r="BV71" s="369"/>
      <c r="BW71" s="369"/>
      <c r="BX71" s="369"/>
      <c r="BY71" s="369"/>
      <c r="CH71" s="395"/>
      <c r="CI71" s="511"/>
    </row>
    <row r="72" spans="2:87" s="370" customFormat="1" ht="15">
      <c r="B72" s="683"/>
      <c r="C72" s="684" t="s">
        <v>1281</v>
      </c>
      <c r="D72" s="685" t="s">
        <v>1282</v>
      </c>
      <c r="E72" s="515" t="s">
        <v>1283</v>
      </c>
      <c r="F72" s="515" t="s">
        <v>1153</v>
      </c>
      <c r="G72" s="686" t="s">
        <v>1284</v>
      </c>
      <c r="H72" s="687" t="s">
        <v>200</v>
      </c>
      <c r="I72" s="688" t="s">
        <v>19</v>
      </c>
      <c r="J72" s="688" t="s">
        <v>21</v>
      </c>
      <c r="K72" s="689" t="s">
        <v>20</v>
      </c>
      <c r="L72" s="690" t="s">
        <v>1125</v>
      </c>
      <c r="M72" s="691" t="s">
        <v>1285</v>
      </c>
      <c r="N72" s="691" t="s">
        <v>1286</v>
      </c>
      <c r="O72" s="692" t="s">
        <v>1287</v>
      </c>
      <c r="P72" s="693"/>
      <c r="Q72" s="693"/>
      <c r="R72" s="693"/>
      <c r="S72" s="693"/>
      <c r="T72" s="693"/>
      <c r="U72" s="693"/>
      <c r="V72" s="693"/>
      <c r="W72" s="693"/>
      <c r="X72" s="693"/>
      <c r="Y72" s="693"/>
      <c r="Z72" s="694"/>
      <c r="AA72" s="520" t="str">
        <f>+AA$2</f>
        <v>SCU75M1</v>
      </c>
      <c r="AC72" s="437" t="str">
        <f>+AC$2</f>
        <v>SCU75M1</v>
      </c>
      <c r="AD72" s="437" t="str">
        <f>+AD$2</f>
        <v>SCU100M1</v>
      </c>
      <c r="AE72" s="437" t="str">
        <f>+AE$2</f>
        <v>SCU125M1</v>
      </c>
      <c r="AF72" s="437" t="str">
        <f>+AF$2</f>
        <v>SCU150M1</v>
      </c>
      <c r="AH72" s="521"/>
      <c r="AJ72" s="483"/>
      <c r="AK72" s="522"/>
      <c r="AL72" s="401"/>
      <c r="AM72" s="523"/>
      <c r="AO72" s="521"/>
      <c r="AQ72" s="369"/>
      <c r="AR72" s="418"/>
      <c r="AS72" s="483"/>
      <c r="AT72" s="418"/>
      <c r="AV72" s="521"/>
      <c r="AX72" s="395"/>
      <c r="AY72" s="395"/>
      <c r="AZ72" s="395"/>
      <c r="BA72" s="395"/>
      <c r="BB72" s="395"/>
      <c r="BC72" s="369"/>
      <c r="BD72" s="395"/>
      <c r="BE72" s="395"/>
      <c r="BF72" s="524"/>
      <c r="BG72" s="395"/>
      <c r="BH72" s="395"/>
      <c r="BI72" s="369"/>
      <c r="BJ72" s="395"/>
      <c r="BK72" s="395"/>
      <c r="BL72" s="395"/>
      <c r="BM72" s="395"/>
      <c r="BN72" s="395"/>
      <c r="BO72" s="395"/>
      <c r="BP72" s="395"/>
      <c r="BQ72" s="369"/>
      <c r="BR72" s="369"/>
      <c r="BS72" s="395"/>
      <c r="BT72" s="369"/>
      <c r="BU72" s="369"/>
      <c r="BV72" s="369"/>
      <c r="BW72" s="369"/>
      <c r="BX72" s="369"/>
      <c r="BY72" s="369"/>
      <c r="CH72" s="395"/>
      <c r="CI72" s="511"/>
    </row>
    <row r="73" spans="2:87" s="370" customFormat="1" ht="15">
      <c r="B73" s="695" t="str">
        <f>C$72&amp;D73&amp;"M1"</f>
        <v>SCU75M1</v>
      </c>
      <c r="C73" s="696">
        <v>1</v>
      </c>
      <c r="D73" s="697">
        <f>VLOOKUP($C73,$C74:$Z77,2,FALSE)</f>
        <v>75</v>
      </c>
      <c r="E73" s="698">
        <f>VLOOKUP($C73,$C74:$Z77,3,FALSE)</f>
        <v>22</v>
      </c>
      <c r="F73" s="699">
        <f>VLOOKUP($C73,$C74:$Z77,4,FALSE)</f>
        <v>11350</v>
      </c>
      <c r="G73" s="700">
        <f>VLOOKUP($C73,$C74:$Z77,5,FALSE)</f>
        <v>32.4</v>
      </c>
      <c r="H73" s="701">
        <f>VLOOKUP($C73,$C74:$Z77,6,FALSE)</f>
        <v>0</v>
      </c>
      <c r="I73" s="699">
        <f>VLOOKUP($C73,$C74:$Z77,7,FALSE)</f>
        <v>950</v>
      </c>
      <c r="J73" s="699">
        <f>VLOOKUP($C73,$C74:$Z77,8,FALSE)</f>
        <v>875</v>
      </c>
      <c r="K73" s="702">
        <f>VLOOKUP($C73,$C74:$Z77,9,FALSE)</f>
        <v>1188</v>
      </c>
      <c r="L73" s="703" t="str">
        <f>+D4</f>
        <v>1540T(NA06)</v>
      </c>
      <c r="M73" s="699" t="s">
        <v>1288</v>
      </c>
      <c r="N73" s="698">
        <f>VLOOKUP($C73,$C74:$Z77,12,FALSE)</f>
        <v>630</v>
      </c>
      <c r="O73" s="704">
        <f>VLOOKUP($C73,$C74:$Z77,13,FALSE)</f>
        <v>1</v>
      </c>
      <c r="P73" s="705"/>
      <c r="Q73" s="705"/>
      <c r="R73" s="705"/>
      <c r="S73" s="705"/>
      <c r="T73" s="705"/>
      <c r="U73" s="705"/>
      <c r="V73" s="705"/>
      <c r="W73" s="705"/>
      <c r="X73" s="705"/>
      <c r="Y73" s="705"/>
      <c r="Z73" s="706"/>
      <c r="AA73" s="707">
        <v>1</v>
      </c>
      <c r="AC73" s="708">
        <v>1</v>
      </c>
      <c r="AD73" s="708">
        <v>1</v>
      </c>
      <c r="AE73" s="708">
        <v>1</v>
      </c>
      <c r="AF73" s="708">
        <v>1</v>
      </c>
      <c r="AH73" s="521"/>
      <c r="AJ73" s="483"/>
      <c r="AK73" s="522"/>
      <c r="AL73" s="401"/>
      <c r="AM73" s="523"/>
      <c r="AO73" s="521"/>
      <c r="AQ73" s="369"/>
      <c r="AR73" s="418"/>
      <c r="AS73" s="483"/>
      <c r="AT73" s="418"/>
      <c r="AV73" s="521"/>
      <c r="AX73" s="395"/>
      <c r="AY73" s="395"/>
      <c r="AZ73" s="395"/>
      <c r="BA73" s="395"/>
      <c r="BB73" s="395"/>
      <c r="BC73" s="369"/>
      <c r="BD73" s="395"/>
      <c r="BE73" s="395"/>
      <c r="BF73" s="524"/>
      <c r="BG73" s="395"/>
      <c r="BH73" s="395"/>
      <c r="BI73" s="369"/>
      <c r="BJ73" s="395"/>
      <c r="BK73" s="395"/>
      <c r="BL73" s="395"/>
      <c r="BM73" s="395"/>
      <c r="BN73" s="395"/>
      <c r="BO73" s="395"/>
      <c r="BP73" s="395"/>
      <c r="BQ73" s="369"/>
      <c r="BR73" s="369"/>
      <c r="BS73" s="395"/>
      <c r="BT73" s="369"/>
      <c r="BU73" s="369"/>
      <c r="BV73" s="369"/>
      <c r="BW73" s="369"/>
      <c r="BX73" s="369"/>
      <c r="BY73" s="369"/>
      <c r="CH73" s="395"/>
      <c r="CI73" s="511"/>
    </row>
    <row r="74" spans="2:87" s="418" customFormat="1" ht="13.9" hidden="1" customHeight="1" outlineLevel="1">
      <c r="B74" s="709" t="str">
        <f t="shared" ref="B74:B77" si="0">C$72&amp;D74&amp;"M1"</f>
        <v>SCU75M1</v>
      </c>
      <c r="C74" s="710">
        <f>+AA74</f>
        <v>1</v>
      </c>
      <c r="D74" s="711">
        <v>75</v>
      </c>
      <c r="E74" s="712">
        <f t="shared" ref="E74:E77" si="1">ROUND(D74/3.412,0)</f>
        <v>22</v>
      </c>
      <c r="F74" s="712">
        <v>11350</v>
      </c>
      <c r="G74" s="713">
        <f>+G80+15</f>
        <v>32.4</v>
      </c>
      <c r="H74" s="714">
        <v>0</v>
      </c>
      <c r="I74" s="712">
        <v>950</v>
      </c>
      <c r="J74" s="712">
        <v>875</v>
      </c>
      <c r="K74" s="713">
        <v>1188</v>
      </c>
      <c r="L74" s="715" t="str">
        <f>+L$73</f>
        <v>1540T(NA06)</v>
      </c>
      <c r="M74" s="716" t="str">
        <f>M$73</f>
        <v>X407</v>
      </c>
      <c r="N74" s="712">
        <v>630</v>
      </c>
      <c r="O74" s="717">
        <v>1</v>
      </c>
      <c r="P74" s="718"/>
      <c r="Q74" s="718"/>
      <c r="R74" s="718"/>
      <c r="S74" s="718"/>
      <c r="T74" s="718"/>
      <c r="U74" s="718"/>
      <c r="V74" s="718"/>
      <c r="W74" s="718"/>
      <c r="X74" s="718"/>
      <c r="Y74" s="718"/>
      <c r="Z74" s="719"/>
      <c r="AA74" s="499">
        <v>1</v>
      </c>
      <c r="AC74" s="720">
        <v>1</v>
      </c>
      <c r="AD74" s="720"/>
      <c r="AE74" s="720"/>
      <c r="AF74" s="720"/>
      <c r="AG74" s="479"/>
      <c r="AH74" s="521"/>
      <c r="AI74" s="479"/>
      <c r="AJ74" s="483"/>
      <c r="AK74" s="522"/>
      <c r="AL74" s="401"/>
      <c r="AM74" s="523"/>
      <c r="AN74" s="479"/>
      <c r="AO74" s="721"/>
      <c r="AP74" s="479"/>
      <c r="AQ74" s="369"/>
      <c r="AS74" s="483"/>
      <c r="AU74" s="479"/>
      <c r="AV74" s="721"/>
      <c r="AW74" s="479"/>
      <c r="AX74" s="395"/>
      <c r="AY74" s="395"/>
      <c r="AZ74" s="395"/>
      <c r="BA74" s="395"/>
      <c r="BB74" s="395"/>
      <c r="BC74" s="369"/>
      <c r="BD74" s="395"/>
      <c r="BE74" s="395"/>
      <c r="BF74" s="524"/>
      <c r="BG74" s="395"/>
      <c r="BH74" s="395"/>
      <c r="BI74" s="369"/>
      <c r="BJ74" s="395"/>
      <c r="BK74" s="395"/>
      <c r="BL74" s="395"/>
      <c r="BM74" s="395"/>
      <c r="BN74" s="395"/>
      <c r="BO74" s="395"/>
      <c r="BP74" s="395"/>
      <c r="BQ74" s="369"/>
      <c r="BR74" s="369"/>
      <c r="BS74" s="395"/>
      <c r="BT74" s="369"/>
      <c r="BU74" s="369"/>
      <c r="BV74" s="369"/>
      <c r="BW74" s="369"/>
      <c r="BX74" s="369"/>
      <c r="BY74" s="369"/>
      <c r="BZ74" s="369"/>
      <c r="CH74" s="395"/>
      <c r="CI74" s="511"/>
    </row>
    <row r="75" spans="2:87" s="418" customFormat="1" ht="13.9" hidden="1" customHeight="1" outlineLevel="1">
      <c r="B75" s="722" t="str">
        <f t="shared" si="0"/>
        <v>SCU100M1</v>
      </c>
      <c r="C75" s="723">
        <f>+AA75</f>
        <v>0</v>
      </c>
      <c r="D75" s="724">
        <v>100</v>
      </c>
      <c r="E75" s="725">
        <f t="shared" si="1"/>
        <v>29</v>
      </c>
      <c r="F75" s="725">
        <v>11100</v>
      </c>
      <c r="G75" s="726">
        <f t="shared" ref="G75:G77" si="2">+G81+15</f>
        <v>40.5</v>
      </c>
      <c r="H75" s="727">
        <v>0</v>
      </c>
      <c r="I75" s="725">
        <v>950</v>
      </c>
      <c r="J75" s="725">
        <v>875</v>
      </c>
      <c r="K75" s="726">
        <v>1188</v>
      </c>
      <c r="L75" s="728" t="str">
        <f>+L$73</f>
        <v>1540T(NA06)</v>
      </c>
      <c r="M75" s="729" t="str">
        <f>M$73</f>
        <v>X407</v>
      </c>
      <c r="N75" s="725">
        <v>630</v>
      </c>
      <c r="O75" s="730">
        <v>1</v>
      </c>
      <c r="P75" s="731"/>
      <c r="Q75" s="731"/>
      <c r="R75" s="731"/>
      <c r="S75" s="731"/>
      <c r="T75" s="731"/>
      <c r="U75" s="731"/>
      <c r="V75" s="731"/>
      <c r="W75" s="731"/>
      <c r="X75" s="731"/>
      <c r="Y75" s="731"/>
      <c r="Z75" s="732"/>
      <c r="AA75" s="456"/>
      <c r="AC75" s="444"/>
      <c r="AD75" s="444">
        <v>1</v>
      </c>
      <c r="AE75" s="444"/>
      <c r="AF75" s="444"/>
      <c r="AG75" s="479"/>
      <c r="AH75" s="521"/>
      <c r="AI75" s="479"/>
      <c r="AJ75" s="483"/>
      <c r="AK75" s="522"/>
      <c r="AL75" s="401"/>
      <c r="AM75" s="523"/>
      <c r="AN75" s="479"/>
      <c r="AO75" s="721"/>
      <c r="AP75" s="479"/>
      <c r="AQ75" s="369"/>
      <c r="AS75" s="483"/>
      <c r="AU75" s="479"/>
      <c r="AV75" s="721"/>
      <c r="AW75" s="479"/>
      <c r="AX75" s="395"/>
      <c r="AY75" s="395"/>
      <c r="AZ75" s="395"/>
      <c r="BA75" s="395"/>
      <c r="BB75" s="395"/>
      <c r="BC75" s="369"/>
      <c r="BD75" s="395"/>
      <c r="BE75" s="395"/>
      <c r="BF75" s="524"/>
      <c r="BG75" s="395"/>
      <c r="BH75" s="395"/>
      <c r="BI75" s="369"/>
      <c r="BJ75" s="395"/>
      <c r="BK75" s="395"/>
      <c r="BL75" s="395"/>
      <c r="BM75" s="395"/>
      <c r="BN75" s="395"/>
      <c r="BO75" s="395"/>
      <c r="BP75" s="395"/>
      <c r="BQ75" s="369"/>
      <c r="BR75" s="369"/>
      <c r="BS75" s="395"/>
      <c r="BT75" s="369"/>
      <c r="BU75" s="369"/>
      <c r="BV75" s="369"/>
      <c r="BW75" s="369"/>
      <c r="BX75" s="369"/>
      <c r="BY75" s="369"/>
      <c r="BZ75" s="369"/>
      <c r="CH75" s="395"/>
      <c r="CI75" s="511"/>
    </row>
    <row r="76" spans="2:87" s="418" customFormat="1" ht="13.9" hidden="1" customHeight="1" outlineLevel="1">
      <c r="B76" s="722" t="str">
        <f t="shared" si="0"/>
        <v>SCU125M1</v>
      </c>
      <c r="C76" s="723">
        <f>+AA76</f>
        <v>0</v>
      </c>
      <c r="D76" s="724">
        <v>125</v>
      </c>
      <c r="E76" s="725">
        <f t="shared" si="1"/>
        <v>37</v>
      </c>
      <c r="F76" s="725">
        <v>14200</v>
      </c>
      <c r="G76" s="726">
        <f t="shared" si="2"/>
        <v>54</v>
      </c>
      <c r="H76" s="727">
        <v>0</v>
      </c>
      <c r="I76" s="725">
        <v>950</v>
      </c>
      <c r="J76" s="725">
        <v>875</v>
      </c>
      <c r="K76" s="726">
        <v>1188</v>
      </c>
      <c r="L76" s="728" t="str">
        <f>+L$73</f>
        <v>1540T(NA06)</v>
      </c>
      <c r="M76" s="729" t="str">
        <f>M$73</f>
        <v>X407</v>
      </c>
      <c r="N76" s="725">
        <v>710</v>
      </c>
      <c r="O76" s="730">
        <v>1</v>
      </c>
      <c r="P76" s="731"/>
      <c r="Q76" s="731"/>
      <c r="R76" s="731"/>
      <c r="S76" s="731"/>
      <c r="T76" s="731"/>
      <c r="U76" s="731"/>
      <c r="V76" s="731"/>
      <c r="W76" s="731"/>
      <c r="X76" s="731"/>
      <c r="Y76" s="731"/>
      <c r="Z76" s="732"/>
      <c r="AA76" s="456"/>
      <c r="AC76" s="444"/>
      <c r="AD76" s="444"/>
      <c r="AE76" s="444">
        <v>1</v>
      </c>
      <c r="AF76" s="444"/>
      <c r="AG76" s="479"/>
      <c r="AH76" s="521"/>
      <c r="AI76" s="479"/>
      <c r="AJ76" s="483"/>
      <c r="AK76" s="522"/>
      <c r="AL76" s="401"/>
      <c r="AM76" s="523"/>
      <c r="AN76" s="479"/>
      <c r="AO76" s="721"/>
      <c r="AP76" s="479"/>
      <c r="AQ76" s="369"/>
      <c r="AS76" s="483"/>
      <c r="AU76" s="479"/>
      <c r="AV76" s="721"/>
      <c r="AW76" s="479"/>
      <c r="AX76" s="395"/>
      <c r="AY76" s="395"/>
      <c r="AZ76" s="395"/>
      <c r="BA76" s="395"/>
      <c r="BB76" s="395"/>
      <c r="BC76" s="369"/>
      <c r="BD76" s="395"/>
      <c r="BE76" s="395"/>
      <c r="BF76" s="524"/>
      <c r="BG76" s="395"/>
      <c r="BH76" s="395"/>
      <c r="BI76" s="369"/>
      <c r="BJ76" s="395"/>
      <c r="BK76" s="395"/>
      <c r="BL76" s="395"/>
      <c r="BM76" s="395"/>
      <c r="BN76" s="395"/>
      <c r="BO76" s="395"/>
      <c r="BP76" s="395"/>
      <c r="BQ76" s="369"/>
      <c r="BR76" s="369"/>
      <c r="BS76" s="395"/>
      <c r="BT76" s="369"/>
      <c r="BU76" s="369"/>
      <c r="BV76" s="369"/>
      <c r="BW76" s="369"/>
      <c r="BX76" s="369"/>
      <c r="BY76" s="369"/>
      <c r="BZ76" s="369"/>
      <c r="CH76" s="395"/>
      <c r="CI76" s="511"/>
    </row>
    <row r="77" spans="2:87" s="418" customFormat="1" ht="13.9" hidden="1" customHeight="1" outlineLevel="1">
      <c r="B77" s="722" t="str">
        <f t="shared" si="0"/>
        <v>SCU150M1</v>
      </c>
      <c r="C77" s="723">
        <f>+AA77</f>
        <v>0</v>
      </c>
      <c r="D77" s="724">
        <v>150</v>
      </c>
      <c r="E77" s="733">
        <f t="shared" si="1"/>
        <v>44</v>
      </c>
      <c r="F77" s="725">
        <v>14800</v>
      </c>
      <c r="G77" s="726">
        <f t="shared" si="2"/>
        <v>42.2</v>
      </c>
      <c r="H77" s="734">
        <v>0</v>
      </c>
      <c r="I77" s="733">
        <v>950</v>
      </c>
      <c r="J77" s="733">
        <v>1077</v>
      </c>
      <c r="K77" s="735">
        <v>1140</v>
      </c>
      <c r="L77" s="736" t="str">
        <f>+L$73</f>
        <v>1540T(NA06)</v>
      </c>
      <c r="M77" s="737" t="str">
        <f>M$73</f>
        <v>X407</v>
      </c>
      <c r="N77" s="733">
        <v>710</v>
      </c>
      <c r="O77" s="738">
        <v>1</v>
      </c>
      <c r="P77" s="731"/>
      <c r="Q77" s="731"/>
      <c r="R77" s="731"/>
      <c r="S77" s="731"/>
      <c r="T77" s="731"/>
      <c r="U77" s="731"/>
      <c r="V77" s="731"/>
      <c r="W77" s="731"/>
      <c r="X77" s="731"/>
      <c r="Y77" s="731"/>
      <c r="Z77" s="732"/>
      <c r="AA77" s="456"/>
      <c r="AC77" s="444"/>
      <c r="AD77" s="444"/>
      <c r="AE77" s="444"/>
      <c r="AF77" s="444">
        <v>1</v>
      </c>
      <c r="AG77" s="479"/>
      <c r="AH77" s="521"/>
      <c r="AI77" s="479"/>
      <c r="AJ77" s="483"/>
      <c r="AK77" s="522"/>
      <c r="AL77" s="401"/>
      <c r="AM77" s="523"/>
      <c r="AN77" s="479"/>
      <c r="AO77" s="721"/>
      <c r="AP77" s="479"/>
      <c r="AQ77" s="369"/>
      <c r="AS77" s="483"/>
      <c r="AU77" s="479"/>
      <c r="AV77" s="721"/>
      <c r="AW77" s="479"/>
      <c r="AX77" s="395"/>
      <c r="AY77" s="395"/>
      <c r="AZ77" s="395"/>
      <c r="BA77" s="395"/>
      <c r="BB77" s="395"/>
      <c r="BC77" s="369"/>
      <c r="BD77" s="395"/>
      <c r="BE77" s="395"/>
      <c r="BF77" s="524"/>
      <c r="BG77" s="395"/>
      <c r="BH77" s="395"/>
      <c r="BI77" s="369"/>
      <c r="BJ77" s="395"/>
      <c r="BK77" s="395"/>
      <c r="BL77" s="395"/>
      <c r="BM77" s="395"/>
      <c r="BN77" s="395"/>
      <c r="BO77" s="395"/>
      <c r="BP77" s="395"/>
      <c r="BQ77" s="369"/>
      <c r="BR77" s="369"/>
      <c r="BS77" s="395"/>
      <c r="BT77" s="369"/>
      <c r="BU77" s="369"/>
      <c r="BV77" s="369"/>
      <c r="BW77" s="369"/>
      <c r="BX77" s="369"/>
      <c r="BY77" s="369"/>
      <c r="BZ77" s="369"/>
      <c r="CH77" s="395"/>
      <c r="CI77" s="511"/>
    </row>
    <row r="78" spans="2:87" s="370" customFormat="1" ht="15" collapsed="1">
      <c r="B78" s="683"/>
      <c r="C78" s="739" t="s">
        <v>1281</v>
      </c>
      <c r="D78" s="685" t="s">
        <v>1151</v>
      </c>
      <c r="E78" s="515" t="s">
        <v>1152</v>
      </c>
      <c r="F78" s="515" t="s">
        <v>1289</v>
      </c>
      <c r="G78" s="686" t="s">
        <v>1290</v>
      </c>
      <c r="H78" s="515" t="s">
        <v>87</v>
      </c>
      <c r="I78" s="740" t="s">
        <v>1128</v>
      </c>
      <c r="J78" s="693" t="s">
        <v>88</v>
      </c>
      <c r="K78" s="741" t="s">
        <v>89</v>
      </c>
      <c r="L78" s="742" t="s">
        <v>90</v>
      </c>
      <c r="M78" s="742" t="s">
        <v>1156</v>
      </c>
      <c r="N78" s="741" t="s">
        <v>91</v>
      </c>
      <c r="O78" s="743" t="s">
        <v>1291</v>
      </c>
      <c r="P78" s="744" t="s">
        <v>1292</v>
      </c>
      <c r="Q78" s="2149" t="s">
        <v>1293</v>
      </c>
      <c r="R78" s="2150"/>
      <c r="S78" s="2150" t="s">
        <v>1294</v>
      </c>
      <c r="T78" s="2150"/>
      <c r="U78" s="2150" t="s">
        <v>1295</v>
      </c>
      <c r="V78" s="2150"/>
      <c r="W78" s="2150" t="s">
        <v>1296</v>
      </c>
      <c r="X78" s="2150"/>
      <c r="Y78" s="745" t="s">
        <v>1297</v>
      </c>
      <c r="Z78" s="746"/>
      <c r="AA78" s="520" t="str">
        <f>+AA$2</f>
        <v>SCU75M1</v>
      </c>
      <c r="AB78" s="747"/>
      <c r="AC78" s="437" t="str">
        <f>+AC$2</f>
        <v>SCU75M1</v>
      </c>
      <c r="AD78" s="437" t="str">
        <f>+AD$2</f>
        <v>SCU100M1</v>
      </c>
      <c r="AE78" s="437" t="str">
        <f>+AE$2</f>
        <v>SCU125M1</v>
      </c>
      <c r="AF78" s="437" t="str">
        <f>+AF$2</f>
        <v>SCU150M1</v>
      </c>
      <c r="AH78" s="521"/>
      <c r="AJ78" s="483"/>
      <c r="AK78" s="522"/>
      <c r="AL78" s="401"/>
      <c r="AM78" s="523"/>
      <c r="AO78" s="521"/>
      <c r="AQ78" s="369"/>
      <c r="AR78" s="418"/>
      <c r="AS78" s="483"/>
      <c r="AT78" s="418"/>
      <c r="AV78" s="521"/>
      <c r="AX78" s="395"/>
      <c r="AY78" s="395"/>
      <c r="AZ78" s="395"/>
      <c r="BA78" s="395"/>
      <c r="BB78" s="395"/>
      <c r="BC78" s="369"/>
      <c r="BD78" s="395"/>
      <c r="BE78" s="395"/>
      <c r="BF78" s="524"/>
      <c r="BG78" s="395"/>
      <c r="BH78" s="395"/>
      <c r="BI78" s="369"/>
      <c r="BJ78" s="395"/>
      <c r="BK78" s="395"/>
      <c r="BL78" s="395"/>
      <c r="BM78" s="395"/>
      <c r="BN78" s="395"/>
      <c r="BO78" s="395"/>
      <c r="BP78" s="395"/>
      <c r="BQ78" s="369"/>
      <c r="BR78" s="369"/>
      <c r="BS78" s="395"/>
      <c r="BT78" s="369"/>
      <c r="BU78" s="369"/>
      <c r="BV78" s="369"/>
      <c r="BW78" s="369"/>
      <c r="BX78" s="369"/>
      <c r="BY78" s="369"/>
      <c r="CH78" s="395"/>
      <c r="CI78" s="511"/>
    </row>
    <row r="79" spans="2:87" s="370" customFormat="1" ht="15">
      <c r="B79" s="695" t="str">
        <f>C$78&amp;"-"&amp;H79&amp;"M1"</f>
        <v>SCU-ACC75M1</v>
      </c>
      <c r="C79" s="748">
        <f>+AA79</f>
        <v>2</v>
      </c>
      <c r="D79" s="697">
        <f>VLOOKUP($C79,$C80:$Z83,2,FALSE)</f>
        <v>75</v>
      </c>
      <c r="E79" s="698">
        <f>VLOOKUP($C79,$C80:$Z83,3,FALSE)</f>
        <v>22</v>
      </c>
      <c r="F79" s="699">
        <f>VLOOKUP($C79,$C80:$Z83,4,FALSE)</f>
        <v>11350</v>
      </c>
      <c r="G79" s="700">
        <f>VLOOKUP($C79,$C80:$Z83,5,FALSE)</f>
        <v>17.399999999999999</v>
      </c>
      <c r="H79" s="699" t="str">
        <f>VLOOKUP($C79,$C80:$Z83,6,FALSE)</f>
        <v>ACC75</v>
      </c>
      <c r="I79" s="749">
        <f>VLOOKUP($C79,$C80:$Z83,7,FALSE)</f>
        <v>9.5249999999999986</v>
      </c>
      <c r="J79" s="698">
        <f>VLOOKUP($C79,$C80:$Z83,8,FALSE)</f>
        <v>2</v>
      </c>
      <c r="K79" s="698">
        <f>VLOOKUP($C79,$C80:$Z83,9,FALSE)</f>
        <v>10</v>
      </c>
      <c r="L79" s="698">
        <f>VLOOKUP($C79,$C80:$Z83,10,FALSE)</f>
        <v>36</v>
      </c>
      <c r="M79" s="698">
        <f>VLOOKUP($C79,$C80:$Z83,11,FALSE)</f>
        <v>965</v>
      </c>
      <c r="N79" s="698">
        <f>VLOOKUP($C79,$C80:$Z83,12,FALSE)</f>
        <v>3</v>
      </c>
      <c r="O79" s="698">
        <f>VLOOKUP($C79,$C80:$Z83,13,FALSE)</f>
        <v>43.3</v>
      </c>
      <c r="P79" s="750">
        <f>VLOOKUP($C79,$C80:$Z83,14,FALSE)</f>
        <v>900</v>
      </c>
      <c r="Q79" s="751">
        <f>VLOOKUP($C79,$C80:$Z83,15,FALSE)</f>
        <v>0.625</v>
      </c>
      <c r="R79" s="752">
        <f>VLOOKUP($C79,$C80:$Z83,16,FALSE)</f>
        <v>0.8</v>
      </c>
      <c r="S79" s="751">
        <f>VLOOKUP($C79,$C80:$Z83,17,FALSE)</f>
        <v>1.125</v>
      </c>
      <c r="T79" s="752">
        <f>VLOOKUP($C79,$C80:$Z83,18,FALSE)</f>
        <v>1.2</v>
      </c>
      <c r="U79" s="751">
        <f>VLOOKUP($C79,$C80:$Z83,17,FALSE)</f>
        <v>1.125</v>
      </c>
      <c r="V79" s="752">
        <f>VLOOKUP($C79,$C80:$Z83,18,FALSE)</f>
        <v>1.2</v>
      </c>
      <c r="W79" s="751">
        <f>VLOOKUP($C79,$C80:$Z83,17,FALSE)</f>
        <v>1.125</v>
      </c>
      <c r="X79" s="752">
        <f>VLOOKUP($C79,$C80:$Z83,18,FALSE)</f>
        <v>1.2</v>
      </c>
      <c r="Y79" s="698">
        <f>VLOOKUP($C79,$C80:$Z83,19,FALSE)</f>
        <v>0.875</v>
      </c>
      <c r="Z79" s="753"/>
      <c r="AA79" s="707">
        <v>2</v>
      </c>
      <c r="AB79" s="747"/>
      <c r="AC79" s="708">
        <v>2</v>
      </c>
      <c r="AD79" s="708">
        <v>2</v>
      </c>
      <c r="AE79" s="708">
        <v>2</v>
      </c>
      <c r="AF79" s="708">
        <v>2</v>
      </c>
      <c r="AH79" s="521"/>
      <c r="AJ79" s="483"/>
      <c r="AK79" s="522"/>
      <c r="AL79" s="401"/>
      <c r="AM79" s="523"/>
      <c r="AO79" s="521"/>
      <c r="AQ79" s="369"/>
      <c r="AR79" s="418"/>
      <c r="AS79" s="483"/>
      <c r="AT79" s="418"/>
      <c r="AV79" s="521"/>
      <c r="AX79" s="395"/>
      <c r="AY79" s="395"/>
      <c r="AZ79" s="395"/>
      <c r="BA79" s="395"/>
      <c r="BB79" s="395"/>
      <c r="BC79" s="369"/>
      <c r="BD79" s="395"/>
      <c r="BE79" s="395"/>
      <c r="BF79" s="524"/>
      <c r="BG79" s="395"/>
      <c r="BH79" s="395"/>
      <c r="BI79" s="369"/>
      <c r="BJ79" s="395"/>
      <c r="BK79" s="395"/>
      <c r="BL79" s="395"/>
      <c r="BM79" s="395"/>
      <c r="BN79" s="395"/>
      <c r="BO79" s="395"/>
      <c r="BP79" s="395"/>
      <c r="BQ79" s="369"/>
      <c r="BR79" s="369"/>
      <c r="BS79" s="395"/>
      <c r="BT79" s="369"/>
      <c r="BU79" s="369"/>
      <c r="BV79" s="369"/>
      <c r="BW79" s="369"/>
      <c r="BX79" s="369"/>
      <c r="BY79" s="369"/>
      <c r="CH79" s="395"/>
      <c r="CI79" s="511"/>
    </row>
    <row r="80" spans="2:87" s="418" customFormat="1" ht="13.9" hidden="1" customHeight="1" outlineLevel="1">
      <c r="B80" s="709" t="str">
        <f t="shared" ref="B80:B83" si="3">C$78&amp;"-"&amp;H80&amp;"M1"</f>
        <v>SCU-ACC75M1</v>
      </c>
      <c r="C80" s="710">
        <f>+AA80</f>
        <v>2</v>
      </c>
      <c r="D80" s="711">
        <v>75</v>
      </c>
      <c r="E80" s="712">
        <f>ROUND(D80/3.412,0)</f>
        <v>22</v>
      </c>
      <c r="F80" s="712">
        <v>11350</v>
      </c>
      <c r="G80" s="726">
        <v>17.399999999999999</v>
      </c>
      <c r="H80" s="714" t="s">
        <v>1298</v>
      </c>
      <c r="I80" s="754">
        <f>3/8*25.4</f>
        <v>9.5249999999999986</v>
      </c>
      <c r="J80" s="725">
        <v>2</v>
      </c>
      <c r="K80" s="755">
        <v>10</v>
      </c>
      <c r="L80" s="725">
        <v>36</v>
      </c>
      <c r="M80" s="712">
        <v>965</v>
      </c>
      <c r="N80" s="712">
        <v>3</v>
      </c>
      <c r="O80" s="712">
        <f>+J80*21.65</f>
        <v>43.3</v>
      </c>
      <c r="P80" s="756">
        <f>+L80*25</f>
        <v>900</v>
      </c>
      <c r="Q80" s="757">
        <v>0.625</v>
      </c>
      <c r="R80" s="758">
        <v>0.8</v>
      </c>
      <c r="S80" s="759">
        <v>1.125</v>
      </c>
      <c r="T80" s="758">
        <v>1.2</v>
      </c>
      <c r="U80" s="759">
        <v>0.875</v>
      </c>
      <c r="V80" s="758">
        <v>0.9</v>
      </c>
      <c r="W80" s="759">
        <v>0.5</v>
      </c>
      <c r="X80" s="758">
        <v>0.8</v>
      </c>
      <c r="Y80" s="729">
        <v>1</v>
      </c>
      <c r="Z80" s="760"/>
      <c r="AA80" s="456">
        <v>2</v>
      </c>
      <c r="AC80" s="720">
        <v>2</v>
      </c>
      <c r="AD80" s="720"/>
      <c r="AE80" s="720"/>
      <c r="AF80" s="720"/>
      <c r="AG80" s="479"/>
      <c r="AH80" s="521"/>
      <c r="AI80" s="479"/>
      <c r="AJ80" s="483"/>
      <c r="AK80" s="522"/>
      <c r="AL80" s="401"/>
      <c r="AM80" s="523"/>
      <c r="AN80" s="479"/>
      <c r="AO80" s="721"/>
      <c r="AP80" s="479"/>
      <c r="AQ80" s="369"/>
      <c r="AS80" s="483"/>
      <c r="AU80" s="479"/>
      <c r="AV80" s="721"/>
      <c r="AW80" s="479"/>
      <c r="AX80" s="395"/>
      <c r="AY80" s="395"/>
      <c r="AZ80" s="395"/>
      <c r="BA80" s="395"/>
      <c r="BB80" s="395"/>
      <c r="BC80" s="369"/>
      <c r="BD80" s="395"/>
      <c r="BE80" s="395"/>
      <c r="BF80" s="524"/>
      <c r="BG80" s="395"/>
      <c r="BH80" s="395"/>
      <c r="BI80" s="369"/>
      <c r="BJ80" s="395"/>
      <c r="BK80" s="395"/>
      <c r="BL80" s="395"/>
      <c r="BM80" s="395"/>
      <c r="BN80" s="395"/>
      <c r="BO80" s="395"/>
      <c r="BP80" s="395"/>
      <c r="BQ80" s="369"/>
      <c r="BR80" s="369"/>
      <c r="BS80" s="395"/>
      <c r="BT80" s="369"/>
      <c r="BU80" s="369"/>
      <c r="BV80" s="369"/>
      <c r="BW80" s="369"/>
      <c r="BX80" s="369"/>
      <c r="BY80" s="369"/>
      <c r="BZ80" s="369"/>
      <c r="CH80" s="395"/>
      <c r="CI80" s="511"/>
    </row>
    <row r="81" spans="1:87" s="418" customFormat="1" ht="13.9" hidden="1" customHeight="1" outlineLevel="1">
      <c r="B81" s="722" t="str">
        <f t="shared" si="3"/>
        <v>SCU-ACC100M1</v>
      </c>
      <c r="C81" s="723">
        <f>+AA81</f>
        <v>0</v>
      </c>
      <c r="D81" s="724">
        <v>100</v>
      </c>
      <c r="E81" s="725">
        <f>ROUND(D81/3.412,0)</f>
        <v>29</v>
      </c>
      <c r="F81" s="725">
        <v>11100</v>
      </c>
      <c r="G81" s="726">
        <v>25.5</v>
      </c>
      <c r="H81" s="727" t="s">
        <v>1299</v>
      </c>
      <c r="I81" s="754">
        <f>3/8*25.4</f>
        <v>9.5249999999999986</v>
      </c>
      <c r="J81" s="725">
        <v>2</v>
      </c>
      <c r="K81" s="755">
        <v>14</v>
      </c>
      <c r="L81" s="725">
        <v>36</v>
      </c>
      <c r="M81" s="725">
        <v>965</v>
      </c>
      <c r="N81" s="725">
        <v>3</v>
      </c>
      <c r="O81" s="725">
        <f>+J81*21.65</f>
        <v>43.3</v>
      </c>
      <c r="P81" s="761">
        <f>+L81*25</f>
        <v>900</v>
      </c>
      <c r="Q81" s="762">
        <v>0.625</v>
      </c>
      <c r="R81" s="758">
        <v>0.8</v>
      </c>
      <c r="S81" s="763">
        <v>1.375</v>
      </c>
      <c r="T81" s="758">
        <v>1.2</v>
      </c>
      <c r="U81" s="763">
        <v>0.875</v>
      </c>
      <c r="V81" s="758">
        <v>0.9</v>
      </c>
      <c r="W81" s="763">
        <v>0.625</v>
      </c>
      <c r="X81" s="758">
        <v>0.8</v>
      </c>
      <c r="Y81" s="729">
        <v>1</v>
      </c>
      <c r="Z81" s="764"/>
      <c r="AA81" s="456"/>
      <c r="AC81" s="444"/>
      <c r="AD81" s="444">
        <v>2</v>
      </c>
      <c r="AE81" s="444"/>
      <c r="AF81" s="444"/>
      <c r="AG81" s="479"/>
      <c r="AH81" s="521"/>
      <c r="AI81" s="479"/>
      <c r="AJ81" s="483"/>
      <c r="AK81" s="522"/>
      <c r="AL81" s="401"/>
      <c r="AM81" s="523"/>
      <c r="AN81" s="479"/>
      <c r="AO81" s="721"/>
      <c r="AP81" s="479"/>
      <c r="AQ81" s="369"/>
      <c r="AS81" s="483"/>
      <c r="AU81" s="479"/>
      <c r="AV81" s="721"/>
      <c r="AW81" s="479"/>
      <c r="AX81" s="395"/>
      <c r="AY81" s="395"/>
      <c r="AZ81" s="395"/>
      <c r="BA81" s="395"/>
      <c r="BB81" s="395"/>
      <c r="BC81" s="369"/>
      <c r="BD81" s="395"/>
      <c r="BE81" s="395"/>
      <c r="BF81" s="524"/>
      <c r="BG81" s="395"/>
      <c r="BH81" s="395"/>
      <c r="BI81" s="369"/>
      <c r="BJ81" s="395"/>
      <c r="BK81" s="395"/>
      <c r="BL81" s="395"/>
      <c r="BM81" s="395"/>
      <c r="BN81" s="395"/>
      <c r="BO81" s="395"/>
      <c r="BP81" s="395"/>
      <c r="BQ81" s="369"/>
      <c r="BR81" s="369"/>
      <c r="BS81" s="395"/>
      <c r="BT81" s="369"/>
      <c r="BU81" s="369"/>
      <c r="BV81" s="369"/>
      <c r="BW81" s="369"/>
      <c r="BX81" s="369"/>
      <c r="BY81" s="369"/>
      <c r="BZ81" s="369"/>
      <c r="CH81" s="395"/>
      <c r="CI81" s="511"/>
    </row>
    <row r="82" spans="1:87" s="418" customFormat="1" ht="13.9" hidden="1" customHeight="1" outlineLevel="1">
      <c r="B82" s="722" t="str">
        <f t="shared" si="3"/>
        <v>SCU-ACC125M1</v>
      </c>
      <c r="C82" s="723">
        <f>+AA82</f>
        <v>0</v>
      </c>
      <c r="D82" s="724">
        <v>125</v>
      </c>
      <c r="E82" s="725">
        <f>ROUND(D82/3.412,0)</f>
        <v>37</v>
      </c>
      <c r="F82" s="725">
        <v>14200</v>
      </c>
      <c r="G82" s="726">
        <v>39</v>
      </c>
      <c r="H82" s="727" t="s">
        <v>1300</v>
      </c>
      <c r="I82" s="754">
        <f>3/8*25.4</f>
        <v>9.5249999999999986</v>
      </c>
      <c r="J82" s="725">
        <v>2</v>
      </c>
      <c r="K82" s="755">
        <v>14</v>
      </c>
      <c r="L82" s="725">
        <v>36</v>
      </c>
      <c r="M82" s="725">
        <v>965</v>
      </c>
      <c r="N82" s="725">
        <v>4</v>
      </c>
      <c r="O82" s="725">
        <f>+J82*21.65</f>
        <v>43.3</v>
      </c>
      <c r="P82" s="761">
        <f>+L82*25</f>
        <v>900</v>
      </c>
      <c r="Q82" s="762">
        <v>0.625</v>
      </c>
      <c r="R82" s="758">
        <v>0.8</v>
      </c>
      <c r="S82" s="763">
        <v>1.375</v>
      </c>
      <c r="T82" s="758">
        <v>1.2</v>
      </c>
      <c r="U82" s="763">
        <v>0.875</v>
      </c>
      <c r="V82" s="758">
        <v>0.9</v>
      </c>
      <c r="W82" s="763">
        <v>0.75</v>
      </c>
      <c r="X82" s="758">
        <v>0.8</v>
      </c>
      <c r="Y82" s="729">
        <v>1</v>
      </c>
      <c r="Z82" s="764"/>
      <c r="AA82" s="456"/>
      <c r="AC82" s="444"/>
      <c r="AD82" s="444"/>
      <c r="AE82" s="444">
        <v>2</v>
      </c>
      <c r="AF82" s="444"/>
      <c r="AG82" s="479"/>
      <c r="AH82" s="521"/>
      <c r="AI82" s="479"/>
      <c r="AJ82" s="483"/>
      <c r="AK82" s="522"/>
      <c r="AL82" s="401"/>
      <c r="AM82" s="523"/>
      <c r="AN82" s="479"/>
      <c r="AO82" s="721"/>
      <c r="AP82" s="479"/>
      <c r="AQ82" s="369"/>
      <c r="AS82" s="483"/>
      <c r="AU82" s="479"/>
      <c r="AV82" s="721"/>
      <c r="AW82" s="479"/>
      <c r="AX82" s="395"/>
      <c r="AY82" s="395"/>
      <c r="AZ82" s="395"/>
      <c r="BA82" s="395"/>
      <c r="BB82" s="395"/>
      <c r="BC82" s="369"/>
      <c r="BD82" s="395"/>
      <c r="BE82" s="395"/>
      <c r="BF82" s="524"/>
      <c r="BG82" s="395"/>
      <c r="BH82" s="395"/>
      <c r="BI82" s="369"/>
      <c r="BJ82" s="395"/>
      <c r="BK82" s="395"/>
      <c r="BL82" s="395"/>
      <c r="BM82" s="395"/>
      <c r="BN82" s="395"/>
      <c r="BO82" s="395"/>
      <c r="BP82" s="395"/>
      <c r="BQ82" s="369"/>
      <c r="BR82" s="369"/>
      <c r="BS82" s="395"/>
      <c r="BT82" s="369"/>
      <c r="BU82" s="369"/>
      <c r="BV82" s="369"/>
      <c r="BW82" s="369"/>
      <c r="BX82" s="369"/>
      <c r="BY82" s="369"/>
      <c r="BZ82" s="369"/>
      <c r="CH82" s="395"/>
      <c r="CI82" s="511"/>
    </row>
    <row r="83" spans="1:87" s="418" customFormat="1" ht="13.9" hidden="1" customHeight="1" outlineLevel="1">
      <c r="B83" s="722" t="str">
        <f t="shared" si="3"/>
        <v>SCU-ACC150M1</v>
      </c>
      <c r="C83" s="723">
        <f>+AA83</f>
        <v>0</v>
      </c>
      <c r="D83" s="724">
        <v>150</v>
      </c>
      <c r="E83" s="725">
        <f>ROUND(D83/3.412,0)</f>
        <v>44</v>
      </c>
      <c r="F83" s="725">
        <v>14800</v>
      </c>
      <c r="G83" s="726">
        <v>27.2</v>
      </c>
      <c r="H83" s="727" t="s">
        <v>1301</v>
      </c>
      <c r="I83" s="754">
        <f>3/8*25.4</f>
        <v>9.5249999999999986</v>
      </c>
      <c r="J83" s="725">
        <v>2</v>
      </c>
      <c r="K83" s="755">
        <v>16</v>
      </c>
      <c r="L83" s="725">
        <v>36</v>
      </c>
      <c r="M83" s="725">
        <v>1377</v>
      </c>
      <c r="N83" s="725">
        <v>6</v>
      </c>
      <c r="O83" s="725">
        <f>+J83*21.65</f>
        <v>43.3</v>
      </c>
      <c r="P83" s="761">
        <f>+L83*25</f>
        <v>900</v>
      </c>
      <c r="Q83" s="762">
        <v>0.75</v>
      </c>
      <c r="R83" s="758">
        <v>0.8</v>
      </c>
      <c r="S83" s="763">
        <v>1.375</v>
      </c>
      <c r="T83" s="758">
        <v>1.2</v>
      </c>
      <c r="U83" s="763">
        <v>0.875</v>
      </c>
      <c r="V83" s="758">
        <v>0.9</v>
      </c>
      <c r="W83" s="763">
        <v>0.625</v>
      </c>
      <c r="X83" s="758">
        <v>0.8</v>
      </c>
      <c r="Y83" s="729">
        <v>1</v>
      </c>
      <c r="Z83" s="764"/>
      <c r="AA83" s="456"/>
      <c r="AC83" s="444"/>
      <c r="AD83" s="444"/>
      <c r="AE83" s="444"/>
      <c r="AF83" s="444">
        <v>2</v>
      </c>
      <c r="AG83" s="479"/>
      <c r="AH83" s="521"/>
      <c r="AI83" s="479"/>
      <c r="AJ83" s="483"/>
      <c r="AK83" s="522"/>
      <c r="AL83" s="401"/>
      <c r="AM83" s="523"/>
      <c r="AN83" s="479"/>
      <c r="AO83" s="721"/>
      <c r="AP83" s="479"/>
      <c r="AQ83" s="369"/>
      <c r="AS83" s="483"/>
      <c r="AU83" s="479"/>
      <c r="AV83" s="721"/>
      <c r="AW83" s="479"/>
      <c r="AX83" s="395"/>
      <c r="AY83" s="395"/>
      <c r="AZ83" s="395"/>
      <c r="BA83" s="395"/>
      <c r="BB83" s="395"/>
      <c r="BC83" s="369"/>
      <c r="BD83" s="395"/>
      <c r="BE83" s="395"/>
      <c r="BF83" s="524"/>
      <c r="BG83" s="395"/>
      <c r="BH83" s="395"/>
      <c r="BI83" s="369"/>
      <c r="BJ83" s="395"/>
      <c r="BK83" s="395"/>
      <c r="BL83" s="395"/>
      <c r="BM83" s="395"/>
      <c r="BN83" s="395"/>
      <c r="BO83" s="395"/>
      <c r="BP83" s="395"/>
      <c r="BQ83" s="369"/>
      <c r="BR83" s="369"/>
      <c r="BS83" s="395"/>
      <c r="BT83" s="369"/>
      <c r="BU83" s="369"/>
      <c r="BV83" s="369"/>
      <c r="BW83" s="369"/>
      <c r="BX83" s="369"/>
      <c r="BY83" s="369"/>
      <c r="BZ83" s="369"/>
      <c r="CH83" s="395"/>
      <c r="CI83" s="511"/>
    </row>
    <row r="84" spans="1:87" s="370" customFormat="1" ht="15" collapsed="1">
      <c r="B84" s="765" t="s">
        <v>92</v>
      </c>
      <c r="C84" s="766" t="s">
        <v>1302</v>
      </c>
      <c r="D84" s="767" t="s">
        <v>1303</v>
      </c>
      <c r="E84" s="768"/>
      <c r="F84" s="769"/>
      <c r="G84" s="768" t="s">
        <v>1304</v>
      </c>
      <c r="H84" s="770" t="s">
        <v>1305</v>
      </c>
      <c r="I84" s="766"/>
      <c r="J84" s="766"/>
      <c r="K84" s="766"/>
      <c r="L84" s="771"/>
      <c r="M84" s="772" t="s">
        <v>26</v>
      </c>
      <c r="N84" s="773"/>
      <c r="O84" s="773"/>
      <c r="P84" s="773"/>
      <c r="Q84" s="774"/>
      <c r="R84" s="775" t="s">
        <v>1158</v>
      </c>
      <c r="S84" s="435" t="s">
        <v>1159</v>
      </c>
      <c r="T84" s="776" t="s">
        <v>1160</v>
      </c>
      <c r="U84" s="776"/>
      <c r="V84" s="776"/>
      <c r="W84" s="777"/>
      <c r="X84" s="778" t="s">
        <v>1161</v>
      </c>
      <c r="Y84" s="779"/>
      <c r="Z84" s="780" t="s">
        <v>1306</v>
      </c>
      <c r="AA84" s="436" t="str">
        <f t="shared" ref="AA84:AF85" si="4">+AA$2</f>
        <v>SCU75M1</v>
      </c>
      <c r="AB84" s="747"/>
      <c r="AC84" s="781" t="str">
        <f t="shared" si="4"/>
        <v>SCU75M1</v>
      </c>
      <c r="AD84" s="781" t="str">
        <f t="shared" si="4"/>
        <v>SCU100M1</v>
      </c>
      <c r="AE84" s="781" t="str">
        <f t="shared" si="4"/>
        <v>SCU125M1</v>
      </c>
      <c r="AF84" s="781" t="str">
        <f t="shared" si="4"/>
        <v>SCU150M1</v>
      </c>
      <c r="AH84" s="521"/>
      <c r="AJ84" s="782" t="s">
        <v>1307</v>
      </c>
      <c r="AK84" s="782"/>
      <c r="AL84" s="388" t="s">
        <v>35</v>
      </c>
      <c r="AM84" s="388"/>
      <c r="AO84" s="521"/>
      <c r="AQ84" s="369"/>
      <c r="AR84" s="418"/>
      <c r="AS84" s="483"/>
      <c r="AT84" s="418"/>
      <c r="AV84" s="521"/>
      <c r="AX84" s="395"/>
      <c r="AY84" s="395"/>
      <c r="AZ84" s="395"/>
      <c r="BA84" s="395"/>
      <c r="BB84" s="395"/>
      <c r="BC84" s="369"/>
      <c r="BD84" s="395"/>
      <c r="BE84" s="395"/>
      <c r="BF84" s="524"/>
      <c r="BG84" s="395"/>
      <c r="BH84" s="395"/>
      <c r="BI84" s="369"/>
      <c r="BJ84" s="395"/>
      <c r="BK84" s="395"/>
      <c r="BL84" s="395"/>
      <c r="BM84" s="395"/>
      <c r="BN84" s="395"/>
      <c r="BO84" s="395"/>
      <c r="BP84" s="395"/>
      <c r="BQ84" s="369"/>
      <c r="BR84" s="369"/>
      <c r="BS84" s="395"/>
      <c r="BT84" s="369"/>
      <c r="BU84" s="369"/>
      <c r="BV84" s="369"/>
      <c r="BW84" s="369"/>
      <c r="BX84" s="369"/>
      <c r="BY84" s="369"/>
      <c r="CH84" s="395"/>
      <c r="CI84" s="511"/>
    </row>
    <row r="85" spans="1:87" s="370" customFormat="1" ht="15">
      <c r="B85" s="783" t="s">
        <v>1308</v>
      </c>
      <c r="C85" s="784" t="s">
        <v>1309</v>
      </c>
      <c r="D85" s="785">
        <f>+I$73</f>
        <v>950</v>
      </c>
      <c r="E85" s="786">
        <f>+J$73</f>
        <v>875</v>
      </c>
      <c r="F85" s="787">
        <f>+K$73</f>
        <v>1188</v>
      </c>
      <c r="G85" s="787"/>
      <c r="H85" s="788" t="s">
        <v>30</v>
      </c>
      <c r="I85" s="789" t="s">
        <v>1162</v>
      </c>
      <c r="J85" s="790" t="s">
        <v>1071</v>
      </c>
      <c r="K85" s="786" t="s">
        <v>1072</v>
      </c>
      <c r="L85" s="787" t="s">
        <v>21</v>
      </c>
      <c r="M85" s="791" t="s">
        <v>82</v>
      </c>
      <c r="N85" s="792" t="s">
        <v>1163</v>
      </c>
      <c r="O85" s="786" t="s">
        <v>1154</v>
      </c>
      <c r="P85" s="790" t="s">
        <v>1164</v>
      </c>
      <c r="Q85" s="793" t="s">
        <v>34</v>
      </c>
      <c r="R85" s="791">
        <v>1</v>
      </c>
      <c r="S85" s="793" t="s">
        <v>13</v>
      </c>
      <c r="T85" s="794" t="s">
        <v>128</v>
      </c>
      <c r="U85" s="794" t="s">
        <v>111</v>
      </c>
      <c r="V85" s="795" t="s">
        <v>32</v>
      </c>
      <c r="W85" s="796" t="s">
        <v>33</v>
      </c>
      <c r="X85" s="797"/>
      <c r="Y85" s="798">
        <f>SUM(Y86:Y89)</f>
        <v>11.785174439999999</v>
      </c>
      <c r="Z85" s="799">
        <f>SUM(Z86:Z89)</f>
        <v>30.016115318684321</v>
      </c>
      <c r="AA85" s="800" t="str">
        <f t="shared" si="4"/>
        <v>SCU75M1</v>
      </c>
      <c r="AB85" s="747"/>
      <c r="AC85" s="801" t="str">
        <f t="shared" si="4"/>
        <v>SCU75M1</v>
      </c>
      <c r="AD85" s="801" t="str">
        <f t="shared" si="4"/>
        <v>SCU100M1</v>
      </c>
      <c r="AE85" s="801" t="str">
        <f t="shared" si="4"/>
        <v>SCU125M1</v>
      </c>
      <c r="AF85" s="802" t="str">
        <f t="shared" si="4"/>
        <v>SCU150M1</v>
      </c>
      <c r="AH85" s="521"/>
      <c r="AI85" s="503"/>
      <c r="AJ85" s="522"/>
      <c r="AK85" s="522">
        <f>SUM(AJ86:AJ89)</f>
        <v>11.785174439999999</v>
      </c>
      <c r="AL85" s="401"/>
      <c r="AM85" s="523">
        <f>SUM(AL86:AL89)</f>
        <v>30.016115318684321</v>
      </c>
      <c r="AN85" s="503"/>
      <c r="AO85" s="803"/>
      <c r="AP85" s="503"/>
      <c r="AQ85" s="369"/>
      <c r="AR85" s="418"/>
      <c r="AS85" s="483"/>
      <c r="AT85" s="418"/>
      <c r="AU85" s="503"/>
      <c r="AV85" s="803"/>
      <c r="AW85" s="503"/>
      <c r="AX85" s="395"/>
      <c r="AY85" s="395"/>
      <c r="AZ85" s="395"/>
      <c r="BA85" s="395"/>
      <c r="BB85" s="395"/>
      <c r="BC85" s="369"/>
      <c r="BD85" s="395"/>
      <c r="BE85" s="395"/>
      <c r="BF85" s="524"/>
      <c r="BG85" s="395"/>
      <c r="BH85" s="395"/>
      <c r="BI85" s="369"/>
      <c r="BJ85" s="395"/>
      <c r="BK85" s="395"/>
      <c r="BL85" s="395"/>
      <c r="BM85" s="395"/>
      <c r="BN85" s="395"/>
      <c r="BO85" s="395"/>
      <c r="BP85" s="395"/>
      <c r="BQ85" s="369"/>
      <c r="BR85" s="369"/>
      <c r="BS85" s="395"/>
      <c r="BT85" s="369"/>
      <c r="BU85" s="369"/>
      <c r="BV85" s="369"/>
      <c r="BW85" s="369"/>
      <c r="BX85" s="369"/>
      <c r="BY85" s="369"/>
      <c r="CH85" s="395"/>
      <c r="CI85" s="511"/>
    </row>
    <row r="86" spans="1:87" s="747" customFormat="1" ht="13.9" hidden="1" customHeight="1" outlineLevel="1">
      <c r="A86" s="804"/>
      <c r="B86" s="805" t="s">
        <v>1310</v>
      </c>
      <c r="C86" s="806" t="str">
        <f>+O$4</f>
        <v>SGCC</v>
      </c>
      <c r="D86" s="807"/>
      <c r="E86" s="808">
        <f>+E85</f>
        <v>875</v>
      </c>
      <c r="F86" s="809">
        <v>50</v>
      </c>
      <c r="G86" s="809"/>
      <c r="H86" s="457" t="s">
        <v>97</v>
      </c>
      <c r="I86" s="810"/>
      <c r="J86" s="811">
        <v>1.5</v>
      </c>
      <c r="K86" s="808">
        <f>+E86+50*2</f>
        <v>975</v>
      </c>
      <c r="L86" s="809">
        <f>15+25+F86+25+15</f>
        <v>130</v>
      </c>
      <c r="M86" s="812">
        <f>+E$11</f>
        <v>8030</v>
      </c>
      <c r="N86" s="813">
        <f>IF(I86&gt;0,22/28*((I86/1000)^2-(I86/1000-2*J86/1000)^2)*K86/1000,IF(J86&gt;0,J86/1000*K86/1000*L86/1000, IF(K86&gt;0,K86/1000*L86/1000, IF(L86=0,1,L86/1000))))</f>
        <v>1.9012500000000003E-4</v>
      </c>
      <c r="O86" s="814">
        <v>2</v>
      </c>
      <c r="P86" s="811">
        <f>M86*N86*O86</f>
        <v>3.0534075000000005</v>
      </c>
      <c r="Q86" s="815">
        <v>1.2</v>
      </c>
      <c r="R86" s="816">
        <f>+R$85</f>
        <v>1</v>
      </c>
      <c r="S86" s="815">
        <f>P86*AA86*Q86*R86</f>
        <v>7.3281780000000012</v>
      </c>
      <c r="T86" s="817" t="s">
        <v>115</v>
      </c>
      <c r="U86" s="818">
        <f>+F$11</f>
        <v>22500</v>
      </c>
      <c r="V86" s="819">
        <f t="shared" ref="V86:V136" si="5">1/VLOOKUP(T86,Y$12:Z$18,2,FALSE)</f>
        <v>6.8240753377917299E-5</v>
      </c>
      <c r="W86" s="811">
        <v>1</v>
      </c>
      <c r="X86" s="820">
        <v>1</v>
      </c>
      <c r="Y86" s="821">
        <f>+P86*R86*AA86*X86</f>
        <v>6.106815000000001</v>
      </c>
      <c r="Z86" s="822">
        <f>S86*U86*V86*W86</f>
        <v>11.251808721168285</v>
      </c>
      <c r="AA86" s="823">
        <v>2</v>
      </c>
      <c r="AB86" s="824"/>
      <c r="AC86" s="825">
        <v>2</v>
      </c>
      <c r="AD86" s="825">
        <v>2</v>
      </c>
      <c r="AE86" s="814">
        <v>2</v>
      </c>
      <c r="AF86" s="825">
        <v>2</v>
      </c>
      <c r="AG86" s="826"/>
      <c r="AH86" s="827"/>
      <c r="AJ86" s="828">
        <f>+Y86</f>
        <v>6.106815000000001</v>
      </c>
      <c r="AK86" s="828"/>
      <c r="AL86" s="828">
        <f>+Z86</f>
        <v>11.251808721168285</v>
      </c>
      <c r="AM86" s="828"/>
      <c r="AO86" s="829"/>
      <c r="AS86" s="828"/>
      <c r="AV86" s="829"/>
      <c r="BF86" s="830"/>
      <c r="CI86" s="830"/>
    </row>
    <row r="87" spans="1:87" s="418" customFormat="1" ht="13.9" hidden="1" customHeight="1" outlineLevel="1">
      <c r="B87" s="445" t="s">
        <v>1311</v>
      </c>
      <c r="C87" s="418" t="str">
        <f>IF(N$4=1,"Panel Powder Coating", "Panel No Coating")</f>
        <v>Panel Powder Coating</v>
      </c>
      <c r="D87" s="504"/>
      <c r="E87" s="447"/>
      <c r="F87" s="831"/>
      <c r="G87" s="831"/>
      <c r="H87" s="459" t="s">
        <v>54</v>
      </c>
      <c r="I87" s="832"/>
      <c r="J87" s="446"/>
      <c r="K87" s="447">
        <f>+K86</f>
        <v>975</v>
      </c>
      <c r="L87" s="448">
        <f>+L86</f>
        <v>130</v>
      </c>
      <c r="M87" s="449">
        <v>2</v>
      </c>
      <c r="N87" s="833">
        <f>IF(I87&gt;0,22/28*((I87/1000)^2-(I87/1000-2*J87/1000)^2)*K87/1000,IF(J87&gt;0,J87/1000*K87/1000*L87/1000, IF(K87&gt;0,K87/1000*L87/1000, IF(L87=0,1,L87/1000))))</f>
        <v>0.12675</v>
      </c>
      <c r="O87" s="451">
        <f>+O86</f>
        <v>2</v>
      </c>
      <c r="P87" s="446">
        <f>M87*N87*O87</f>
        <v>0.50700000000000001</v>
      </c>
      <c r="Q87" s="452">
        <v>1.1000000000000001</v>
      </c>
      <c r="R87" s="487">
        <f>+R$85</f>
        <v>1</v>
      </c>
      <c r="S87" s="452">
        <f t="shared" ref="S87:S136" si="6">P87*AA87*Q87*R87</f>
        <v>1.1154000000000002</v>
      </c>
      <c r="T87" s="426" t="s">
        <v>115</v>
      </c>
      <c r="U87" s="834">
        <f>+Q$11</f>
        <v>65000</v>
      </c>
      <c r="V87" s="835">
        <f>1/VLOOKUP(T87,Y$12:Z$18,2,FALSE)</f>
        <v>6.8240753377917299E-5</v>
      </c>
      <c r="W87" s="446">
        <v>1</v>
      </c>
      <c r="X87" s="836">
        <f>+P$11</f>
        <v>0.25</v>
      </c>
      <c r="Y87" s="837">
        <f>+P87*R87*AA87*X87</f>
        <v>0.2535</v>
      </c>
      <c r="Z87" s="838">
        <f>S87*U87*V87*W87</f>
        <v>4.9475228606523833</v>
      </c>
      <c r="AA87" s="456">
        <f>+AA86</f>
        <v>2</v>
      </c>
      <c r="AC87" s="444">
        <f>+AC86</f>
        <v>2</v>
      </c>
      <c r="AD87" s="444">
        <f t="shared" ref="AD87:AF89" si="7">+AD86</f>
        <v>2</v>
      </c>
      <c r="AE87" s="444">
        <f t="shared" si="7"/>
        <v>2</v>
      </c>
      <c r="AF87" s="444">
        <f t="shared" si="7"/>
        <v>2</v>
      </c>
      <c r="AG87" s="479"/>
      <c r="AH87" s="721"/>
      <c r="AI87" s="479"/>
      <c r="AJ87" s="483">
        <f>+Y87</f>
        <v>0.2535</v>
      </c>
      <c r="AK87" s="522"/>
      <c r="AL87" s="401">
        <f>+Z87</f>
        <v>4.9475228606523833</v>
      </c>
      <c r="AM87" s="523"/>
      <c r="AN87" s="479"/>
      <c r="AO87" s="803"/>
      <c r="AP87" s="479"/>
      <c r="AQ87" s="369"/>
      <c r="AS87" s="483"/>
      <c r="AU87" s="479"/>
      <c r="AV87" s="803"/>
      <c r="AW87" s="479"/>
      <c r="AX87" s="395"/>
      <c r="AY87" s="395"/>
      <c r="AZ87" s="395"/>
      <c r="BA87" s="395"/>
      <c r="BB87" s="395"/>
      <c r="BC87" s="369"/>
      <c r="BD87" s="395"/>
      <c r="BE87" s="395"/>
      <c r="BF87" s="524"/>
      <c r="BG87" s="395"/>
      <c r="BH87" s="395"/>
      <c r="BI87" s="369"/>
      <c r="BJ87" s="395"/>
      <c r="BK87" s="395"/>
      <c r="BL87" s="395"/>
      <c r="BM87" s="395"/>
      <c r="BN87" s="395"/>
      <c r="BO87" s="395"/>
      <c r="BP87" s="395"/>
      <c r="BQ87" s="369"/>
      <c r="BR87" s="369"/>
      <c r="BS87" s="395"/>
      <c r="BT87" s="369"/>
      <c r="BU87" s="369"/>
      <c r="BV87" s="369"/>
      <c r="BW87" s="369"/>
      <c r="BX87" s="369"/>
      <c r="BY87" s="369"/>
      <c r="BZ87" s="369"/>
      <c r="CH87" s="395"/>
      <c r="CI87" s="511"/>
    </row>
    <row r="88" spans="1:87" s="747" customFormat="1" ht="13.9" hidden="1" customHeight="1" outlineLevel="1">
      <c r="A88" s="804"/>
      <c r="B88" s="805" t="s">
        <v>1312</v>
      </c>
      <c r="C88" s="806" t="str">
        <f>+O$4</f>
        <v>SGCC</v>
      </c>
      <c r="D88" s="807"/>
      <c r="E88" s="808">
        <f>+F85</f>
        <v>1188</v>
      </c>
      <c r="F88" s="809">
        <v>50</v>
      </c>
      <c r="G88" s="809"/>
      <c r="H88" s="457" t="s">
        <v>97</v>
      </c>
      <c r="I88" s="810"/>
      <c r="J88" s="811">
        <v>1.5</v>
      </c>
      <c r="K88" s="808">
        <f>+E88*0.7</f>
        <v>831.59999999999991</v>
      </c>
      <c r="L88" s="809">
        <f>15+25+F88+25+15</f>
        <v>130</v>
      </c>
      <c r="M88" s="812">
        <f>+E$11</f>
        <v>8030</v>
      </c>
      <c r="N88" s="813">
        <f>IF(I88&gt;0,22/28*((I88/1000)^2-(I88/1000-2*J88/1000)^2)*K88/1000,IF(J88&gt;0,J88/1000*K88/1000*L88/1000, IF(K88&gt;0,K88/1000*L88/1000, IF(L88=0,1,L88/1000))))</f>
        <v>1.6216199999999998E-4</v>
      </c>
      <c r="O88" s="814">
        <v>2</v>
      </c>
      <c r="P88" s="811">
        <f>M88*N88*O88</f>
        <v>2.6043217199999997</v>
      </c>
      <c r="Q88" s="815">
        <v>1.2</v>
      </c>
      <c r="R88" s="816">
        <f>+R$85</f>
        <v>1</v>
      </c>
      <c r="S88" s="815">
        <f t="shared" si="6"/>
        <v>6.2503721279999995</v>
      </c>
      <c r="T88" s="817" t="s">
        <v>115</v>
      </c>
      <c r="U88" s="818">
        <f>+F$11</f>
        <v>22500</v>
      </c>
      <c r="V88" s="819">
        <f>1/VLOOKUP(T88,Y$12:Z$18,2,FALSE)</f>
        <v>6.8240753377917299E-5</v>
      </c>
      <c r="W88" s="811">
        <v>1</v>
      </c>
      <c r="X88" s="820">
        <v>1</v>
      </c>
      <c r="Y88" s="821">
        <f>+P88*R88*AA88*X88</f>
        <v>5.2086434399999995</v>
      </c>
      <c r="Z88" s="822">
        <f>S88*U88*V88*W88</f>
        <v>9.5969273154087613</v>
      </c>
      <c r="AA88" s="823">
        <v>2</v>
      </c>
      <c r="AB88" s="824"/>
      <c r="AC88" s="825">
        <v>2</v>
      </c>
      <c r="AD88" s="825">
        <v>2</v>
      </c>
      <c r="AE88" s="814">
        <v>2</v>
      </c>
      <c r="AF88" s="825">
        <v>2</v>
      </c>
      <c r="AG88" s="826"/>
      <c r="AH88" s="827"/>
      <c r="AJ88" s="828">
        <f>+Y88</f>
        <v>5.2086434399999995</v>
      </c>
      <c r="AK88" s="828"/>
      <c r="AL88" s="828">
        <f>+Z88</f>
        <v>9.5969273154087613</v>
      </c>
      <c r="AM88" s="828"/>
      <c r="AO88" s="829"/>
      <c r="AS88" s="828"/>
      <c r="AV88" s="829"/>
      <c r="BF88" s="830"/>
      <c r="CI88" s="830"/>
    </row>
    <row r="89" spans="1:87" s="418" customFormat="1" ht="13.9" hidden="1" customHeight="1" outlineLevel="1">
      <c r="B89" s="445" t="s">
        <v>1311</v>
      </c>
      <c r="C89" s="418" t="str">
        <f>IF(N$4=1,"Panel Powder Coating", "Panel No Coating")</f>
        <v>Panel Powder Coating</v>
      </c>
      <c r="D89" s="504"/>
      <c r="E89" s="447"/>
      <c r="F89" s="831"/>
      <c r="G89" s="831"/>
      <c r="H89" s="459" t="s">
        <v>54</v>
      </c>
      <c r="I89" s="832"/>
      <c r="J89" s="446"/>
      <c r="K89" s="447">
        <f>+K88</f>
        <v>831.59999999999991</v>
      </c>
      <c r="L89" s="448">
        <f>+L88</f>
        <v>130</v>
      </c>
      <c r="M89" s="449">
        <v>2</v>
      </c>
      <c r="N89" s="833">
        <f>IF(I89&gt;0,22/28*((I89/1000)^2-(I89/1000-2*J89/1000)^2)*K89/1000,IF(J89&gt;0,J89/1000*K89/1000*L89/1000, IF(K89&gt;0,K89/1000*L89/1000, IF(L89=0,1,L89/1000))))</f>
        <v>0.108108</v>
      </c>
      <c r="O89" s="451">
        <f>+O88</f>
        <v>2</v>
      </c>
      <c r="P89" s="446">
        <f>M89*N89*O89</f>
        <v>0.43243199999999998</v>
      </c>
      <c r="Q89" s="452">
        <v>1.1000000000000001</v>
      </c>
      <c r="R89" s="487">
        <f>+R$85</f>
        <v>1</v>
      </c>
      <c r="S89" s="452">
        <f t="shared" si="6"/>
        <v>0.95135040000000004</v>
      </c>
      <c r="T89" s="426" t="s">
        <v>115</v>
      </c>
      <c r="U89" s="834">
        <f>+Q$11</f>
        <v>65000</v>
      </c>
      <c r="V89" s="835">
        <f>1/VLOOKUP(T89,Y$12:Z$18,2,FALSE)</f>
        <v>6.8240753377917299E-5</v>
      </c>
      <c r="W89" s="446">
        <v>1</v>
      </c>
      <c r="X89" s="836">
        <f>+P$11</f>
        <v>0.25</v>
      </c>
      <c r="Y89" s="837">
        <f>+P89*R89*AA89*X89</f>
        <v>0.21621599999999999</v>
      </c>
      <c r="Z89" s="838">
        <f>S89*U89*V89*W89</f>
        <v>4.2198564214548933</v>
      </c>
      <c r="AA89" s="456">
        <f>+AA88</f>
        <v>2</v>
      </c>
      <c r="AC89" s="444">
        <f>+AC88</f>
        <v>2</v>
      </c>
      <c r="AD89" s="444">
        <f t="shared" si="7"/>
        <v>2</v>
      </c>
      <c r="AE89" s="444">
        <f t="shared" si="7"/>
        <v>2</v>
      </c>
      <c r="AF89" s="444">
        <f t="shared" si="7"/>
        <v>2</v>
      </c>
      <c r="AG89" s="479"/>
      <c r="AH89" s="721"/>
      <c r="AI89" s="479"/>
      <c r="AJ89" s="483">
        <f>+Y89</f>
        <v>0.21621599999999999</v>
      </c>
      <c r="AK89" s="522"/>
      <c r="AL89" s="401">
        <f>+Z89</f>
        <v>4.2198564214548933</v>
      </c>
      <c r="AM89" s="523"/>
      <c r="AN89" s="479"/>
      <c r="AO89" s="803"/>
      <c r="AP89" s="479"/>
      <c r="AQ89" s="369"/>
      <c r="AS89" s="483"/>
      <c r="AU89" s="479"/>
      <c r="AV89" s="803"/>
      <c r="AW89" s="479"/>
      <c r="AX89" s="395"/>
      <c r="AY89" s="395"/>
      <c r="AZ89" s="395"/>
      <c r="BA89" s="395"/>
      <c r="BB89" s="395"/>
      <c r="BC89" s="369"/>
      <c r="BD89" s="395"/>
      <c r="BE89" s="395"/>
      <c r="BF89" s="524"/>
      <c r="BG89" s="395"/>
      <c r="BH89" s="395"/>
      <c r="BI89" s="369"/>
      <c r="BJ89" s="395"/>
      <c r="BK89" s="395"/>
      <c r="BL89" s="395"/>
      <c r="BM89" s="395"/>
      <c r="BN89" s="395"/>
      <c r="BO89" s="395"/>
      <c r="BP89" s="395"/>
      <c r="BQ89" s="369"/>
      <c r="BR89" s="369"/>
      <c r="BS89" s="395"/>
      <c r="BT89" s="369"/>
      <c r="BU89" s="369"/>
      <c r="BV89" s="369"/>
      <c r="BW89" s="369"/>
      <c r="BX89" s="369"/>
      <c r="BY89" s="369"/>
      <c r="BZ89" s="369"/>
      <c r="CH89" s="395"/>
      <c r="CI89" s="511"/>
    </row>
    <row r="90" spans="1:87" s="370" customFormat="1" ht="15" collapsed="1">
      <c r="B90" s="783" t="s">
        <v>1313</v>
      </c>
      <c r="C90" s="784" t="s">
        <v>1309</v>
      </c>
      <c r="D90" s="785">
        <f>+I$73</f>
        <v>950</v>
      </c>
      <c r="E90" s="786">
        <f>+J$73</f>
        <v>875</v>
      </c>
      <c r="F90" s="787">
        <f>+K$73</f>
        <v>1188</v>
      </c>
      <c r="G90" s="787"/>
      <c r="H90" s="788" t="s">
        <v>30</v>
      </c>
      <c r="I90" s="789" t="s">
        <v>1162</v>
      </c>
      <c r="J90" s="790" t="s">
        <v>1071</v>
      </c>
      <c r="K90" s="786" t="s">
        <v>1072</v>
      </c>
      <c r="L90" s="787" t="s">
        <v>21</v>
      </c>
      <c r="M90" s="791" t="s">
        <v>82</v>
      </c>
      <c r="N90" s="839" t="s">
        <v>1163</v>
      </c>
      <c r="O90" s="786" t="s">
        <v>1154</v>
      </c>
      <c r="P90" s="790" t="s">
        <v>1164</v>
      </c>
      <c r="Q90" s="793" t="s">
        <v>34</v>
      </c>
      <c r="R90" s="791">
        <v>1</v>
      </c>
      <c r="S90" s="793" t="s">
        <v>13</v>
      </c>
      <c r="T90" s="794" t="s">
        <v>128</v>
      </c>
      <c r="U90" s="794" t="s">
        <v>111</v>
      </c>
      <c r="V90" s="795" t="s">
        <v>32</v>
      </c>
      <c r="W90" s="796" t="s">
        <v>33</v>
      </c>
      <c r="X90" s="797"/>
      <c r="Y90" s="798">
        <f>SUM(Y91:Y112)</f>
        <v>43.167671049999988</v>
      </c>
      <c r="Z90" s="799">
        <f>SUM(Z91:Z112)</f>
        <v>116.9712630237478</v>
      </c>
      <c r="AA90" s="800" t="str">
        <f>+AA$2</f>
        <v>SCU75M1</v>
      </c>
      <c r="AB90" s="747"/>
      <c r="AC90" s="801" t="str">
        <f>+AC$2</f>
        <v>SCU75M1</v>
      </c>
      <c r="AD90" s="801" t="str">
        <f>+AD$2</f>
        <v>SCU100M1</v>
      </c>
      <c r="AE90" s="801" t="str">
        <f>+AE$2</f>
        <v>SCU125M1</v>
      </c>
      <c r="AF90" s="802" t="str">
        <f>+AF$2</f>
        <v>SCU150M1</v>
      </c>
      <c r="AH90" s="521"/>
      <c r="AI90" s="503"/>
      <c r="AJ90" s="522"/>
      <c r="AK90" s="522">
        <f>SUM(AJ91:AJ112)</f>
        <v>43.167671049999988</v>
      </c>
      <c r="AL90" s="401"/>
      <c r="AM90" s="523">
        <f>SUM(AL91:AL112)</f>
        <v>116.9712630237478</v>
      </c>
      <c r="AN90" s="503"/>
      <c r="AO90" s="803"/>
      <c r="AP90" s="503"/>
      <c r="AQ90" s="369"/>
      <c r="AR90" s="418"/>
      <c r="AS90" s="483"/>
      <c r="AT90" s="418"/>
      <c r="AU90" s="503"/>
      <c r="AV90" s="803"/>
      <c r="AW90" s="503"/>
      <c r="AX90" s="395"/>
      <c r="AY90" s="395"/>
      <c r="AZ90" s="395"/>
      <c r="BA90" s="395"/>
      <c r="BB90" s="395"/>
      <c r="BC90" s="369"/>
      <c r="BD90" s="395"/>
      <c r="BE90" s="395"/>
      <c r="BF90" s="524"/>
      <c r="BG90" s="395"/>
      <c r="BH90" s="395"/>
      <c r="BI90" s="369"/>
      <c r="BJ90" s="395"/>
      <c r="BK90" s="395"/>
      <c r="BL90" s="395"/>
      <c r="BM90" s="395"/>
      <c r="BN90" s="395"/>
      <c r="BO90" s="395"/>
      <c r="BP90" s="395"/>
      <c r="BQ90" s="369"/>
      <c r="BR90" s="369"/>
      <c r="BS90" s="395"/>
      <c r="BT90" s="369"/>
      <c r="BU90" s="369"/>
      <c r="BV90" s="369"/>
      <c r="BW90" s="369"/>
      <c r="BX90" s="369"/>
      <c r="BY90" s="369"/>
      <c r="CH90" s="395"/>
      <c r="CI90" s="511"/>
    </row>
    <row r="91" spans="1:87" s="747" customFormat="1" ht="13.9" hidden="1" customHeight="1" outlineLevel="1">
      <c r="A91" s="804"/>
      <c r="B91" s="805" t="s">
        <v>1314</v>
      </c>
      <c r="C91" s="840" t="str">
        <f>+G$4</f>
        <v>GI</v>
      </c>
      <c r="D91" s="807"/>
      <c r="E91" s="808">
        <f>+E90-2*G91</f>
        <v>795</v>
      </c>
      <c r="F91" s="809">
        <f>+F90-G91*2</f>
        <v>1108</v>
      </c>
      <c r="G91" s="809">
        <f>+X$21</f>
        <v>40</v>
      </c>
      <c r="H91" s="457" t="s">
        <v>97</v>
      </c>
      <c r="I91" s="810"/>
      <c r="J91" s="811">
        <v>1.5</v>
      </c>
      <c r="K91" s="808">
        <f>E91+$D$43*2</f>
        <v>825</v>
      </c>
      <c r="L91" s="809">
        <f>F91+$D$43*2</f>
        <v>1138</v>
      </c>
      <c r="M91" s="812">
        <f>+S$43</f>
        <v>8030</v>
      </c>
      <c r="N91" s="813">
        <f>IF(I91&gt;0,22/28*((I91/1000)^2-(I91/1000-2*J91/1000)^2)*K91/1000,IF(J91&gt;0,J91/1000*K91/1000*L91/1000, IF(K91&gt;0,K91/1000*L91/1000, IF(L91=0,1,L91/1000))))</f>
        <v>1.4082750000000001E-3</v>
      </c>
      <c r="O91" s="814">
        <v>1</v>
      </c>
      <c r="P91" s="811">
        <f>M91*N91*O91</f>
        <v>11.30844825</v>
      </c>
      <c r="Q91" s="815">
        <v>1.2</v>
      </c>
      <c r="R91" s="816">
        <f>+R$90</f>
        <v>1</v>
      </c>
      <c r="S91" s="815">
        <f t="shared" si="6"/>
        <v>13.570137899999999</v>
      </c>
      <c r="T91" s="817" t="s">
        <v>115</v>
      </c>
      <c r="U91" s="818">
        <f>+T$43</f>
        <v>22500</v>
      </c>
      <c r="V91" s="819">
        <f t="shared" si="5"/>
        <v>6.8240753377917299E-5</v>
      </c>
      <c r="W91" s="811">
        <v>1</v>
      </c>
      <c r="X91" s="820">
        <v>1</v>
      </c>
      <c r="Y91" s="821">
        <f t="shared" ref="Y91:Y109" si="8">+P91*R91*AA91*X91</f>
        <v>11.30844825</v>
      </c>
      <c r="Z91" s="822">
        <f t="shared" ref="Z91:Z109" si="9">S91*U91*V91*W91</f>
        <v>20.835819759110141</v>
      </c>
      <c r="AA91" s="823">
        <v>1</v>
      </c>
      <c r="AB91" s="824"/>
      <c r="AC91" s="825">
        <v>1</v>
      </c>
      <c r="AD91" s="825">
        <v>1</v>
      </c>
      <c r="AE91" s="814">
        <v>1</v>
      </c>
      <c r="AF91" s="825">
        <v>1</v>
      </c>
      <c r="AG91" s="826"/>
      <c r="AH91" s="827"/>
      <c r="AJ91" s="828">
        <f t="shared" ref="AJ91:AJ127" si="10">+Y91</f>
        <v>11.30844825</v>
      </c>
      <c r="AK91" s="828"/>
      <c r="AL91" s="828">
        <f t="shared" ref="AL91:AL127" si="11">+Z91</f>
        <v>20.835819759110141</v>
      </c>
      <c r="AM91" s="828"/>
      <c r="AO91" s="829"/>
      <c r="AS91" s="828"/>
      <c r="AV91" s="829"/>
      <c r="BF91" s="830"/>
      <c r="CI91" s="830"/>
    </row>
    <row r="92" spans="1:87" s="418" customFormat="1" ht="13.9" hidden="1" customHeight="1" outlineLevel="1">
      <c r="B92" s="445" t="s">
        <v>1311</v>
      </c>
      <c r="C92" s="418" t="str">
        <f>IF(N$4=1,"Panel Powder Coating", "Panel No Coating")</f>
        <v>Panel Powder Coating</v>
      </c>
      <c r="D92" s="504"/>
      <c r="E92" s="447"/>
      <c r="F92" s="831"/>
      <c r="G92" s="831"/>
      <c r="H92" s="459" t="s">
        <v>54</v>
      </c>
      <c r="I92" s="832"/>
      <c r="J92" s="446"/>
      <c r="K92" s="447">
        <f>+K91</f>
        <v>825</v>
      </c>
      <c r="L92" s="448">
        <f>+L91</f>
        <v>1138</v>
      </c>
      <c r="M92" s="449">
        <v>2</v>
      </c>
      <c r="N92" s="833">
        <f>IF(I92&gt;0,22/28*((I92/1000)^2-(I92/1000-2*J92/1000)^2)*K92/1000,IF(J92&gt;0,J92/1000*K92/1000*L92/1000, IF(K92&gt;0,K92/1000*L92/1000, IF(L92=0,1,L92/1000))))</f>
        <v>0.93884999999999996</v>
      </c>
      <c r="O92" s="451">
        <f>+O91</f>
        <v>1</v>
      </c>
      <c r="P92" s="446">
        <f>M92*N92*O92</f>
        <v>1.8776999999999999</v>
      </c>
      <c r="Q92" s="452">
        <v>1.1000000000000001</v>
      </c>
      <c r="R92" s="487">
        <f>+R$85</f>
        <v>1</v>
      </c>
      <c r="S92" s="452">
        <f t="shared" si="6"/>
        <v>2.0654699999999999</v>
      </c>
      <c r="T92" s="426" t="s">
        <v>115</v>
      </c>
      <c r="U92" s="834">
        <f>+Q$11</f>
        <v>65000</v>
      </c>
      <c r="V92" s="835">
        <f>1/VLOOKUP(T92,Y$12:Z$18,2,FALSE)</f>
        <v>6.8240753377917299E-5</v>
      </c>
      <c r="W92" s="446">
        <v>1</v>
      </c>
      <c r="X92" s="836">
        <f>+P$11</f>
        <v>0.25</v>
      </c>
      <c r="Y92" s="837">
        <f>+P92*R92*AA92*X92</f>
        <v>0.46942499999999998</v>
      </c>
      <c r="Z92" s="838">
        <f>S92*U92*V92*W92</f>
        <v>9.1616998771666438</v>
      </c>
      <c r="AA92" s="456">
        <f>+AA91</f>
        <v>1</v>
      </c>
      <c r="AC92" s="444">
        <f>+AC91</f>
        <v>1</v>
      </c>
      <c r="AD92" s="444">
        <f t="shared" ref="AD92:AF94" si="12">+AD91</f>
        <v>1</v>
      </c>
      <c r="AE92" s="444">
        <f t="shared" si="12"/>
        <v>1</v>
      </c>
      <c r="AF92" s="444">
        <f t="shared" si="12"/>
        <v>1</v>
      </c>
      <c r="AG92" s="479"/>
      <c r="AH92" s="721"/>
      <c r="AI92" s="479"/>
      <c r="AJ92" s="483">
        <f>+Y92</f>
        <v>0.46942499999999998</v>
      </c>
      <c r="AK92" s="522"/>
      <c r="AL92" s="401">
        <f>+Z92</f>
        <v>9.1616998771666438</v>
      </c>
      <c r="AM92" s="523"/>
      <c r="AN92" s="479"/>
      <c r="AO92" s="803"/>
      <c r="AP92" s="479"/>
      <c r="AQ92" s="369"/>
      <c r="AS92" s="483"/>
      <c r="AU92" s="479"/>
      <c r="AV92" s="803"/>
      <c r="AW92" s="479"/>
      <c r="AX92" s="395"/>
      <c r="AY92" s="395"/>
      <c r="AZ92" s="395"/>
      <c r="BA92" s="395"/>
      <c r="BB92" s="395"/>
      <c r="BC92" s="369"/>
      <c r="BD92" s="395"/>
      <c r="BE92" s="395"/>
      <c r="BF92" s="524"/>
      <c r="BG92" s="395"/>
      <c r="BH92" s="395"/>
      <c r="BI92" s="369"/>
      <c r="BJ92" s="395"/>
      <c r="BK92" s="395"/>
      <c r="BL92" s="395"/>
      <c r="BM92" s="395"/>
      <c r="BN92" s="395"/>
      <c r="BO92" s="395"/>
      <c r="BP92" s="395"/>
      <c r="BQ92" s="369"/>
      <c r="BR92" s="369"/>
      <c r="BS92" s="395"/>
      <c r="BT92" s="369"/>
      <c r="BU92" s="369"/>
      <c r="BV92" s="369"/>
      <c r="BW92" s="369"/>
      <c r="BX92" s="369"/>
      <c r="BY92" s="369"/>
      <c r="BZ92" s="369"/>
      <c r="CH92" s="395"/>
      <c r="CI92" s="511"/>
    </row>
    <row r="93" spans="1:87" s="747" customFormat="1" ht="13.9" hidden="1" customHeight="1" outlineLevel="1">
      <c r="A93" s="804"/>
      <c r="B93" s="805" t="s">
        <v>1315</v>
      </c>
      <c r="C93" s="806" t="str">
        <f>+G$4</f>
        <v>GI</v>
      </c>
      <c r="D93" s="807"/>
      <c r="E93" s="808">
        <f>+D90-G93*2</f>
        <v>870</v>
      </c>
      <c r="F93" s="809">
        <f>+E90-G93*2</f>
        <v>795</v>
      </c>
      <c r="G93" s="809">
        <f>+X$21</f>
        <v>40</v>
      </c>
      <c r="H93" s="457" t="s">
        <v>97</v>
      </c>
      <c r="I93" s="810"/>
      <c r="J93" s="811">
        <v>1.5</v>
      </c>
      <c r="K93" s="808">
        <f>E93+$D$43*2+20*2</f>
        <v>940</v>
      </c>
      <c r="L93" s="809">
        <f>F93+$D$43*2+20*2</f>
        <v>865</v>
      </c>
      <c r="M93" s="812">
        <f>+S$43</f>
        <v>8030</v>
      </c>
      <c r="N93" s="813">
        <f t="shared" ref="N93:N109" si="13">IF(I93&gt;0,22/28*((I93/1000)^2-(I93/1000-2*J93/1000)^2)*K93/1000,IF(J93&gt;0,J93/1000*K93/1000*L93/1000, IF(K93&gt;0,K93/1000*L93/1000, IF(L93=0,1,L93/1000))))</f>
        <v>1.2196499999999999E-3</v>
      </c>
      <c r="O93" s="814">
        <v>1</v>
      </c>
      <c r="P93" s="811">
        <f t="shared" ref="P93:P109" si="14">M93*N93*O93</f>
        <v>9.793789499999999</v>
      </c>
      <c r="Q93" s="815">
        <v>1.2</v>
      </c>
      <c r="R93" s="841">
        <f t="shared" ref="R93:R111" si="15">+R$90</f>
        <v>1</v>
      </c>
      <c r="S93" s="815">
        <f t="shared" si="6"/>
        <v>11.752547399999999</v>
      </c>
      <c r="T93" s="817" t="s">
        <v>115</v>
      </c>
      <c r="U93" s="818">
        <f>+T$43</f>
        <v>22500</v>
      </c>
      <c r="V93" s="819">
        <f t="shared" si="5"/>
        <v>6.8240753377917299E-5</v>
      </c>
      <c r="W93" s="811">
        <v>1</v>
      </c>
      <c r="X93" s="820">
        <v>1</v>
      </c>
      <c r="Y93" s="821">
        <f t="shared" si="8"/>
        <v>9.793789499999999</v>
      </c>
      <c r="Z93" s="822">
        <f t="shared" si="9"/>
        <v>18.045060495427869</v>
      </c>
      <c r="AA93" s="823">
        <v>1</v>
      </c>
      <c r="AB93" s="824"/>
      <c r="AC93" s="825">
        <v>1</v>
      </c>
      <c r="AD93" s="825">
        <v>1</v>
      </c>
      <c r="AE93" s="814">
        <v>1</v>
      </c>
      <c r="AF93" s="825"/>
      <c r="AG93" s="826"/>
      <c r="AH93" s="827"/>
      <c r="AJ93" s="828">
        <f t="shared" si="10"/>
        <v>9.793789499999999</v>
      </c>
      <c r="AK93" s="828"/>
      <c r="AL93" s="828">
        <f t="shared" si="11"/>
        <v>18.045060495427869</v>
      </c>
      <c r="AM93" s="828"/>
      <c r="AO93" s="829"/>
      <c r="AS93" s="828"/>
      <c r="AV93" s="829"/>
      <c r="BF93" s="830"/>
      <c r="CI93" s="830"/>
    </row>
    <row r="94" spans="1:87" s="418" customFormat="1" ht="13.9" hidden="1" customHeight="1" outlineLevel="1">
      <c r="B94" s="445" t="s">
        <v>1311</v>
      </c>
      <c r="C94" s="418" t="str">
        <f>IF(N$4=1,"Panel Powder Coating", "Panel No Coating")</f>
        <v>Panel Powder Coating</v>
      </c>
      <c r="D94" s="504"/>
      <c r="E94" s="447"/>
      <c r="F94" s="831"/>
      <c r="G94" s="831"/>
      <c r="H94" s="459" t="s">
        <v>54</v>
      </c>
      <c r="I94" s="832"/>
      <c r="J94" s="446"/>
      <c r="K94" s="447">
        <f>+K93</f>
        <v>940</v>
      </c>
      <c r="L94" s="448">
        <f>+L93</f>
        <v>865</v>
      </c>
      <c r="M94" s="449">
        <v>2</v>
      </c>
      <c r="N94" s="833">
        <f>IF(I94&gt;0,22/28*((I94/1000)^2-(I94/1000-2*J94/1000)^2)*K94/1000,IF(J94&gt;0,J94/1000*K94/1000*L94/1000, IF(K94&gt;0,K94/1000*L94/1000, IF(L94=0,1,L94/1000))))</f>
        <v>0.81309999999999993</v>
      </c>
      <c r="O94" s="451">
        <f>+O93</f>
        <v>1</v>
      </c>
      <c r="P94" s="446">
        <f>M94*N94*O94</f>
        <v>1.6261999999999999</v>
      </c>
      <c r="Q94" s="452">
        <v>1.1000000000000001</v>
      </c>
      <c r="R94" s="487">
        <f>+R$85</f>
        <v>1</v>
      </c>
      <c r="S94" s="452">
        <f t="shared" si="6"/>
        <v>1.7888200000000001</v>
      </c>
      <c r="T94" s="426" t="s">
        <v>115</v>
      </c>
      <c r="U94" s="834">
        <f>+Q$11</f>
        <v>65000</v>
      </c>
      <c r="V94" s="835">
        <f>1/VLOOKUP(T94,Y$12:Z$18,2,FALSE)</f>
        <v>6.8240753377917299E-5</v>
      </c>
      <c r="W94" s="446">
        <v>1</v>
      </c>
      <c r="X94" s="836">
        <f>+P$11</f>
        <v>0.25</v>
      </c>
      <c r="Y94" s="837">
        <f>+P94*R94*AA94*X94</f>
        <v>0.40654999999999997</v>
      </c>
      <c r="Z94" s="838">
        <f>S94*U94*V94*W94</f>
        <v>7.934577589736592</v>
      </c>
      <c r="AA94" s="456">
        <f>+AA93</f>
        <v>1</v>
      </c>
      <c r="AC94" s="444">
        <f>+AC93</f>
        <v>1</v>
      </c>
      <c r="AD94" s="444">
        <f t="shared" si="12"/>
        <v>1</v>
      </c>
      <c r="AE94" s="444">
        <f t="shared" si="12"/>
        <v>1</v>
      </c>
      <c r="AF94" s="444"/>
      <c r="AG94" s="479"/>
      <c r="AH94" s="721"/>
      <c r="AI94" s="479"/>
      <c r="AJ94" s="483">
        <f>+Y94</f>
        <v>0.40654999999999997</v>
      </c>
      <c r="AK94" s="522"/>
      <c r="AL94" s="401">
        <f>+Z94</f>
        <v>7.934577589736592</v>
      </c>
      <c r="AM94" s="523"/>
      <c r="AN94" s="479"/>
      <c r="AO94" s="803"/>
      <c r="AP94" s="479"/>
      <c r="AQ94" s="369"/>
      <c r="AS94" s="483"/>
      <c r="AU94" s="479"/>
      <c r="AV94" s="803"/>
      <c r="AW94" s="479"/>
      <c r="AX94" s="395"/>
      <c r="AY94" s="395"/>
      <c r="AZ94" s="395"/>
      <c r="BA94" s="395"/>
      <c r="BB94" s="395"/>
      <c r="BC94" s="369"/>
      <c r="BD94" s="395"/>
      <c r="BE94" s="395"/>
      <c r="BF94" s="524"/>
      <c r="BG94" s="395"/>
      <c r="BH94" s="395"/>
      <c r="BI94" s="369"/>
      <c r="BJ94" s="395"/>
      <c r="BK94" s="395"/>
      <c r="BL94" s="395"/>
      <c r="BM94" s="395"/>
      <c r="BN94" s="395"/>
      <c r="BO94" s="395"/>
      <c r="BP94" s="395"/>
      <c r="BQ94" s="369"/>
      <c r="BR94" s="369"/>
      <c r="BS94" s="395"/>
      <c r="BT94" s="369"/>
      <c r="BU94" s="369"/>
      <c r="BV94" s="369"/>
      <c r="BW94" s="369"/>
      <c r="BX94" s="369"/>
      <c r="BY94" s="369"/>
      <c r="BZ94" s="369"/>
      <c r="CH94" s="395"/>
      <c r="CI94" s="511"/>
    </row>
    <row r="95" spans="1:87" s="747" customFormat="1" ht="13.9" hidden="1" customHeight="1" outlineLevel="1">
      <c r="A95" s="804"/>
      <c r="B95" s="805" t="s">
        <v>1316</v>
      </c>
      <c r="C95" s="806" t="str">
        <f>+G$4</f>
        <v>GI</v>
      </c>
      <c r="D95" s="807"/>
      <c r="E95" s="808">
        <f>+F90-G95*2</f>
        <v>1108</v>
      </c>
      <c r="F95" s="809">
        <f>+E90-G95*2</f>
        <v>795</v>
      </c>
      <c r="G95" s="809">
        <f>+X$21</f>
        <v>40</v>
      </c>
      <c r="H95" s="457" t="s">
        <v>97</v>
      </c>
      <c r="I95" s="810"/>
      <c r="J95" s="811">
        <v>1.5</v>
      </c>
      <c r="K95" s="808">
        <f>E95+$D$43*2+20*2</f>
        <v>1178</v>
      </c>
      <c r="L95" s="809">
        <f>F95+$D$43*2+20*2</f>
        <v>865</v>
      </c>
      <c r="M95" s="812">
        <f>+S$43</f>
        <v>8030</v>
      </c>
      <c r="N95" s="813">
        <f t="shared" ref="N95" si="16">IF(I95&gt;0,22/28*((I95/1000)^2-(I95/1000-2*J95/1000)^2)*K95/1000,IF(J95&gt;0,J95/1000*K95/1000*L95/1000, IF(K95&gt;0,K95/1000*L95/1000, IF(L95=0,1,L95/1000))))</f>
        <v>1.5284550000000002E-3</v>
      </c>
      <c r="O95" s="814">
        <v>1</v>
      </c>
      <c r="P95" s="811">
        <f t="shared" ref="P95" si="17">M95*N95*O95</f>
        <v>12.273493650000001</v>
      </c>
      <c r="Q95" s="815">
        <v>1.2</v>
      </c>
      <c r="R95" s="841">
        <f t="shared" si="15"/>
        <v>1</v>
      </c>
      <c r="S95" s="815">
        <f t="shared" si="6"/>
        <v>0</v>
      </c>
      <c r="T95" s="817" t="s">
        <v>115</v>
      </c>
      <c r="U95" s="818">
        <f>+T$43</f>
        <v>22500</v>
      </c>
      <c r="V95" s="819">
        <f t="shared" ref="V95" si="18">1/VLOOKUP(T95,Y$12:Z$18,2,FALSE)</f>
        <v>6.8240753377917299E-5</v>
      </c>
      <c r="W95" s="811">
        <v>1</v>
      </c>
      <c r="X95" s="820">
        <v>1</v>
      </c>
      <c r="Y95" s="821">
        <f t="shared" ref="Y95" si="19">+P95*R95*AA95*X95</f>
        <v>0</v>
      </c>
      <c r="Z95" s="822">
        <f t="shared" ref="Z95" si="20">S95*U95*V95*W95</f>
        <v>0</v>
      </c>
      <c r="AA95" s="823"/>
      <c r="AB95" s="824"/>
      <c r="AC95" s="825"/>
      <c r="AD95" s="825"/>
      <c r="AE95" s="814"/>
      <c r="AF95" s="825">
        <v>1</v>
      </c>
      <c r="AG95" s="826"/>
      <c r="AH95" s="827"/>
      <c r="AJ95" s="828">
        <f t="shared" ref="AJ95" si="21">+Y95</f>
        <v>0</v>
      </c>
      <c r="AK95" s="828"/>
      <c r="AL95" s="828">
        <f t="shared" ref="AL95" si="22">+Z95</f>
        <v>0</v>
      </c>
      <c r="AM95" s="828"/>
      <c r="AO95" s="829"/>
      <c r="AS95" s="828"/>
      <c r="AV95" s="829"/>
      <c r="BF95" s="830"/>
      <c r="CI95" s="830"/>
    </row>
    <row r="96" spans="1:87" s="418" customFormat="1" ht="13.9" hidden="1" customHeight="1" outlineLevel="1">
      <c r="B96" s="445" t="s">
        <v>1311</v>
      </c>
      <c r="C96" s="418" t="str">
        <f>IF(N$4=1,"Panel Powder Coating", "Panel No Coating")</f>
        <v>Panel Powder Coating</v>
      </c>
      <c r="D96" s="504"/>
      <c r="E96" s="447"/>
      <c r="F96" s="831"/>
      <c r="G96" s="831"/>
      <c r="H96" s="459" t="s">
        <v>54</v>
      </c>
      <c r="I96" s="832"/>
      <c r="J96" s="446"/>
      <c r="K96" s="447">
        <f>+K95</f>
        <v>1178</v>
      </c>
      <c r="L96" s="448">
        <f>+L95</f>
        <v>865</v>
      </c>
      <c r="M96" s="449">
        <v>2</v>
      </c>
      <c r="N96" s="833">
        <f>IF(I96&gt;0,22/28*((I96/1000)^2-(I96/1000-2*J96/1000)^2)*K96/1000,IF(J96&gt;0,J96/1000*K96/1000*L96/1000, IF(K96&gt;0,K96/1000*L96/1000, IF(L96=0,1,L96/1000))))</f>
        <v>1.0189699999999999</v>
      </c>
      <c r="O96" s="451">
        <f>+O95</f>
        <v>1</v>
      </c>
      <c r="P96" s="446">
        <f>M96*N96*O96</f>
        <v>2.0379399999999999</v>
      </c>
      <c r="Q96" s="452">
        <v>1.1000000000000001</v>
      </c>
      <c r="R96" s="487">
        <f>+R$85</f>
        <v>1</v>
      </c>
      <c r="S96" s="452">
        <f t="shared" si="6"/>
        <v>0</v>
      </c>
      <c r="T96" s="426" t="s">
        <v>115</v>
      </c>
      <c r="U96" s="834">
        <f>+Q$11</f>
        <v>65000</v>
      </c>
      <c r="V96" s="835">
        <f>1/VLOOKUP(T96,Y$12:Z$18,2,FALSE)</f>
        <v>6.8240753377917299E-5</v>
      </c>
      <c r="W96" s="446">
        <v>1</v>
      </c>
      <c r="X96" s="836">
        <f>+P$11</f>
        <v>0.25</v>
      </c>
      <c r="Y96" s="837">
        <f>+P96*R96*AA96*X96</f>
        <v>0</v>
      </c>
      <c r="Z96" s="838">
        <f>S96*U96*V96*W96</f>
        <v>0</v>
      </c>
      <c r="AA96" s="456"/>
      <c r="AC96" s="444"/>
      <c r="AD96" s="444"/>
      <c r="AE96" s="444"/>
      <c r="AF96" s="444">
        <f t="shared" ref="AF96" si="23">+AF95</f>
        <v>1</v>
      </c>
      <c r="AG96" s="479"/>
      <c r="AH96" s="721"/>
      <c r="AI96" s="479"/>
      <c r="AJ96" s="483">
        <f>+Y96</f>
        <v>0</v>
      </c>
      <c r="AK96" s="522"/>
      <c r="AL96" s="401">
        <f>+Z96</f>
        <v>0</v>
      </c>
      <c r="AM96" s="523"/>
      <c r="AN96" s="479"/>
      <c r="AO96" s="803"/>
      <c r="AP96" s="479"/>
      <c r="AQ96" s="369"/>
      <c r="AS96" s="483"/>
      <c r="AU96" s="479"/>
      <c r="AV96" s="803"/>
      <c r="AW96" s="479"/>
      <c r="AX96" s="395"/>
      <c r="AY96" s="395"/>
      <c r="AZ96" s="395"/>
      <c r="BA96" s="395"/>
      <c r="BB96" s="395"/>
      <c r="BC96" s="369"/>
      <c r="BD96" s="395"/>
      <c r="BE96" s="395"/>
      <c r="BF96" s="524"/>
      <c r="BG96" s="395"/>
      <c r="BH96" s="395"/>
      <c r="BI96" s="369"/>
      <c r="BJ96" s="395"/>
      <c r="BK96" s="395"/>
      <c r="BL96" s="395"/>
      <c r="BM96" s="395"/>
      <c r="BN96" s="395"/>
      <c r="BO96" s="395"/>
      <c r="BP96" s="395"/>
      <c r="BQ96" s="369"/>
      <c r="BR96" s="369"/>
      <c r="BS96" s="395"/>
      <c r="BT96" s="369"/>
      <c r="BU96" s="369"/>
      <c r="BV96" s="369"/>
      <c r="BW96" s="369"/>
      <c r="BX96" s="369"/>
      <c r="BY96" s="369"/>
      <c r="BZ96" s="369"/>
      <c r="CH96" s="395"/>
      <c r="CI96" s="511"/>
    </row>
    <row r="97" spans="1:87" s="747" customFormat="1" ht="13.9" hidden="1" customHeight="1" outlineLevel="1">
      <c r="A97" s="804"/>
      <c r="B97" s="805" t="s">
        <v>1317</v>
      </c>
      <c r="C97" s="806" t="str">
        <f>+G$4</f>
        <v>GI</v>
      </c>
      <c r="D97" s="807"/>
      <c r="E97" s="808">
        <f>+E90-G97*2</f>
        <v>795</v>
      </c>
      <c r="F97" s="809">
        <v>238</v>
      </c>
      <c r="G97" s="809">
        <f>+X$21</f>
        <v>40</v>
      </c>
      <c r="H97" s="457" t="s">
        <v>97</v>
      </c>
      <c r="I97" s="810"/>
      <c r="J97" s="811">
        <v>1</v>
      </c>
      <c r="K97" s="808">
        <f>E97+$D$43*2+20*2</f>
        <v>865</v>
      </c>
      <c r="L97" s="809">
        <f>F97+$D$43*2+20*2</f>
        <v>308</v>
      </c>
      <c r="M97" s="812">
        <f>+S$43</f>
        <v>8030</v>
      </c>
      <c r="N97" s="813">
        <f>IF(I97&gt;0,22/28*((I97/1000)^2-(I97/1000-2*J97/1000)^2)*K97/1000,IF(J97&gt;0,J97/1000*K97/1000*L97/1000, IF(K97&gt;0,K97/1000*L97/1000, IF(L97=0,1,L97/1000))))</f>
        <v>2.6642000000000001E-4</v>
      </c>
      <c r="O97" s="814">
        <v>1</v>
      </c>
      <c r="P97" s="811">
        <f>M97*N97*O97</f>
        <v>2.1393526</v>
      </c>
      <c r="Q97" s="815">
        <v>1.2</v>
      </c>
      <c r="R97" s="841">
        <f t="shared" si="15"/>
        <v>1</v>
      </c>
      <c r="S97" s="815">
        <f>P97*AA97*Q97*R97</f>
        <v>2.56722312</v>
      </c>
      <c r="T97" s="817" t="s">
        <v>115</v>
      </c>
      <c r="U97" s="818">
        <f>+T$43</f>
        <v>22500</v>
      </c>
      <c r="V97" s="819">
        <f>1/VLOOKUP(T97,Y$12:Z$18,2,FALSE)</f>
        <v>6.8240753377917299E-5</v>
      </c>
      <c r="W97" s="811">
        <v>1</v>
      </c>
      <c r="X97" s="820">
        <v>1</v>
      </c>
      <c r="Y97" s="821">
        <f>+P97*R97*AA97*X97</f>
        <v>2.1393526</v>
      </c>
      <c r="Z97" s="822">
        <f>S97*U97*V97*W97</f>
        <v>3.941757895455166</v>
      </c>
      <c r="AA97" s="823">
        <v>1</v>
      </c>
      <c r="AB97" s="824"/>
      <c r="AC97" s="825">
        <v>1</v>
      </c>
      <c r="AD97" s="825">
        <v>1</v>
      </c>
      <c r="AE97" s="814">
        <v>1</v>
      </c>
      <c r="AF97" s="825"/>
      <c r="AG97" s="826"/>
      <c r="AH97" s="827"/>
      <c r="AJ97" s="828">
        <f>+Y97</f>
        <v>2.1393526</v>
      </c>
      <c r="AK97" s="828"/>
      <c r="AL97" s="828">
        <f>+Z97</f>
        <v>3.941757895455166</v>
      </c>
      <c r="AM97" s="828"/>
      <c r="AO97" s="829"/>
      <c r="AS97" s="828"/>
      <c r="AV97" s="829"/>
      <c r="BF97" s="830"/>
      <c r="CI97" s="830"/>
    </row>
    <row r="98" spans="1:87" s="418" customFormat="1" ht="13.9" hidden="1" customHeight="1" outlineLevel="1">
      <c r="B98" s="463" t="s">
        <v>1311</v>
      </c>
      <c r="C98" s="842" t="str">
        <f>IF(N$4=1,"Powder Coating", "No Coating")</f>
        <v>Powder Coating</v>
      </c>
      <c r="D98" s="843"/>
      <c r="E98" s="465"/>
      <c r="F98" s="844"/>
      <c r="G98" s="844"/>
      <c r="H98" s="485" t="s">
        <v>54</v>
      </c>
      <c r="I98" s="845"/>
      <c r="J98" s="464"/>
      <c r="K98" s="465">
        <f>+K97</f>
        <v>865</v>
      </c>
      <c r="L98" s="466">
        <f>+L97</f>
        <v>308</v>
      </c>
      <c r="M98" s="467">
        <v>2</v>
      </c>
      <c r="N98" s="846">
        <f>IF(I98&gt;0,22/28*((I98/1000)^2-(I98/1000-2*J98/1000)^2)*K98/1000,IF(J98&gt;0,J98/1000*K98/1000*L98/1000, IF(K98&gt;0,K98/1000*L98/1000, IF(L98=0,1,L98/1000))))</f>
        <v>0.26641999999999999</v>
      </c>
      <c r="O98" s="469">
        <f>+O97</f>
        <v>1</v>
      </c>
      <c r="P98" s="464">
        <f>M98*N98*O98</f>
        <v>0.53283999999999998</v>
      </c>
      <c r="Q98" s="470">
        <v>1.1000000000000001</v>
      </c>
      <c r="R98" s="471">
        <f t="shared" si="15"/>
        <v>1</v>
      </c>
      <c r="S98" s="470">
        <f>P98*AA98*Q98*R98</f>
        <v>0.58612399999999998</v>
      </c>
      <c r="T98" s="472" t="s">
        <v>115</v>
      </c>
      <c r="U98" s="847">
        <f>+Q$11</f>
        <v>65000</v>
      </c>
      <c r="V98" s="848">
        <f>1/VLOOKUP(T98,Y$12:Z$18,2,FALSE)</f>
        <v>6.8240753377917299E-5</v>
      </c>
      <c r="W98" s="464">
        <v>1</v>
      </c>
      <c r="X98" s="849">
        <f>+P$11</f>
        <v>0.25</v>
      </c>
      <c r="Y98" s="850">
        <f>+P98*R98*AA98*X98</f>
        <v>0.13321</v>
      </c>
      <c r="Z98" s="851">
        <f>S98*U98*V98*W98</f>
        <v>2.5998403166370956</v>
      </c>
      <c r="AA98" s="473">
        <f>+AA97</f>
        <v>1</v>
      </c>
      <c r="AC98" s="462">
        <f>+AC97</f>
        <v>1</v>
      </c>
      <c r="AD98" s="462">
        <f t="shared" ref="AD98:AE98" si="24">+AD97</f>
        <v>1</v>
      </c>
      <c r="AE98" s="462">
        <f t="shared" si="24"/>
        <v>1</v>
      </c>
      <c r="AF98" s="462"/>
      <c r="AG98" s="479"/>
      <c r="AH98" s="721"/>
      <c r="AI98" s="479"/>
      <c r="AJ98" s="483">
        <f>+Y98</f>
        <v>0.13321</v>
      </c>
      <c r="AK98" s="522"/>
      <c r="AL98" s="401">
        <f>+Z98</f>
        <v>2.5998403166370956</v>
      </c>
      <c r="AM98" s="523"/>
      <c r="AN98" s="479"/>
      <c r="AO98" s="803"/>
      <c r="AP98" s="479"/>
      <c r="AQ98" s="369"/>
      <c r="AS98" s="483"/>
      <c r="AU98" s="479"/>
      <c r="AV98" s="803"/>
      <c r="AW98" s="479"/>
      <c r="AX98" s="395"/>
      <c r="AY98" s="395"/>
      <c r="AZ98" s="395"/>
      <c r="BA98" s="395"/>
      <c r="BB98" s="395"/>
      <c r="BC98" s="369"/>
      <c r="BD98" s="395"/>
      <c r="BE98" s="395"/>
      <c r="BF98" s="524"/>
      <c r="BG98" s="395"/>
      <c r="BH98" s="395"/>
      <c r="BI98" s="369"/>
      <c r="BJ98" s="395"/>
      <c r="BK98" s="395"/>
      <c r="BL98" s="395"/>
      <c r="BM98" s="395"/>
      <c r="BN98" s="395"/>
      <c r="BO98" s="395"/>
      <c r="BP98" s="395"/>
      <c r="BQ98" s="369"/>
      <c r="BR98" s="369"/>
      <c r="BS98" s="395"/>
      <c r="BT98" s="369"/>
      <c r="BU98" s="369"/>
      <c r="BV98" s="369"/>
      <c r="BW98" s="369"/>
      <c r="BX98" s="369"/>
      <c r="BY98" s="369"/>
      <c r="BZ98" s="369"/>
      <c r="CH98" s="395"/>
      <c r="CI98" s="511"/>
    </row>
    <row r="99" spans="1:87" s="747" customFormat="1" ht="13.9" hidden="1" customHeight="1" outlineLevel="1">
      <c r="A99" s="804"/>
      <c r="B99" s="805" t="s">
        <v>1318</v>
      </c>
      <c r="C99" s="806" t="str">
        <f>+G$4</f>
        <v>GI</v>
      </c>
      <c r="D99" s="807"/>
      <c r="E99" s="808">
        <f>+D90-G99*2</f>
        <v>870</v>
      </c>
      <c r="F99" s="809">
        <f>+E90-G99*2</f>
        <v>795</v>
      </c>
      <c r="G99" s="809">
        <f>+X$21</f>
        <v>40</v>
      </c>
      <c r="H99" s="457" t="s">
        <v>97</v>
      </c>
      <c r="I99" s="810"/>
      <c r="J99" s="811">
        <v>1</v>
      </c>
      <c r="K99" s="808">
        <f>E99+$D$43*2+20*2</f>
        <v>940</v>
      </c>
      <c r="L99" s="809">
        <f>F99+$D$43*2+20*2</f>
        <v>865</v>
      </c>
      <c r="M99" s="812">
        <f>+S$43</f>
        <v>8030</v>
      </c>
      <c r="N99" s="813">
        <f t="shared" ref="N99" si="25">IF(I99&gt;0,22/28*((I99/1000)^2-(I99/1000-2*J99/1000)^2)*K99/1000,IF(J99&gt;0,J99/1000*K99/1000*L99/1000, IF(K99&gt;0,K99/1000*L99/1000, IF(L99=0,1,L99/1000))))</f>
        <v>8.1310000000000009E-4</v>
      </c>
      <c r="O99" s="814">
        <v>1</v>
      </c>
      <c r="P99" s="811">
        <f t="shared" ref="P99" si="26">M99*N99*O99</f>
        <v>6.5291930000000002</v>
      </c>
      <c r="Q99" s="815">
        <v>1.2</v>
      </c>
      <c r="R99" s="841">
        <f t="shared" si="15"/>
        <v>1</v>
      </c>
      <c r="S99" s="815">
        <f t="shared" ref="S99:S102" si="27">P99*AA99*Q99*R99</f>
        <v>7.8350315999999998</v>
      </c>
      <c r="T99" s="817" t="s">
        <v>115</v>
      </c>
      <c r="U99" s="818">
        <f>+T$43</f>
        <v>22500</v>
      </c>
      <c r="V99" s="819">
        <f t="shared" ref="V99" si="28">1/VLOOKUP(T99,Y$12:Z$18,2,FALSE)</f>
        <v>6.8240753377917299E-5</v>
      </c>
      <c r="W99" s="811">
        <v>1</v>
      </c>
      <c r="X99" s="820">
        <v>1</v>
      </c>
      <c r="Y99" s="821">
        <f t="shared" ref="Y99" si="29">+P99*R99*AA99*X99</f>
        <v>6.5291930000000002</v>
      </c>
      <c r="Z99" s="822">
        <f t="shared" ref="Z99" si="30">S99*U99*V99*W99</f>
        <v>12.030040330285246</v>
      </c>
      <c r="AA99" s="823">
        <v>1</v>
      </c>
      <c r="AB99" s="824"/>
      <c r="AC99" s="825">
        <v>1</v>
      </c>
      <c r="AD99" s="825">
        <v>1</v>
      </c>
      <c r="AE99" s="814">
        <v>1</v>
      </c>
      <c r="AF99" s="825"/>
      <c r="AG99" s="826"/>
      <c r="AH99" s="827"/>
      <c r="AJ99" s="828">
        <f t="shared" ref="AJ99" si="31">+Y99</f>
        <v>6.5291930000000002</v>
      </c>
      <c r="AK99" s="828"/>
      <c r="AL99" s="828">
        <f t="shared" ref="AL99" si="32">+Z99</f>
        <v>12.030040330285246</v>
      </c>
      <c r="AM99" s="828"/>
      <c r="AO99" s="829"/>
      <c r="AS99" s="828"/>
      <c r="AV99" s="829"/>
      <c r="BF99" s="830"/>
      <c r="CI99" s="830"/>
    </row>
    <row r="100" spans="1:87" s="418" customFormat="1" ht="13.9" hidden="1" customHeight="1" outlineLevel="1">
      <c r="B100" s="445" t="s">
        <v>1311</v>
      </c>
      <c r="C100" s="418" t="str">
        <f>IF(N$4=1,"Panel Powder Coating", "Panel No Coating")</f>
        <v>Panel Powder Coating</v>
      </c>
      <c r="D100" s="504"/>
      <c r="E100" s="447"/>
      <c r="F100" s="831"/>
      <c r="G100" s="831"/>
      <c r="H100" s="459" t="s">
        <v>54</v>
      </c>
      <c r="I100" s="832"/>
      <c r="J100" s="446"/>
      <c r="K100" s="447">
        <f>+K99</f>
        <v>940</v>
      </c>
      <c r="L100" s="448">
        <f>+L99</f>
        <v>865</v>
      </c>
      <c r="M100" s="449">
        <v>2</v>
      </c>
      <c r="N100" s="833">
        <f>IF(I100&gt;0,22/28*((I100/1000)^2-(I100/1000-2*J100/1000)^2)*K100/1000,IF(J100&gt;0,J100/1000*K100/1000*L100/1000, IF(K100&gt;0,K100/1000*L100/1000, IF(L100=0,1,L100/1000))))</f>
        <v>0.81309999999999993</v>
      </c>
      <c r="O100" s="451">
        <f>+O99</f>
        <v>1</v>
      </c>
      <c r="P100" s="446">
        <f>M100*N100*O100</f>
        <v>1.6261999999999999</v>
      </c>
      <c r="Q100" s="452">
        <v>1.1000000000000001</v>
      </c>
      <c r="R100" s="487">
        <f>+R$85</f>
        <v>1</v>
      </c>
      <c r="S100" s="452">
        <f t="shared" si="27"/>
        <v>1.7888200000000001</v>
      </c>
      <c r="T100" s="426" t="s">
        <v>115</v>
      </c>
      <c r="U100" s="834">
        <f>+Q$11</f>
        <v>65000</v>
      </c>
      <c r="V100" s="835">
        <f>1/VLOOKUP(T100,Y$12:Z$18,2,FALSE)</f>
        <v>6.8240753377917299E-5</v>
      </c>
      <c r="W100" s="446">
        <v>1</v>
      </c>
      <c r="X100" s="836">
        <f>+P$11</f>
        <v>0.25</v>
      </c>
      <c r="Y100" s="837">
        <f>+P100*R100*AA100*X100</f>
        <v>0.40654999999999997</v>
      </c>
      <c r="Z100" s="838">
        <f>S100*U100*V100*W100</f>
        <v>7.934577589736592</v>
      </c>
      <c r="AA100" s="456">
        <f>+AA99</f>
        <v>1</v>
      </c>
      <c r="AC100" s="444">
        <f>+AC99</f>
        <v>1</v>
      </c>
      <c r="AD100" s="444">
        <f>+AD99</f>
        <v>1</v>
      </c>
      <c r="AE100" s="444">
        <f>+AE99</f>
        <v>1</v>
      </c>
      <c r="AF100" s="444"/>
      <c r="AG100" s="479"/>
      <c r="AH100" s="721"/>
      <c r="AI100" s="479"/>
      <c r="AJ100" s="483">
        <f>+Y100</f>
        <v>0.40654999999999997</v>
      </c>
      <c r="AK100" s="522"/>
      <c r="AL100" s="401">
        <f>+Z100</f>
        <v>7.934577589736592</v>
      </c>
      <c r="AM100" s="523"/>
      <c r="AN100" s="479"/>
      <c r="AO100" s="803"/>
      <c r="AP100" s="479"/>
      <c r="AQ100" s="369"/>
      <c r="AS100" s="483"/>
      <c r="AU100" s="479"/>
      <c r="AV100" s="803"/>
      <c r="AW100" s="479"/>
      <c r="AX100" s="395"/>
      <c r="AY100" s="395"/>
      <c r="AZ100" s="395"/>
      <c r="BA100" s="395"/>
      <c r="BB100" s="395"/>
      <c r="BC100" s="369"/>
      <c r="BD100" s="395"/>
      <c r="BE100" s="395"/>
      <c r="BF100" s="524"/>
      <c r="BG100" s="395"/>
      <c r="BH100" s="395"/>
      <c r="BI100" s="369"/>
      <c r="BJ100" s="395"/>
      <c r="BK100" s="395"/>
      <c r="BL100" s="395"/>
      <c r="BM100" s="395"/>
      <c r="BN100" s="395"/>
      <c r="BO100" s="395"/>
      <c r="BP100" s="395"/>
      <c r="BQ100" s="369"/>
      <c r="BR100" s="369"/>
      <c r="BS100" s="395"/>
      <c r="BT100" s="369"/>
      <c r="BU100" s="369"/>
      <c r="BV100" s="369"/>
      <c r="BW100" s="369"/>
      <c r="BX100" s="369"/>
      <c r="BY100" s="369"/>
      <c r="BZ100" s="369"/>
      <c r="CH100" s="395"/>
      <c r="CI100" s="511"/>
    </row>
    <row r="101" spans="1:87" s="747" customFormat="1" ht="13.9" hidden="1" customHeight="1" outlineLevel="1">
      <c r="A101" s="804"/>
      <c r="B101" s="805" t="s">
        <v>1319</v>
      </c>
      <c r="C101" s="806" t="str">
        <f>+G$4</f>
        <v>GI</v>
      </c>
      <c r="D101" s="807"/>
      <c r="E101" s="808">
        <f>+D90-G101*2</f>
        <v>870</v>
      </c>
      <c r="F101" s="809">
        <v>100</v>
      </c>
      <c r="G101" s="809">
        <f>+X$21</f>
        <v>40</v>
      </c>
      <c r="H101" s="457" t="s">
        <v>97</v>
      </c>
      <c r="I101" s="810"/>
      <c r="J101" s="811">
        <v>1</v>
      </c>
      <c r="K101" s="808">
        <f>E101+$D$43*2+20*2</f>
        <v>940</v>
      </c>
      <c r="L101" s="809">
        <f>F101+$D$43*2+20*2</f>
        <v>170</v>
      </c>
      <c r="M101" s="812">
        <f>+S$43</f>
        <v>8030</v>
      </c>
      <c r="N101" s="813">
        <f t="shared" ref="N101" si="33">IF(I101&gt;0,22/28*((I101/1000)^2-(I101/1000-2*J101/1000)^2)*K101/1000,IF(J101&gt;0,J101/1000*K101/1000*L101/1000, IF(K101&gt;0,K101/1000*L101/1000, IF(L101=0,1,L101/1000))))</f>
        <v>1.5980000000000004E-4</v>
      </c>
      <c r="O101" s="814">
        <v>1</v>
      </c>
      <c r="P101" s="811">
        <f t="shared" ref="P101" si="34">M101*N101*O101</f>
        <v>1.2831940000000004</v>
      </c>
      <c r="Q101" s="815">
        <v>1.2</v>
      </c>
      <c r="R101" s="841">
        <f t="shared" si="15"/>
        <v>1</v>
      </c>
      <c r="S101" s="815">
        <f t="shared" si="27"/>
        <v>0</v>
      </c>
      <c r="T101" s="817" t="s">
        <v>115</v>
      </c>
      <c r="U101" s="818">
        <f>+T$43</f>
        <v>22500</v>
      </c>
      <c r="V101" s="819">
        <f t="shared" ref="V101" si="35">1/VLOOKUP(T101,Y$12:Z$18,2,FALSE)</f>
        <v>6.8240753377917299E-5</v>
      </c>
      <c r="W101" s="811">
        <v>1</v>
      </c>
      <c r="X101" s="820">
        <v>1</v>
      </c>
      <c r="Y101" s="821">
        <f t="shared" ref="Y101" si="36">+P101*R101*AA101*X101</f>
        <v>0</v>
      </c>
      <c r="Z101" s="822">
        <f t="shared" ref="Z101" si="37">S101*U101*V101*W101</f>
        <v>0</v>
      </c>
      <c r="AA101" s="823"/>
      <c r="AB101" s="824"/>
      <c r="AC101" s="825"/>
      <c r="AD101" s="825"/>
      <c r="AE101" s="814"/>
      <c r="AF101" s="825">
        <v>1</v>
      </c>
      <c r="AG101" s="826"/>
      <c r="AH101" s="827"/>
      <c r="AJ101" s="828">
        <f t="shared" ref="AJ101" si="38">+Y101</f>
        <v>0</v>
      </c>
      <c r="AK101" s="828"/>
      <c r="AL101" s="828">
        <f t="shared" ref="AL101" si="39">+Z101</f>
        <v>0</v>
      </c>
      <c r="AM101" s="828"/>
      <c r="AO101" s="829"/>
      <c r="AS101" s="828"/>
      <c r="AV101" s="829"/>
      <c r="BF101" s="830"/>
      <c r="CI101" s="830"/>
    </row>
    <row r="102" spans="1:87" s="418" customFormat="1" ht="13.9" hidden="1" customHeight="1" outlineLevel="1">
      <c r="B102" s="445" t="s">
        <v>1311</v>
      </c>
      <c r="C102" s="418" t="str">
        <f>IF(N$4=1,"Panel Powder Coating", "Panel No Coating")</f>
        <v>Panel Powder Coating</v>
      </c>
      <c r="D102" s="504"/>
      <c r="E102" s="447"/>
      <c r="F102" s="831"/>
      <c r="G102" s="831"/>
      <c r="H102" s="459" t="s">
        <v>54</v>
      </c>
      <c r="I102" s="832"/>
      <c r="J102" s="446"/>
      <c r="K102" s="447">
        <f>+K101</f>
        <v>940</v>
      </c>
      <c r="L102" s="448">
        <f>+L101</f>
        <v>170</v>
      </c>
      <c r="M102" s="449">
        <v>2</v>
      </c>
      <c r="N102" s="833">
        <f>IF(I102&gt;0,22/28*((I102/1000)^2-(I102/1000-2*J102/1000)^2)*K102/1000,IF(J102&gt;0,J102/1000*K102/1000*L102/1000, IF(K102&gt;0,K102/1000*L102/1000, IF(L102=0,1,L102/1000))))</f>
        <v>0.15979999999999997</v>
      </c>
      <c r="O102" s="451">
        <f>+O101</f>
        <v>1</v>
      </c>
      <c r="P102" s="446">
        <f>M102*N102*O102</f>
        <v>0.31959999999999994</v>
      </c>
      <c r="Q102" s="452">
        <v>1.1000000000000001</v>
      </c>
      <c r="R102" s="487">
        <f>+R$85</f>
        <v>1</v>
      </c>
      <c r="S102" s="452">
        <f t="shared" si="27"/>
        <v>0</v>
      </c>
      <c r="T102" s="426" t="s">
        <v>115</v>
      </c>
      <c r="U102" s="834">
        <f>+Q$11</f>
        <v>65000</v>
      </c>
      <c r="V102" s="835">
        <f>1/VLOOKUP(T102,Y$12:Z$18,2,FALSE)</f>
        <v>6.8240753377917299E-5</v>
      </c>
      <c r="W102" s="446">
        <v>1</v>
      </c>
      <c r="X102" s="836">
        <f>+P$11</f>
        <v>0.25</v>
      </c>
      <c r="Y102" s="837">
        <f>+P102*R102*AA102*X102</f>
        <v>0</v>
      </c>
      <c r="Z102" s="838">
        <f>S102*U102*V102*W102</f>
        <v>0</v>
      </c>
      <c r="AA102" s="456"/>
      <c r="AC102" s="444"/>
      <c r="AD102" s="444"/>
      <c r="AE102" s="444"/>
      <c r="AF102" s="378">
        <f>+AF101</f>
        <v>1</v>
      </c>
      <c r="AG102" s="479"/>
      <c r="AH102" s="721"/>
      <c r="AI102" s="479"/>
      <c r="AJ102" s="483">
        <f>+Y102</f>
        <v>0</v>
      </c>
      <c r="AK102" s="522"/>
      <c r="AL102" s="401">
        <f>+Z102</f>
        <v>0</v>
      </c>
      <c r="AM102" s="523"/>
      <c r="AN102" s="479"/>
      <c r="AO102" s="803"/>
      <c r="AP102" s="479"/>
      <c r="AQ102" s="369"/>
      <c r="AS102" s="483"/>
      <c r="AU102" s="479"/>
      <c r="AV102" s="803"/>
      <c r="AW102" s="479"/>
      <c r="AX102" s="395"/>
      <c r="AY102" s="395"/>
      <c r="AZ102" s="395"/>
      <c r="BA102" s="395"/>
      <c r="BB102" s="395"/>
      <c r="BC102" s="369"/>
      <c r="BD102" s="395"/>
      <c r="BE102" s="395"/>
      <c r="BF102" s="524"/>
      <c r="BG102" s="395"/>
      <c r="BH102" s="395"/>
      <c r="BI102" s="369"/>
      <c r="BJ102" s="395"/>
      <c r="BK102" s="395"/>
      <c r="BL102" s="395"/>
      <c r="BM102" s="395"/>
      <c r="BN102" s="395"/>
      <c r="BO102" s="395"/>
      <c r="BP102" s="395"/>
      <c r="BQ102" s="369"/>
      <c r="BR102" s="369"/>
      <c r="BS102" s="395"/>
      <c r="BT102" s="369"/>
      <c r="BU102" s="369"/>
      <c r="BV102" s="369"/>
      <c r="BW102" s="369"/>
      <c r="BX102" s="369"/>
      <c r="BY102" s="369"/>
      <c r="BZ102" s="369"/>
      <c r="CH102" s="395"/>
      <c r="CI102" s="511"/>
    </row>
    <row r="103" spans="1:87" s="747" customFormat="1" ht="13.9" hidden="1" customHeight="1" outlineLevel="1">
      <c r="A103" s="804"/>
      <c r="B103" s="805" t="s">
        <v>1320</v>
      </c>
      <c r="C103" s="806" t="str">
        <f>+G$4</f>
        <v>GI</v>
      </c>
      <c r="D103" s="807"/>
      <c r="E103" s="808">
        <f>+D90-G103*2</f>
        <v>870</v>
      </c>
      <c r="F103" s="809">
        <v>150</v>
      </c>
      <c r="G103" s="809">
        <f>+X$21</f>
        <v>40</v>
      </c>
      <c r="H103" s="457" t="s">
        <v>97</v>
      </c>
      <c r="I103" s="810"/>
      <c r="J103" s="811">
        <v>1</v>
      </c>
      <c r="K103" s="808">
        <f>E103+$D$43*2+20*2</f>
        <v>940</v>
      </c>
      <c r="L103" s="809">
        <f>F103+$D$43*2+20*2</f>
        <v>220</v>
      </c>
      <c r="M103" s="812">
        <f>+S$43</f>
        <v>8030</v>
      </c>
      <c r="N103" s="813">
        <f t="shared" si="13"/>
        <v>2.0680000000000001E-4</v>
      </c>
      <c r="O103" s="814">
        <v>1</v>
      </c>
      <c r="P103" s="811">
        <f t="shared" si="14"/>
        <v>1.6606040000000002</v>
      </c>
      <c r="Q103" s="815">
        <v>1.2</v>
      </c>
      <c r="R103" s="841">
        <f t="shared" si="15"/>
        <v>1</v>
      </c>
      <c r="S103" s="815">
        <f t="shared" si="6"/>
        <v>1.9927248000000002</v>
      </c>
      <c r="T103" s="817" t="s">
        <v>115</v>
      </c>
      <c r="U103" s="818">
        <f>+T$43</f>
        <v>22500</v>
      </c>
      <c r="V103" s="819">
        <f t="shared" si="5"/>
        <v>6.8240753377917299E-5</v>
      </c>
      <c r="W103" s="811">
        <v>1</v>
      </c>
      <c r="X103" s="820">
        <v>1</v>
      </c>
      <c r="Y103" s="821">
        <f t="shared" si="8"/>
        <v>1.6606040000000002</v>
      </c>
      <c r="Z103" s="822">
        <f t="shared" si="9"/>
        <v>3.0596634366043407</v>
      </c>
      <c r="AA103" s="823">
        <v>1</v>
      </c>
      <c r="AB103" s="824"/>
      <c r="AC103" s="825">
        <v>1</v>
      </c>
      <c r="AD103" s="825">
        <v>1</v>
      </c>
      <c r="AE103" s="814">
        <v>1</v>
      </c>
      <c r="AF103" s="825">
        <v>1</v>
      </c>
      <c r="AG103" s="826"/>
      <c r="AH103" s="827"/>
      <c r="AJ103" s="828">
        <f t="shared" si="10"/>
        <v>1.6606040000000002</v>
      </c>
      <c r="AK103" s="828"/>
      <c r="AL103" s="828">
        <f t="shared" si="11"/>
        <v>3.0596634366043407</v>
      </c>
      <c r="AM103" s="828"/>
      <c r="AO103" s="829"/>
      <c r="AS103" s="828"/>
      <c r="AV103" s="829"/>
      <c r="BF103" s="830"/>
      <c r="CI103" s="830"/>
    </row>
    <row r="104" spans="1:87" s="418" customFormat="1" ht="13.9" hidden="1" customHeight="1" outlineLevel="1">
      <c r="B104" s="445" t="s">
        <v>1311</v>
      </c>
      <c r="C104" s="418" t="str">
        <f>IF(N$4=1,"Panel Powder Coating", "Panel No Coating")</f>
        <v>Panel Powder Coating</v>
      </c>
      <c r="D104" s="504"/>
      <c r="E104" s="447"/>
      <c r="F104" s="831"/>
      <c r="G104" s="831"/>
      <c r="H104" s="459" t="s">
        <v>54</v>
      </c>
      <c r="I104" s="832"/>
      <c r="J104" s="446"/>
      <c r="K104" s="447">
        <f>+K103</f>
        <v>940</v>
      </c>
      <c r="L104" s="448">
        <f>+L103</f>
        <v>220</v>
      </c>
      <c r="M104" s="449">
        <v>2</v>
      </c>
      <c r="N104" s="833">
        <f>IF(I104&gt;0,22/28*((I104/1000)^2-(I104/1000-2*J104/1000)^2)*K104/1000,IF(J104&gt;0,J104/1000*K104/1000*L104/1000, IF(K104&gt;0,K104/1000*L104/1000, IF(L104=0,1,L104/1000))))</f>
        <v>0.20679999999999998</v>
      </c>
      <c r="O104" s="451">
        <f>+O103</f>
        <v>1</v>
      </c>
      <c r="P104" s="446">
        <f>M104*N104*O104</f>
        <v>0.41359999999999997</v>
      </c>
      <c r="Q104" s="452">
        <v>1.1000000000000001</v>
      </c>
      <c r="R104" s="487">
        <f>+R$85</f>
        <v>1</v>
      </c>
      <c r="S104" s="452">
        <f t="shared" si="6"/>
        <v>0.45495999999999998</v>
      </c>
      <c r="T104" s="426" t="s">
        <v>115</v>
      </c>
      <c r="U104" s="834">
        <f>+Q$11</f>
        <v>65000</v>
      </c>
      <c r="V104" s="835">
        <f>1/VLOOKUP(T104,Y$12:Z$18,2,FALSE)</f>
        <v>6.8240753377917299E-5</v>
      </c>
      <c r="W104" s="446">
        <v>1</v>
      </c>
      <c r="X104" s="836">
        <f>+P$11</f>
        <v>0.25</v>
      </c>
      <c r="Y104" s="837">
        <f>+P104*R104*AA104*X104</f>
        <v>0.10339999999999999</v>
      </c>
      <c r="Z104" s="838">
        <f>S104*U104*V104*W104</f>
        <v>2.0180428551931215</v>
      </c>
      <c r="AA104" s="456">
        <f>+AA103</f>
        <v>1</v>
      </c>
      <c r="AC104" s="444">
        <f>+AC103</f>
        <v>1</v>
      </c>
      <c r="AD104" s="444">
        <f t="shared" ref="AD104:AF104" si="40">+AD103</f>
        <v>1</v>
      </c>
      <c r="AE104" s="444">
        <f t="shared" si="40"/>
        <v>1</v>
      </c>
      <c r="AF104" s="444">
        <f t="shared" si="40"/>
        <v>1</v>
      </c>
      <c r="AG104" s="479"/>
      <c r="AH104" s="721"/>
      <c r="AI104" s="479"/>
      <c r="AJ104" s="483">
        <f>+Y104</f>
        <v>0.10339999999999999</v>
      </c>
      <c r="AK104" s="522"/>
      <c r="AL104" s="401">
        <f>+Z104</f>
        <v>2.0180428551931215</v>
      </c>
      <c r="AM104" s="523"/>
      <c r="AN104" s="479"/>
      <c r="AO104" s="803"/>
      <c r="AP104" s="479"/>
      <c r="AQ104" s="369"/>
      <c r="AS104" s="483"/>
      <c r="AU104" s="479"/>
      <c r="AV104" s="803"/>
      <c r="AW104" s="479"/>
      <c r="AX104" s="395"/>
      <c r="AY104" s="395"/>
      <c r="AZ104" s="395"/>
      <c r="BA104" s="395"/>
      <c r="BB104" s="395"/>
      <c r="BC104" s="369"/>
      <c r="BD104" s="395"/>
      <c r="BE104" s="395"/>
      <c r="BF104" s="524"/>
      <c r="BG104" s="395"/>
      <c r="BH104" s="395"/>
      <c r="BI104" s="369"/>
      <c r="BJ104" s="395"/>
      <c r="BK104" s="395"/>
      <c r="BL104" s="395"/>
      <c r="BM104" s="395"/>
      <c r="BN104" s="395"/>
      <c r="BO104" s="395"/>
      <c r="BP104" s="395"/>
      <c r="BQ104" s="369"/>
      <c r="BR104" s="369"/>
      <c r="BS104" s="395"/>
      <c r="BT104" s="369"/>
      <c r="BU104" s="369"/>
      <c r="BV104" s="369"/>
      <c r="BW104" s="369"/>
      <c r="BX104" s="369"/>
      <c r="BY104" s="369"/>
      <c r="BZ104" s="369"/>
      <c r="CH104" s="395"/>
      <c r="CI104" s="511"/>
    </row>
    <row r="105" spans="1:87" s="747" customFormat="1" ht="13.9" hidden="1" customHeight="1" outlineLevel="1">
      <c r="A105" s="804"/>
      <c r="B105" s="805" t="s">
        <v>1321</v>
      </c>
      <c r="C105" s="806" t="str">
        <f>+G$4</f>
        <v>GI</v>
      </c>
      <c r="D105" s="807"/>
      <c r="E105" s="808">
        <f>+E90-150-G105*2</f>
        <v>645</v>
      </c>
      <c r="F105" s="809">
        <v>200</v>
      </c>
      <c r="G105" s="809">
        <f>+X$21</f>
        <v>40</v>
      </c>
      <c r="H105" s="457" t="s">
        <v>97</v>
      </c>
      <c r="I105" s="810"/>
      <c r="J105" s="811">
        <v>1</v>
      </c>
      <c r="K105" s="808">
        <f>E105+$D$43*2+20*2</f>
        <v>715</v>
      </c>
      <c r="L105" s="809">
        <f>F105+$D$43*2+20*2</f>
        <v>270</v>
      </c>
      <c r="M105" s="812">
        <f>+S$43</f>
        <v>8030</v>
      </c>
      <c r="N105" s="813">
        <f t="shared" ref="N105" si="41">IF(I105&gt;0,22/28*((I105/1000)^2-(I105/1000-2*J105/1000)^2)*K105/1000,IF(J105&gt;0,J105/1000*K105/1000*L105/1000, IF(K105&gt;0,K105/1000*L105/1000, IF(L105=0,1,L105/1000))))</f>
        <v>1.9304999999999998E-4</v>
      </c>
      <c r="O105" s="814">
        <v>1</v>
      </c>
      <c r="P105" s="811">
        <f t="shared" ref="P105" si="42">M105*N105*O105</f>
        <v>1.5501914999999997</v>
      </c>
      <c r="Q105" s="815">
        <v>1.2</v>
      </c>
      <c r="R105" s="841">
        <f t="shared" si="15"/>
        <v>1</v>
      </c>
      <c r="S105" s="815">
        <f t="shared" si="6"/>
        <v>1.8602297999999995</v>
      </c>
      <c r="T105" s="817" t="s">
        <v>115</v>
      </c>
      <c r="U105" s="818">
        <f>+T$43</f>
        <v>22500</v>
      </c>
      <c r="V105" s="819">
        <f t="shared" ref="V105" si="43">1/VLOOKUP(T105,Y$12:Z$18,2,FALSE)</f>
        <v>6.8240753377917299E-5</v>
      </c>
      <c r="W105" s="811">
        <v>1</v>
      </c>
      <c r="X105" s="820">
        <v>1</v>
      </c>
      <c r="Y105" s="821">
        <f t="shared" ref="Y105" si="44">+P105*R105*AA105*X105</f>
        <v>1.5501914999999997</v>
      </c>
      <c r="Z105" s="822">
        <f t="shared" ref="Z105" si="45">S105*U105*V105*W105</f>
        <v>2.8562283676811786</v>
      </c>
      <c r="AA105" s="823">
        <v>1</v>
      </c>
      <c r="AB105" s="824"/>
      <c r="AC105" s="825">
        <v>1</v>
      </c>
      <c r="AD105" s="825">
        <v>1</v>
      </c>
      <c r="AE105" s="814">
        <v>1</v>
      </c>
      <c r="AF105" s="825">
        <v>1</v>
      </c>
      <c r="AG105" s="826"/>
      <c r="AH105" s="827"/>
      <c r="AJ105" s="828">
        <f t="shared" ref="AJ105" si="46">+Y105</f>
        <v>1.5501914999999997</v>
      </c>
      <c r="AK105" s="828"/>
      <c r="AL105" s="828">
        <f t="shared" ref="AL105" si="47">+Z105</f>
        <v>2.8562283676811786</v>
      </c>
      <c r="AM105" s="828"/>
      <c r="AO105" s="829"/>
      <c r="AS105" s="828"/>
      <c r="AV105" s="829"/>
      <c r="BF105" s="830"/>
      <c r="CI105" s="830"/>
    </row>
    <row r="106" spans="1:87" s="418" customFormat="1" ht="13.9" hidden="1" customHeight="1" outlineLevel="1">
      <c r="B106" s="445" t="s">
        <v>1311</v>
      </c>
      <c r="C106" s="418" t="str">
        <f>IF(N$4=1,"Panel Powder Coating", "Panel No Coating")</f>
        <v>Panel Powder Coating</v>
      </c>
      <c r="D106" s="504"/>
      <c r="E106" s="447"/>
      <c r="F106" s="831"/>
      <c r="G106" s="831"/>
      <c r="H106" s="459" t="s">
        <v>54</v>
      </c>
      <c r="I106" s="832"/>
      <c r="J106" s="446"/>
      <c r="K106" s="447">
        <f>+K105</f>
        <v>715</v>
      </c>
      <c r="L106" s="448">
        <f>+L105</f>
        <v>270</v>
      </c>
      <c r="M106" s="449">
        <v>2</v>
      </c>
      <c r="N106" s="833">
        <f>IF(I106&gt;0,22/28*((I106/1000)^2-(I106/1000-2*J106/1000)^2)*K106/1000,IF(J106&gt;0,J106/1000*K106/1000*L106/1000, IF(K106&gt;0,K106/1000*L106/1000, IF(L106=0,1,L106/1000))))</f>
        <v>0.19304999999999997</v>
      </c>
      <c r="O106" s="451">
        <f>+O105</f>
        <v>1</v>
      </c>
      <c r="P106" s="446">
        <f>M106*N106*O106</f>
        <v>0.38609999999999994</v>
      </c>
      <c r="Q106" s="452">
        <v>1.1000000000000001</v>
      </c>
      <c r="R106" s="487">
        <f>+R$85</f>
        <v>1</v>
      </c>
      <c r="S106" s="452">
        <f t="shared" si="6"/>
        <v>0.42470999999999998</v>
      </c>
      <c r="T106" s="426" t="s">
        <v>115</v>
      </c>
      <c r="U106" s="834">
        <f>+Q$11</f>
        <v>65000</v>
      </c>
      <c r="V106" s="835">
        <f>1/VLOOKUP(T106,Y$12:Z$18,2,FALSE)</f>
        <v>6.8240753377917299E-5</v>
      </c>
      <c r="W106" s="446">
        <v>1</v>
      </c>
      <c r="X106" s="836">
        <f>+P$11</f>
        <v>0.25</v>
      </c>
      <c r="Y106" s="837">
        <f>+P106*R106*AA106*X106</f>
        <v>9.6524999999999986E-2</v>
      </c>
      <c r="Z106" s="838">
        <f>S106*U106*V106*W106</f>
        <v>1.8838644738637915</v>
      </c>
      <c r="AA106" s="456">
        <f>+AA105</f>
        <v>1</v>
      </c>
      <c r="AC106" s="444">
        <f>+AC105</f>
        <v>1</v>
      </c>
      <c r="AD106" s="444">
        <f t="shared" ref="AD106:AF110" si="48">+AD105</f>
        <v>1</v>
      </c>
      <c r="AE106" s="444">
        <f t="shared" si="48"/>
        <v>1</v>
      </c>
      <c r="AF106" s="444">
        <f t="shared" si="48"/>
        <v>1</v>
      </c>
      <c r="AG106" s="479"/>
      <c r="AH106" s="721"/>
      <c r="AI106" s="479"/>
      <c r="AJ106" s="483">
        <f>+Y106</f>
        <v>9.6524999999999986E-2</v>
      </c>
      <c r="AK106" s="522"/>
      <c r="AL106" s="401">
        <f>+Z106</f>
        <v>1.8838644738637915</v>
      </c>
      <c r="AM106" s="523"/>
      <c r="AN106" s="479"/>
      <c r="AO106" s="803"/>
      <c r="AP106" s="479"/>
      <c r="AQ106" s="369"/>
      <c r="AS106" s="483"/>
      <c r="AU106" s="479"/>
      <c r="AV106" s="803"/>
      <c r="AW106" s="479"/>
      <c r="AX106" s="395"/>
      <c r="AY106" s="395"/>
      <c r="AZ106" s="395"/>
      <c r="BA106" s="395"/>
      <c r="BB106" s="395"/>
      <c r="BC106" s="369"/>
      <c r="BD106" s="395"/>
      <c r="BE106" s="395"/>
      <c r="BF106" s="524"/>
      <c r="BG106" s="395"/>
      <c r="BH106" s="395"/>
      <c r="BI106" s="369"/>
      <c r="BJ106" s="395"/>
      <c r="BK106" s="395"/>
      <c r="BL106" s="395"/>
      <c r="BM106" s="395"/>
      <c r="BN106" s="395"/>
      <c r="BO106" s="395"/>
      <c r="BP106" s="395"/>
      <c r="BQ106" s="369"/>
      <c r="BR106" s="369"/>
      <c r="BS106" s="395"/>
      <c r="BT106" s="369"/>
      <c r="BU106" s="369"/>
      <c r="BV106" s="369"/>
      <c r="BW106" s="369"/>
      <c r="BX106" s="369"/>
      <c r="BY106" s="369"/>
      <c r="BZ106" s="369"/>
      <c r="CH106" s="395"/>
      <c r="CI106" s="511"/>
    </row>
    <row r="107" spans="1:87" s="747" customFormat="1" ht="13.9" hidden="1" customHeight="1" outlineLevel="1">
      <c r="A107" s="804"/>
      <c r="B107" s="805" t="s">
        <v>1322</v>
      </c>
      <c r="C107" s="806" t="str">
        <f>+G$4</f>
        <v>GI</v>
      </c>
      <c r="D107" s="807"/>
      <c r="E107" s="808">
        <f>+E90-150-G107*2</f>
        <v>645</v>
      </c>
      <c r="F107" s="809">
        <f>+D90-200-G107*2</f>
        <v>670</v>
      </c>
      <c r="G107" s="809">
        <f>+X$21</f>
        <v>40</v>
      </c>
      <c r="H107" s="457" t="s">
        <v>97</v>
      </c>
      <c r="I107" s="810"/>
      <c r="J107" s="811">
        <v>1</v>
      </c>
      <c r="K107" s="808">
        <f>E107+$D$43*2+20*2</f>
        <v>715</v>
      </c>
      <c r="L107" s="809">
        <f>F107+$D$43*2+20*2</f>
        <v>740</v>
      </c>
      <c r="M107" s="812">
        <f>+S$43</f>
        <v>8030</v>
      </c>
      <c r="N107" s="813">
        <f t="shared" si="13"/>
        <v>5.290999999999999E-4</v>
      </c>
      <c r="O107" s="814">
        <v>1</v>
      </c>
      <c r="P107" s="811">
        <f t="shared" si="14"/>
        <v>4.2486729999999993</v>
      </c>
      <c r="Q107" s="815">
        <v>1.2</v>
      </c>
      <c r="R107" s="841">
        <f t="shared" si="15"/>
        <v>1</v>
      </c>
      <c r="S107" s="815">
        <f t="shared" si="6"/>
        <v>5.0984075999999989</v>
      </c>
      <c r="T107" s="817" t="s">
        <v>115</v>
      </c>
      <c r="U107" s="818">
        <f>+T$43</f>
        <v>22500</v>
      </c>
      <c r="V107" s="819">
        <f t="shared" si="5"/>
        <v>6.8240753377917299E-5</v>
      </c>
      <c r="W107" s="811">
        <v>1</v>
      </c>
      <c r="X107" s="820">
        <v>1</v>
      </c>
      <c r="Y107" s="821">
        <f t="shared" si="8"/>
        <v>4.2486729999999993</v>
      </c>
      <c r="Z107" s="822">
        <f t="shared" si="9"/>
        <v>7.8281814521632311</v>
      </c>
      <c r="AA107" s="823">
        <v>1</v>
      </c>
      <c r="AB107" s="824"/>
      <c r="AC107" s="825">
        <v>1</v>
      </c>
      <c r="AD107" s="825">
        <v>1</v>
      </c>
      <c r="AE107" s="814">
        <v>1</v>
      </c>
      <c r="AF107" s="825">
        <v>1</v>
      </c>
      <c r="AG107" s="826"/>
      <c r="AH107" s="827"/>
      <c r="AJ107" s="828">
        <f t="shared" si="10"/>
        <v>4.2486729999999993</v>
      </c>
      <c r="AK107" s="828"/>
      <c r="AL107" s="828">
        <f t="shared" si="11"/>
        <v>7.8281814521632311</v>
      </c>
      <c r="AM107" s="828"/>
      <c r="AO107" s="829"/>
      <c r="AS107" s="828"/>
      <c r="AV107" s="829"/>
      <c r="BF107" s="830"/>
      <c r="CI107" s="830"/>
    </row>
    <row r="108" spans="1:87" s="418" customFormat="1" ht="13.9" hidden="1" customHeight="1" outlineLevel="1">
      <c r="B108" s="463" t="s">
        <v>1311</v>
      </c>
      <c r="C108" s="842" t="str">
        <f>IF(N$4=1,"Panel Powder Coating", "Panel No Coating")</f>
        <v>Panel Powder Coating</v>
      </c>
      <c r="D108" s="843"/>
      <c r="E108" s="465"/>
      <c r="F108" s="844"/>
      <c r="G108" s="844"/>
      <c r="H108" s="485" t="s">
        <v>54</v>
      </c>
      <c r="I108" s="845"/>
      <c r="J108" s="464"/>
      <c r="K108" s="465">
        <f>+K107</f>
        <v>715</v>
      </c>
      <c r="L108" s="466">
        <f>+L107</f>
        <v>740</v>
      </c>
      <c r="M108" s="467">
        <v>2</v>
      </c>
      <c r="N108" s="846">
        <f>IF(I108&gt;0,22/28*((I108/1000)^2-(I108/1000-2*J108/1000)^2)*K108/1000,IF(J108&gt;0,J108/1000*K108/1000*L108/1000, IF(K108&gt;0,K108/1000*L108/1000, IF(L108=0,1,L108/1000))))</f>
        <v>0.52910000000000001</v>
      </c>
      <c r="O108" s="469">
        <f>+O107</f>
        <v>1</v>
      </c>
      <c r="P108" s="464">
        <f>M108*N108*O108</f>
        <v>1.0582</v>
      </c>
      <c r="Q108" s="470">
        <v>1.1000000000000001</v>
      </c>
      <c r="R108" s="489">
        <f>+R$85</f>
        <v>1</v>
      </c>
      <c r="S108" s="470">
        <f t="shared" si="6"/>
        <v>1.1640200000000001</v>
      </c>
      <c r="T108" s="472" t="s">
        <v>115</v>
      </c>
      <c r="U108" s="847">
        <f>+Q$11</f>
        <v>65000</v>
      </c>
      <c r="V108" s="848">
        <f>1/VLOOKUP(T108,Y$12:Z$18,2,FALSE)</f>
        <v>6.8240753377917299E-5</v>
      </c>
      <c r="W108" s="464">
        <v>1</v>
      </c>
      <c r="X108" s="849">
        <f>+P$11</f>
        <v>0.25</v>
      </c>
      <c r="Y108" s="850">
        <f>+P108*R108*AA108*X108</f>
        <v>0.26455000000000001</v>
      </c>
      <c r="Z108" s="851">
        <f>S108*U108*V108*W108</f>
        <v>5.1631841135526146</v>
      </c>
      <c r="AA108" s="473">
        <f>+AA107</f>
        <v>1</v>
      </c>
      <c r="AC108" s="462">
        <f>+AC107</f>
        <v>1</v>
      </c>
      <c r="AD108" s="462">
        <f t="shared" si="48"/>
        <v>1</v>
      </c>
      <c r="AE108" s="462">
        <f t="shared" si="48"/>
        <v>1</v>
      </c>
      <c r="AF108" s="462">
        <f t="shared" si="48"/>
        <v>1</v>
      </c>
      <c r="AG108" s="479"/>
      <c r="AH108" s="721"/>
      <c r="AI108" s="479"/>
      <c r="AJ108" s="483">
        <f>+Y108</f>
        <v>0.26455000000000001</v>
      </c>
      <c r="AK108" s="522"/>
      <c r="AL108" s="401">
        <f>+Z108</f>
        <v>5.1631841135526146</v>
      </c>
      <c r="AM108" s="523"/>
      <c r="AN108" s="479"/>
      <c r="AO108" s="803"/>
      <c r="AP108" s="479"/>
      <c r="AQ108" s="369"/>
      <c r="AS108" s="483"/>
      <c r="AU108" s="479"/>
      <c r="AV108" s="803"/>
      <c r="AW108" s="479"/>
      <c r="AX108" s="395"/>
      <c r="AY108" s="395"/>
      <c r="AZ108" s="395"/>
      <c r="BA108" s="395"/>
      <c r="BB108" s="395"/>
      <c r="BC108" s="369"/>
      <c r="BD108" s="395"/>
      <c r="BE108" s="395"/>
      <c r="BF108" s="524"/>
      <c r="BG108" s="395"/>
      <c r="BH108" s="395"/>
      <c r="BI108" s="369"/>
      <c r="BJ108" s="395"/>
      <c r="BK108" s="395"/>
      <c r="BL108" s="395"/>
      <c r="BM108" s="395"/>
      <c r="BN108" s="395"/>
      <c r="BO108" s="395"/>
      <c r="BP108" s="395"/>
      <c r="BQ108" s="369"/>
      <c r="BR108" s="369"/>
      <c r="BS108" s="395"/>
      <c r="BT108" s="369"/>
      <c r="BU108" s="369"/>
      <c r="BV108" s="369"/>
      <c r="BW108" s="369"/>
      <c r="BX108" s="369"/>
      <c r="BY108" s="369"/>
      <c r="BZ108" s="369"/>
      <c r="CH108" s="395"/>
      <c r="CI108" s="511"/>
    </row>
    <row r="109" spans="1:87" s="747" customFormat="1" ht="13.9" hidden="1" customHeight="1" outlineLevel="1">
      <c r="A109" s="804"/>
      <c r="B109" s="805" t="s">
        <v>1323</v>
      </c>
      <c r="C109" s="806" t="str">
        <f>+G$4</f>
        <v>GI</v>
      </c>
      <c r="D109" s="807"/>
      <c r="E109" s="808">
        <f>+D90-G109*2</f>
        <v>870</v>
      </c>
      <c r="F109" s="809">
        <v>183</v>
      </c>
      <c r="G109" s="809">
        <f>+X$21</f>
        <v>40</v>
      </c>
      <c r="H109" s="457" t="s">
        <v>97</v>
      </c>
      <c r="I109" s="810"/>
      <c r="J109" s="811">
        <v>1</v>
      </c>
      <c r="K109" s="808">
        <f>E109+$D$43*2+20*2</f>
        <v>940</v>
      </c>
      <c r="L109" s="809">
        <f>F109+$D$43*2+20*2</f>
        <v>253</v>
      </c>
      <c r="M109" s="812">
        <f>+S$43</f>
        <v>8030</v>
      </c>
      <c r="N109" s="813">
        <f t="shared" si="13"/>
        <v>2.3782000000000002E-4</v>
      </c>
      <c r="O109" s="814">
        <v>2</v>
      </c>
      <c r="P109" s="811">
        <f t="shared" si="14"/>
        <v>3.8193892000000003</v>
      </c>
      <c r="Q109" s="815">
        <v>1.2</v>
      </c>
      <c r="R109" s="841">
        <f t="shared" si="15"/>
        <v>1</v>
      </c>
      <c r="S109" s="815">
        <f t="shared" si="6"/>
        <v>4.58326704</v>
      </c>
      <c r="T109" s="817" t="s">
        <v>115</v>
      </c>
      <c r="U109" s="818">
        <f>+T$43</f>
        <v>22500</v>
      </c>
      <c r="V109" s="819">
        <f t="shared" si="5"/>
        <v>6.8240753377917299E-5</v>
      </c>
      <c r="W109" s="811">
        <v>1</v>
      </c>
      <c r="X109" s="820">
        <v>1</v>
      </c>
      <c r="Y109" s="821">
        <f t="shared" si="8"/>
        <v>3.8193892000000003</v>
      </c>
      <c r="Z109" s="822">
        <f t="shared" si="9"/>
        <v>7.0372259041899836</v>
      </c>
      <c r="AA109" s="823">
        <v>1</v>
      </c>
      <c r="AB109" s="824"/>
      <c r="AC109" s="825">
        <v>1</v>
      </c>
      <c r="AD109" s="825">
        <v>1</v>
      </c>
      <c r="AE109" s="814">
        <v>1</v>
      </c>
      <c r="AF109" s="825"/>
      <c r="AG109" s="826"/>
      <c r="AH109" s="827"/>
      <c r="AJ109" s="828">
        <f t="shared" si="10"/>
        <v>3.8193892000000003</v>
      </c>
      <c r="AK109" s="828"/>
      <c r="AL109" s="828">
        <f t="shared" si="11"/>
        <v>7.0372259041899836</v>
      </c>
      <c r="AM109" s="828"/>
      <c r="AO109" s="829"/>
      <c r="AS109" s="828"/>
      <c r="AV109" s="829"/>
      <c r="BF109" s="830"/>
      <c r="CI109" s="830"/>
    </row>
    <row r="110" spans="1:87" s="418" customFormat="1" ht="13.9" hidden="1" customHeight="1" outlineLevel="1">
      <c r="B110" s="445" t="s">
        <v>1311</v>
      </c>
      <c r="C110" s="418" t="str">
        <f>IF(N$4=1,"Panel Powder Coating", "Panel No Coating")</f>
        <v>Panel Powder Coating</v>
      </c>
      <c r="D110" s="504"/>
      <c r="E110" s="447"/>
      <c r="F110" s="831"/>
      <c r="G110" s="831"/>
      <c r="H110" s="459" t="s">
        <v>54</v>
      </c>
      <c r="I110" s="832"/>
      <c r="J110" s="446"/>
      <c r="K110" s="447">
        <f>+K109</f>
        <v>940</v>
      </c>
      <c r="L110" s="448">
        <f>+L109</f>
        <v>253</v>
      </c>
      <c r="M110" s="449">
        <v>2</v>
      </c>
      <c r="N110" s="833">
        <f>IF(I110&gt;0,22/28*((I110/1000)^2-(I110/1000-2*J110/1000)^2)*K110/1000,IF(J110&gt;0,J110/1000*K110/1000*L110/1000, IF(K110&gt;0,K110/1000*L110/1000, IF(L110=0,1,L110/1000))))</f>
        <v>0.23782</v>
      </c>
      <c r="O110" s="451">
        <f>+O109</f>
        <v>2</v>
      </c>
      <c r="P110" s="446">
        <f>M110*N110*O110</f>
        <v>0.95128000000000001</v>
      </c>
      <c r="Q110" s="452">
        <v>1.1000000000000001</v>
      </c>
      <c r="R110" s="487">
        <f>+R$85</f>
        <v>1</v>
      </c>
      <c r="S110" s="452">
        <f t="shared" si="6"/>
        <v>1.046408</v>
      </c>
      <c r="T110" s="426" t="s">
        <v>115</v>
      </c>
      <c r="U110" s="834">
        <f>+Q$11</f>
        <v>65000</v>
      </c>
      <c r="V110" s="835">
        <f>1/VLOOKUP(T110,Y$12:Z$18,2,FALSE)</f>
        <v>6.8240753377917299E-5</v>
      </c>
      <c r="W110" s="446">
        <v>1</v>
      </c>
      <c r="X110" s="836">
        <f>+P$11</f>
        <v>0.25</v>
      </c>
      <c r="Y110" s="837">
        <f>+P110*R110*AA110*X110</f>
        <v>0.23782</v>
      </c>
      <c r="Z110" s="838">
        <f>S110*U110*V110*W110</f>
        <v>4.6414985669441799</v>
      </c>
      <c r="AA110" s="456">
        <f>+AA109</f>
        <v>1</v>
      </c>
      <c r="AC110" s="444">
        <f>+AC109</f>
        <v>1</v>
      </c>
      <c r="AD110" s="444">
        <f t="shared" si="48"/>
        <v>1</v>
      </c>
      <c r="AE110" s="444">
        <f t="shared" si="48"/>
        <v>1</v>
      </c>
      <c r="AF110" s="444"/>
      <c r="AG110" s="479"/>
      <c r="AH110" s="721"/>
      <c r="AI110" s="479"/>
      <c r="AJ110" s="483">
        <f>+Y110</f>
        <v>0.23782</v>
      </c>
      <c r="AK110" s="522"/>
      <c r="AL110" s="401">
        <f>+Z110</f>
        <v>4.6414985669441799</v>
      </c>
      <c r="AM110" s="523"/>
      <c r="AN110" s="479"/>
      <c r="AO110" s="803"/>
      <c r="AP110" s="479"/>
      <c r="AQ110" s="369"/>
      <c r="AS110" s="483"/>
      <c r="AU110" s="479"/>
      <c r="AV110" s="803"/>
      <c r="AW110" s="479"/>
      <c r="AX110" s="395"/>
      <c r="AY110" s="395"/>
      <c r="AZ110" s="395"/>
      <c r="BA110" s="395"/>
      <c r="BB110" s="395"/>
      <c r="BC110" s="369"/>
      <c r="BD110" s="395"/>
      <c r="BE110" s="395"/>
      <c r="BF110" s="524"/>
      <c r="BG110" s="395"/>
      <c r="BH110" s="395"/>
      <c r="BI110" s="369"/>
      <c r="BJ110" s="395"/>
      <c r="BK110" s="395"/>
      <c r="BL110" s="395"/>
      <c r="BM110" s="395"/>
      <c r="BN110" s="395"/>
      <c r="BO110" s="395"/>
      <c r="BP110" s="395"/>
      <c r="BQ110" s="369"/>
      <c r="BR110" s="369"/>
      <c r="BS110" s="395"/>
      <c r="BT110" s="369"/>
      <c r="BU110" s="369"/>
      <c r="BV110" s="369"/>
      <c r="BW110" s="369"/>
      <c r="BX110" s="369"/>
      <c r="BY110" s="369"/>
      <c r="BZ110" s="369"/>
      <c r="CH110" s="395"/>
      <c r="CI110" s="511"/>
    </row>
    <row r="111" spans="1:87" s="747" customFormat="1" ht="13.9" hidden="1" customHeight="1" outlineLevel="1">
      <c r="A111" s="804"/>
      <c r="B111" s="805" t="s">
        <v>1324</v>
      </c>
      <c r="C111" s="806" t="str">
        <f>+G$4</f>
        <v>GI</v>
      </c>
      <c r="D111" s="807"/>
      <c r="E111" s="808">
        <f>+D90-G111*2</f>
        <v>870</v>
      </c>
      <c r="F111" s="809">
        <v>153</v>
      </c>
      <c r="G111" s="809">
        <f>+X$21</f>
        <v>40</v>
      </c>
      <c r="H111" s="457" t="s">
        <v>97</v>
      </c>
      <c r="I111" s="810"/>
      <c r="J111" s="811">
        <v>1</v>
      </c>
      <c r="K111" s="808">
        <f>E111+$D$43*2+20*2</f>
        <v>940</v>
      </c>
      <c r="L111" s="809">
        <f>F111+$D$43*2+20*2</f>
        <v>223</v>
      </c>
      <c r="M111" s="812">
        <f>+S$43</f>
        <v>8030</v>
      </c>
      <c r="N111" s="813">
        <f t="shared" ref="N111" si="49">IF(I111&gt;0,22/28*((I111/1000)^2-(I111/1000-2*J111/1000)^2)*K111/1000,IF(J111&gt;0,J111/1000*K111/1000*L111/1000, IF(K111&gt;0,K111/1000*L111/1000, IF(L111=0,1,L111/1000))))</f>
        <v>2.0962000000000002E-4</v>
      </c>
      <c r="O111" s="814">
        <v>2</v>
      </c>
      <c r="P111" s="811">
        <f t="shared" ref="P111" si="50">M111*N111*O111</f>
        <v>3.3664972000000004</v>
      </c>
      <c r="Q111" s="815">
        <v>1.2</v>
      </c>
      <c r="R111" s="841">
        <f t="shared" si="15"/>
        <v>1</v>
      </c>
      <c r="S111" s="815">
        <f t="shared" si="6"/>
        <v>0</v>
      </c>
      <c r="T111" s="817" t="s">
        <v>115</v>
      </c>
      <c r="U111" s="818">
        <f>+T$43</f>
        <v>22500</v>
      </c>
      <c r="V111" s="819">
        <f t="shared" ref="V111" si="51">1/VLOOKUP(T111,Y$12:Z$18,2,FALSE)</f>
        <v>6.8240753377917299E-5</v>
      </c>
      <c r="W111" s="811">
        <v>1</v>
      </c>
      <c r="X111" s="820">
        <v>1</v>
      </c>
      <c r="Y111" s="821">
        <f t="shared" ref="Y111" si="52">+P111*R111*AA111*X111</f>
        <v>0</v>
      </c>
      <c r="Z111" s="822">
        <f t="shared" ref="Z111" si="53">S111*U111*V111*W111</f>
        <v>0</v>
      </c>
      <c r="AA111" s="823"/>
      <c r="AB111" s="824"/>
      <c r="AC111" s="825"/>
      <c r="AD111" s="825"/>
      <c r="AE111" s="814"/>
      <c r="AF111" s="825">
        <v>1</v>
      </c>
      <c r="AG111" s="826"/>
      <c r="AH111" s="827"/>
      <c r="AJ111" s="828">
        <f t="shared" ref="AJ111" si="54">+Y111</f>
        <v>0</v>
      </c>
      <c r="AK111" s="828"/>
      <c r="AL111" s="828">
        <f t="shared" ref="AL111" si="55">+Z111</f>
        <v>0</v>
      </c>
      <c r="AM111" s="828"/>
      <c r="AO111" s="829"/>
      <c r="AS111" s="828"/>
      <c r="AV111" s="829"/>
      <c r="BF111" s="830"/>
      <c r="CI111" s="830"/>
    </row>
    <row r="112" spans="1:87" s="418" customFormat="1" ht="13.9" hidden="1" customHeight="1" outlineLevel="1">
      <c r="B112" s="445" t="s">
        <v>1311</v>
      </c>
      <c r="C112" s="418" t="str">
        <f>IF(N$4=1,"Panel Powder Coating", "Panel No Coating")</f>
        <v>Panel Powder Coating</v>
      </c>
      <c r="D112" s="504"/>
      <c r="E112" s="447"/>
      <c r="F112" s="831"/>
      <c r="G112" s="831"/>
      <c r="H112" s="459" t="s">
        <v>54</v>
      </c>
      <c r="I112" s="832"/>
      <c r="J112" s="446"/>
      <c r="K112" s="447">
        <f>+K111</f>
        <v>940</v>
      </c>
      <c r="L112" s="448">
        <f>+L111</f>
        <v>223</v>
      </c>
      <c r="M112" s="449">
        <v>2</v>
      </c>
      <c r="N112" s="833">
        <f>IF(I112&gt;0,22/28*((I112/1000)^2-(I112/1000-2*J112/1000)^2)*K112/1000,IF(J112&gt;0,J112/1000*K112/1000*L112/1000, IF(K112&gt;0,K112/1000*L112/1000, IF(L112=0,1,L112/1000))))</f>
        <v>0.20961999999999997</v>
      </c>
      <c r="O112" s="451">
        <f>+O111</f>
        <v>2</v>
      </c>
      <c r="P112" s="446">
        <f>M112*N112*O112</f>
        <v>0.83847999999999989</v>
      </c>
      <c r="Q112" s="452">
        <v>1.1000000000000001</v>
      </c>
      <c r="R112" s="487">
        <f>+R$85</f>
        <v>1</v>
      </c>
      <c r="S112" s="452">
        <f t="shared" si="6"/>
        <v>0</v>
      </c>
      <c r="T112" s="426" t="s">
        <v>115</v>
      </c>
      <c r="U112" s="834">
        <f>+Q$11</f>
        <v>65000</v>
      </c>
      <c r="V112" s="835">
        <f>1/VLOOKUP(T112,Y$12:Z$18,2,FALSE)</f>
        <v>6.8240753377917299E-5</v>
      </c>
      <c r="W112" s="446">
        <v>1</v>
      </c>
      <c r="X112" s="836">
        <f>+P$11</f>
        <v>0.25</v>
      </c>
      <c r="Y112" s="837">
        <f>+P112*R112*AA112*X112</f>
        <v>0</v>
      </c>
      <c r="Z112" s="838">
        <f>S112*U112*V112*W112</f>
        <v>0</v>
      </c>
      <c r="AA112" s="456"/>
      <c r="AC112" s="444"/>
      <c r="AD112" s="444"/>
      <c r="AE112" s="444"/>
      <c r="AF112" s="444">
        <f t="shared" ref="AF112" si="56">+AF111</f>
        <v>1</v>
      </c>
      <c r="AG112" s="479"/>
      <c r="AH112" s="721"/>
      <c r="AI112" s="479"/>
      <c r="AJ112" s="483">
        <f>+Y112</f>
        <v>0</v>
      </c>
      <c r="AK112" s="522"/>
      <c r="AL112" s="401">
        <f>+Z112</f>
        <v>0</v>
      </c>
      <c r="AM112" s="523"/>
      <c r="AN112" s="479"/>
      <c r="AO112" s="803"/>
      <c r="AP112" s="479"/>
      <c r="AQ112" s="369"/>
      <c r="AS112" s="483"/>
      <c r="AU112" s="479"/>
      <c r="AV112" s="803"/>
      <c r="AW112" s="479"/>
      <c r="AX112" s="395"/>
      <c r="AY112" s="395"/>
      <c r="AZ112" s="395"/>
      <c r="BA112" s="395"/>
      <c r="BB112" s="395"/>
      <c r="BC112" s="369"/>
      <c r="BD112" s="395"/>
      <c r="BE112" s="395"/>
      <c r="BF112" s="524"/>
      <c r="BG112" s="395"/>
      <c r="BH112" s="395"/>
      <c r="BI112" s="369"/>
      <c r="BJ112" s="395"/>
      <c r="BK112" s="395"/>
      <c r="BL112" s="395"/>
      <c r="BM112" s="395"/>
      <c r="BN112" s="395"/>
      <c r="BO112" s="395"/>
      <c r="BP112" s="395"/>
      <c r="BQ112" s="369"/>
      <c r="BR112" s="369"/>
      <c r="BS112" s="395"/>
      <c r="BT112" s="369"/>
      <c r="BU112" s="369"/>
      <c r="BV112" s="369"/>
      <c r="BW112" s="369"/>
      <c r="BX112" s="369"/>
      <c r="BY112" s="369"/>
      <c r="BZ112" s="369"/>
      <c r="CH112" s="395"/>
      <c r="CI112" s="511"/>
    </row>
    <row r="113" spans="1:87" s="370" customFormat="1" ht="15" collapsed="1">
      <c r="B113" s="783" t="s">
        <v>1325</v>
      </c>
      <c r="C113" s="784" t="s">
        <v>1326</v>
      </c>
      <c r="D113" s="785">
        <f>+I$73</f>
        <v>950</v>
      </c>
      <c r="E113" s="786">
        <f>+J$73</f>
        <v>875</v>
      </c>
      <c r="F113" s="787">
        <f>+K$73</f>
        <v>1188</v>
      </c>
      <c r="G113" s="787">
        <v>150</v>
      </c>
      <c r="H113" s="788" t="s">
        <v>30</v>
      </c>
      <c r="I113" s="789" t="s">
        <v>1162</v>
      </c>
      <c r="J113" s="790" t="s">
        <v>1071</v>
      </c>
      <c r="K113" s="786" t="s">
        <v>1072</v>
      </c>
      <c r="L113" s="787" t="s">
        <v>21</v>
      </c>
      <c r="M113" s="791" t="s">
        <v>82</v>
      </c>
      <c r="N113" s="839" t="s">
        <v>1163</v>
      </c>
      <c r="O113" s="786" t="s">
        <v>1154</v>
      </c>
      <c r="P113" s="790" t="s">
        <v>1164</v>
      </c>
      <c r="Q113" s="793" t="s">
        <v>34</v>
      </c>
      <c r="R113" s="791">
        <v>1</v>
      </c>
      <c r="S113" s="793" t="s">
        <v>13</v>
      </c>
      <c r="T113" s="794" t="s">
        <v>128</v>
      </c>
      <c r="U113" s="794" t="s">
        <v>111</v>
      </c>
      <c r="V113" s="795" t="s">
        <v>32</v>
      </c>
      <c r="W113" s="796" t="s">
        <v>33</v>
      </c>
      <c r="X113" s="797"/>
      <c r="Y113" s="798">
        <f>SUM(Y114:Y127)</f>
        <v>3.9102888</v>
      </c>
      <c r="Z113" s="799">
        <f>SUM(Z114:Z127)</f>
        <v>7.2047084482052677</v>
      </c>
      <c r="AA113" s="800" t="str">
        <f>+AA$2</f>
        <v>SCU75M1</v>
      </c>
      <c r="AB113" s="747"/>
      <c r="AC113" s="801" t="str">
        <f>+AC$2</f>
        <v>SCU75M1</v>
      </c>
      <c r="AD113" s="801" t="str">
        <f>+AD$2</f>
        <v>SCU100M1</v>
      </c>
      <c r="AE113" s="801" t="str">
        <f>+AE$2</f>
        <v>SCU125M1</v>
      </c>
      <c r="AF113" s="802" t="str">
        <f>+AF$2</f>
        <v>SCU150M1</v>
      </c>
      <c r="AH113" s="521"/>
      <c r="AI113" s="523"/>
      <c r="AJ113" s="483"/>
      <c r="AK113" s="522">
        <f>SUM(AJ114:AJ127)</f>
        <v>3.9102888</v>
      </c>
      <c r="AL113" s="401"/>
      <c r="AM113" s="523">
        <f>SUM(AL114:AL127)</f>
        <v>7.2047084482052677</v>
      </c>
      <c r="AN113" s="523"/>
      <c r="AO113" s="803"/>
      <c r="AP113" s="523"/>
      <c r="AQ113" s="369"/>
      <c r="AR113" s="418"/>
      <c r="AS113" s="483"/>
      <c r="AT113" s="418"/>
      <c r="AU113" s="523"/>
      <c r="AV113" s="803"/>
      <c r="AW113" s="523"/>
      <c r="AX113" s="395"/>
      <c r="AY113" s="395"/>
      <c r="AZ113" s="395"/>
      <c r="BA113" s="395"/>
      <c r="BB113" s="395"/>
      <c r="BC113" s="369"/>
      <c r="BD113" s="395"/>
      <c r="BE113" s="395"/>
      <c r="BF113" s="524"/>
      <c r="BG113" s="395"/>
      <c r="BH113" s="395"/>
      <c r="BI113" s="369"/>
      <c r="BJ113" s="395"/>
      <c r="BK113" s="395"/>
      <c r="BL113" s="395"/>
      <c r="BM113" s="395"/>
      <c r="BN113" s="395"/>
      <c r="BO113" s="395"/>
      <c r="BP113" s="395"/>
      <c r="BQ113" s="369"/>
      <c r="BR113" s="369"/>
      <c r="BS113" s="395"/>
      <c r="BT113" s="369"/>
      <c r="BU113" s="369"/>
      <c r="BV113" s="369"/>
      <c r="BW113" s="369"/>
      <c r="BX113" s="369"/>
      <c r="BY113" s="369"/>
      <c r="CH113" s="395"/>
      <c r="CI113" s="511"/>
    </row>
    <row r="114" spans="1:87" s="747" customFormat="1" ht="13.9" hidden="1" customHeight="1" outlineLevel="1">
      <c r="A114" s="804"/>
      <c r="B114" s="805" t="s">
        <v>1327</v>
      </c>
      <c r="C114" s="806" t="str">
        <f>+O$4</f>
        <v>SGCC</v>
      </c>
      <c r="D114" s="807"/>
      <c r="E114" s="808">
        <f>+E113-150-G114*2-20*2</f>
        <v>605</v>
      </c>
      <c r="F114" s="809">
        <f>G113+(200-20*2)+G113</f>
        <v>460</v>
      </c>
      <c r="G114" s="809">
        <f>+X$21</f>
        <v>40</v>
      </c>
      <c r="H114" s="457" t="s">
        <v>97</v>
      </c>
      <c r="I114" s="810"/>
      <c r="J114" s="811">
        <v>1</v>
      </c>
      <c r="K114" s="808">
        <f>+E114</f>
        <v>605</v>
      </c>
      <c r="L114" s="809">
        <f>+F114+20*2</f>
        <v>500</v>
      </c>
      <c r="M114" s="812">
        <f>+E$11</f>
        <v>8030</v>
      </c>
      <c r="N114" s="813">
        <f>IF(I114&gt;0,22/28*((I114/1000)^2-(I114/1000-2*J114/1000)^2)*K114/1000,IF(J114&gt;0,J114/1000*K114/1000*L114/1000, IF(K114&gt;0,K114/1000*L114/1000, IF(L114=0,1,L114/1000))))</f>
        <v>3.0249999999999998E-4</v>
      </c>
      <c r="O114" s="814">
        <v>1</v>
      </c>
      <c r="P114" s="811">
        <f>M114*N114*O114</f>
        <v>2.4290749999999997</v>
      </c>
      <c r="Q114" s="815">
        <v>1.2</v>
      </c>
      <c r="R114" s="816">
        <f t="shared" ref="R114:R127" si="57">+R$113</f>
        <v>1</v>
      </c>
      <c r="S114" s="815">
        <f t="shared" si="6"/>
        <v>2.9148899999999993</v>
      </c>
      <c r="T114" s="817" t="s">
        <v>115</v>
      </c>
      <c r="U114" s="818">
        <f>+F$11</f>
        <v>22500</v>
      </c>
      <c r="V114" s="819">
        <f t="shared" si="5"/>
        <v>6.8240753377917299E-5</v>
      </c>
      <c r="W114" s="811">
        <v>1</v>
      </c>
      <c r="X114" s="820">
        <v>1</v>
      </c>
      <c r="Y114" s="821">
        <f t="shared" ref="Y114:Y127" si="58">+P114*R114*AA114*X114</f>
        <v>2.4290749999999997</v>
      </c>
      <c r="Z114" s="822">
        <f t="shared" ref="Z114:Z127" si="59">S114*U114*V114*W114</f>
        <v>4.4755715163095395</v>
      </c>
      <c r="AA114" s="823">
        <v>1</v>
      </c>
      <c r="AB114" s="824"/>
      <c r="AC114" s="825">
        <v>1</v>
      </c>
      <c r="AD114" s="825">
        <v>1</v>
      </c>
      <c r="AE114" s="814">
        <v>1</v>
      </c>
      <c r="AF114" s="825">
        <v>1</v>
      </c>
      <c r="AG114" s="826"/>
      <c r="AH114" s="827"/>
      <c r="AJ114" s="828">
        <f t="shared" si="10"/>
        <v>2.4290749999999997</v>
      </c>
      <c r="AK114" s="828"/>
      <c r="AL114" s="828">
        <f t="shared" si="11"/>
        <v>4.4755715163095395</v>
      </c>
      <c r="AM114" s="828"/>
      <c r="AO114" s="829"/>
      <c r="AS114" s="828"/>
      <c r="AV114" s="829"/>
      <c r="BF114" s="830"/>
      <c r="CI114" s="830"/>
    </row>
    <row r="115" spans="1:87" s="418" customFormat="1" ht="13.9" hidden="1" customHeight="1" outlineLevel="1">
      <c r="B115" s="445" t="s">
        <v>1328</v>
      </c>
      <c r="C115" s="418" t="str">
        <f>IF(Q$4=1,"Powder Coating", "No Coating")</f>
        <v>No Coating</v>
      </c>
      <c r="D115" s="504"/>
      <c r="E115" s="447"/>
      <c r="F115" s="831"/>
      <c r="G115" s="831"/>
      <c r="H115" s="459" t="s">
        <v>54</v>
      </c>
      <c r="I115" s="832"/>
      <c r="J115" s="446"/>
      <c r="K115" s="447">
        <f>+K114</f>
        <v>605</v>
      </c>
      <c r="L115" s="448">
        <f>+L114</f>
        <v>500</v>
      </c>
      <c r="M115" s="449">
        <v>2</v>
      </c>
      <c r="N115" s="833">
        <f>IF(I115&gt;0,22/28*((I115/1000)^2-(I115/1000-2*J115/1000)^2)*K115/1000,IF(J115&gt;0,J115/1000*K115/1000*L115/1000, IF(K115&gt;0,K115/1000*L115/1000, IF(L115=0,1,L115/1000))))</f>
        <v>0.30249999999999999</v>
      </c>
      <c r="O115" s="451">
        <f>+O114</f>
        <v>1</v>
      </c>
      <c r="P115" s="446">
        <f>M115*N115*O115</f>
        <v>0.60499999999999998</v>
      </c>
      <c r="Q115" s="452">
        <v>1.1000000000000001</v>
      </c>
      <c r="R115" s="487">
        <f t="shared" si="57"/>
        <v>1</v>
      </c>
      <c r="S115" s="452">
        <f t="shared" si="6"/>
        <v>0.66549999999999998</v>
      </c>
      <c r="T115" s="426" t="s">
        <v>115</v>
      </c>
      <c r="U115" s="834">
        <f t="shared" ref="U115:U117" si="60">+U$11</f>
        <v>0</v>
      </c>
      <c r="V115" s="835">
        <f>1/VLOOKUP(T115,Y$12:Z$18,2,FALSE)</f>
        <v>6.8240753377917299E-5</v>
      </c>
      <c r="W115" s="446">
        <v>1</v>
      </c>
      <c r="X115" s="836">
        <f>+T$11</f>
        <v>0</v>
      </c>
      <c r="Y115" s="837">
        <f t="shared" si="58"/>
        <v>0</v>
      </c>
      <c r="Z115" s="838">
        <f t="shared" si="59"/>
        <v>0</v>
      </c>
      <c r="AA115" s="456">
        <f>+AA114</f>
        <v>1</v>
      </c>
      <c r="AC115" s="444">
        <f>+AC114</f>
        <v>1</v>
      </c>
      <c r="AD115" s="444">
        <f t="shared" ref="AD115:AF121" si="61">+AD114</f>
        <v>1</v>
      </c>
      <c r="AE115" s="444">
        <f t="shared" si="61"/>
        <v>1</v>
      </c>
      <c r="AF115" s="444">
        <f t="shared" si="61"/>
        <v>1</v>
      </c>
      <c r="AG115" s="479"/>
      <c r="AH115" s="721"/>
      <c r="AI115" s="479"/>
      <c r="AJ115" s="483">
        <f t="shared" si="10"/>
        <v>0</v>
      </c>
      <c r="AK115" s="522"/>
      <c r="AL115" s="401">
        <f t="shared" si="11"/>
        <v>0</v>
      </c>
      <c r="AM115" s="523"/>
      <c r="AN115" s="479"/>
      <c r="AO115" s="803"/>
      <c r="AP115" s="479"/>
      <c r="AQ115" s="369"/>
      <c r="AS115" s="483"/>
      <c r="AU115" s="479"/>
      <c r="AV115" s="803"/>
      <c r="AW115" s="479"/>
      <c r="AX115" s="395"/>
      <c r="AY115" s="395"/>
      <c r="AZ115" s="395"/>
      <c r="BA115" s="395"/>
      <c r="BB115" s="395"/>
      <c r="BC115" s="369"/>
      <c r="BD115" s="395"/>
      <c r="BE115" s="395"/>
      <c r="BF115" s="524"/>
      <c r="BG115" s="395"/>
      <c r="BH115" s="395"/>
      <c r="BI115" s="369"/>
      <c r="BJ115" s="395"/>
      <c r="BK115" s="395"/>
      <c r="BL115" s="395"/>
      <c r="BM115" s="395"/>
      <c r="BN115" s="395"/>
      <c r="BO115" s="395"/>
      <c r="BP115" s="395"/>
      <c r="BQ115" s="369"/>
      <c r="BR115" s="369"/>
      <c r="BS115" s="395"/>
      <c r="BT115" s="369"/>
      <c r="BU115" s="369"/>
      <c r="BV115" s="369"/>
      <c r="BW115" s="369"/>
      <c r="BX115" s="369"/>
      <c r="BY115" s="369"/>
      <c r="BZ115" s="369"/>
      <c r="CH115" s="395"/>
      <c r="CI115" s="511"/>
    </row>
    <row r="116" spans="1:87" s="747" customFormat="1" ht="13.9" hidden="1" customHeight="1" outlineLevel="1">
      <c r="A116" s="804"/>
      <c r="B116" s="805" t="s">
        <v>1329</v>
      </c>
      <c r="C116" s="806" t="str">
        <f>+O$4</f>
        <v>SGCC</v>
      </c>
      <c r="D116" s="807"/>
      <c r="E116" s="808">
        <f>200-20*2</f>
        <v>160</v>
      </c>
      <c r="F116" s="809">
        <f>+G113</f>
        <v>150</v>
      </c>
      <c r="G116" s="809"/>
      <c r="H116" s="457" t="s">
        <v>97</v>
      </c>
      <c r="I116" s="810"/>
      <c r="J116" s="811">
        <v>1</v>
      </c>
      <c r="K116" s="808">
        <f>+E116+15*2</f>
        <v>190</v>
      </c>
      <c r="L116" s="809">
        <f>+F116+20+15</f>
        <v>185</v>
      </c>
      <c r="M116" s="812">
        <f>+E$11</f>
        <v>8030</v>
      </c>
      <c r="N116" s="813">
        <f>IF(I116&gt;0,22/28*((I116/1000)^2-(I116/1000-2*J116/1000)^2)*K116/1000,IF(J116&gt;0,J116/1000*K116/1000*L116/1000, IF(K116&gt;0,K116/1000*L116/1000, IF(L116=0,1,L116/1000))))</f>
        <v>3.5150000000000001E-5</v>
      </c>
      <c r="O116" s="814">
        <v>2</v>
      </c>
      <c r="P116" s="811">
        <f>M116*N116*O116</f>
        <v>0.56450900000000004</v>
      </c>
      <c r="Q116" s="815">
        <v>1.2</v>
      </c>
      <c r="R116" s="816">
        <f t="shared" si="57"/>
        <v>1</v>
      </c>
      <c r="S116" s="815">
        <f t="shared" si="6"/>
        <v>0.67741079999999998</v>
      </c>
      <c r="T116" s="817" t="s">
        <v>115</v>
      </c>
      <c r="U116" s="818">
        <f>+F$11</f>
        <v>22500</v>
      </c>
      <c r="V116" s="819">
        <f t="shared" si="5"/>
        <v>6.8240753377917299E-5</v>
      </c>
      <c r="W116" s="811">
        <v>1</v>
      </c>
      <c r="X116" s="820">
        <v>1</v>
      </c>
      <c r="Y116" s="821">
        <f t="shared" si="58"/>
        <v>0.56450900000000004</v>
      </c>
      <c r="Z116" s="822">
        <f t="shared" si="59"/>
        <v>1.0401080251125974</v>
      </c>
      <c r="AA116" s="823">
        <v>1</v>
      </c>
      <c r="AB116" s="824"/>
      <c r="AC116" s="825">
        <v>1</v>
      </c>
      <c r="AD116" s="825">
        <v>1</v>
      </c>
      <c r="AE116" s="814">
        <v>1</v>
      </c>
      <c r="AF116" s="825">
        <v>1</v>
      </c>
      <c r="AG116" s="826"/>
      <c r="AH116" s="827"/>
      <c r="AJ116" s="828">
        <f t="shared" si="10"/>
        <v>0.56450900000000004</v>
      </c>
      <c r="AK116" s="828"/>
      <c r="AL116" s="828">
        <f t="shared" si="11"/>
        <v>1.0401080251125974</v>
      </c>
      <c r="AM116" s="828"/>
      <c r="AO116" s="829"/>
      <c r="AS116" s="828"/>
      <c r="AV116" s="829"/>
      <c r="BF116" s="830"/>
      <c r="CI116" s="830"/>
    </row>
    <row r="117" spans="1:87" s="418" customFormat="1" ht="13.9" hidden="1" customHeight="1" outlineLevel="1">
      <c r="B117" s="445" t="s">
        <v>1328</v>
      </c>
      <c r="C117" s="418" t="str">
        <f>IF(Q$4=1,"Powder Coating", "No Coating")</f>
        <v>No Coating</v>
      </c>
      <c r="D117" s="504"/>
      <c r="E117" s="447"/>
      <c r="F117" s="831"/>
      <c r="G117" s="831"/>
      <c r="H117" s="459" t="s">
        <v>54</v>
      </c>
      <c r="I117" s="832"/>
      <c r="J117" s="446"/>
      <c r="K117" s="447">
        <f>+K116</f>
        <v>190</v>
      </c>
      <c r="L117" s="448">
        <f>+L116</f>
        <v>185</v>
      </c>
      <c r="M117" s="449">
        <v>2</v>
      </c>
      <c r="N117" s="833">
        <f t="shared" ref="N117:N127" si="62">IF(I117&gt;0,22/28*((I117/1000)^2-(I117/1000-2*J117/1000)^2)*K117/1000,IF(J117&gt;0,J117/1000*K117/1000*L117/1000, IF(K117&gt;0,K117/1000*L117/1000, IF(L117=0,1,L117/1000))))</f>
        <v>3.5150000000000001E-2</v>
      </c>
      <c r="O117" s="451">
        <f>+O116</f>
        <v>2</v>
      </c>
      <c r="P117" s="446">
        <f t="shared" ref="P117:P127" si="63">M117*N117*O117</f>
        <v>0.1406</v>
      </c>
      <c r="Q117" s="452">
        <v>1.1000000000000001</v>
      </c>
      <c r="R117" s="487">
        <f t="shared" si="57"/>
        <v>1</v>
      </c>
      <c r="S117" s="452">
        <f t="shared" si="6"/>
        <v>0.15466000000000002</v>
      </c>
      <c r="T117" s="426" t="s">
        <v>115</v>
      </c>
      <c r="U117" s="834">
        <f t="shared" si="60"/>
        <v>0</v>
      </c>
      <c r="V117" s="835">
        <f t="shared" si="5"/>
        <v>6.8240753377917299E-5</v>
      </c>
      <c r="W117" s="446">
        <v>1</v>
      </c>
      <c r="X117" s="836">
        <f>+T$11</f>
        <v>0</v>
      </c>
      <c r="Y117" s="837">
        <f t="shared" si="58"/>
        <v>0</v>
      </c>
      <c r="Z117" s="838">
        <f t="shared" si="59"/>
        <v>0</v>
      </c>
      <c r="AA117" s="456">
        <f>+AA116</f>
        <v>1</v>
      </c>
      <c r="AC117" s="444">
        <f>+AC116</f>
        <v>1</v>
      </c>
      <c r="AD117" s="444">
        <f t="shared" si="61"/>
        <v>1</v>
      </c>
      <c r="AE117" s="444">
        <f t="shared" si="61"/>
        <v>1</v>
      </c>
      <c r="AF117" s="444">
        <f t="shared" si="61"/>
        <v>1</v>
      </c>
      <c r="AG117" s="479"/>
      <c r="AH117" s="721"/>
      <c r="AI117" s="479"/>
      <c r="AJ117" s="483">
        <f t="shared" si="10"/>
        <v>0</v>
      </c>
      <c r="AK117" s="522"/>
      <c r="AL117" s="401">
        <f t="shared" si="11"/>
        <v>0</v>
      </c>
      <c r="AM117" s="523"/>
      <c r="AN117" s="479"/>
      <c r="AO117" s="803"/>
      <c r="AP117" s="479"/>
      <c r="AQ117" s="369"/>
      <c r="AS117" s="483"/>
      <c r="AU117" s="479"/>
      <c r="AV117" s="803"/>
      <c r="AW117" s="479"/>
      <c r="AX117" s="395"/>
      <c r="AY117" s="395"/>
      <c r="AZ117" s="395"/>
      <c r="BA117" s="395"/>
      <c r="BB117" s="395"/>
      <c r="BC117" s="369"/>
      <c r="BD117" s="395"/>
      <c r="BE117" s="395"/>
      <c r="BF117" s="524"/>
      <c r="BG117" s="395"/>
      <c r="BH117" s="395"/>
      <c r="BI117" s="369"/>
      <c r="BJ117" s="395"/>
      <c r="BK117" s="395"/>
      <c r="BL117" s="395"/>
      <c r="BM117" s="395"/>
      <c r="BN117" s="395"/>
      <c r="BO117" s="395"/>
      <c r="BP117" s="395"/>
      <c r="BQ117" s="369"/>
      <c r="BR117" s="369"/>
      <c r="BS117" s="395"/>
      <c r="BT117" s="369"/>
      <c r="BU117" s="369"/>
      <c r="BV117" s="369"/>
      <c r="BW117" s="369"/>
      <c r="BX117" s="369"/>
      <c r="BY117" s="369"/>
      <c r="BZ117" s="369"/>
      <c r="CH117" s="395"/>
      <c r="CI117" s="511"/>
    </row>
    <row r="118" spans="1:87" s="747" customFormat="1" ht="13.9" hidden="1" customHeight="1" outlineLevel="1">
      <c r="A118" s="804"/>
      <c r="B118" s="805" t="s">
        <v>1330</v>
      </c>
      <c r="C118" s="806" t="str">
        <f>+O$4</f>
        <v>SGCC</v>
      </c>
      <c r="D118" s="807"/>
      <c r="E118" s="808">
        <f>+E113-150-G118*2-20*2-10*2</f>
        <v>585</v>
      </c>
      <c r="F118" s="809">
        <f>200-20*2-10*2</f>
        <v>140</v>
      </c>
      <c r="G118" s="809">
        <f>+X$21</f>
        <v>40</v>
      </c>
      <c r="H118" s="457" t="s">
        <v>97</v>
      </c>
      <c r="I118" s="810"/>
      <c r="J118" s="811">
        <v>1</v>
      </c>
      <c r="K118" s="808">
        <f>+E118+10*2</f>
        <v>605</v>
      </c>
      <c r="L118" s="809">
        <f>+F118+10*2</f>
        <v>160</v>
      </c>
      <c r="M118" s="812">
        <f>+E$11</f>
        <v>8030</v>
      </c>
      <c r="N118" s="813">
        <f>IF(I118&gt;0,22/28*((I118/1000)^2-(I118/1000-2*J118/1000)^2)*K118/1000,IF(J118&gt;0,J118/1000*K118/1000*L118/1000, IF(K118&gt;0,K118/1000*L118/1000, IF(L118=0,1,L118/1000))))</f>
        <v>9.6799999999999995E-5</v>
      </c>
      <c r="O118" s="814">
        <v>1</v>
      </c>
      <c r="P118" s="811">
        <f>M118*N118*O118</f>
        <v>0.77730399999999999</v>
      </c>
      <c r="Q118" s="815">
        <v>1.2</v>
      </c>
      <c r="R118" s="816">
        <f t="shared" si="57"/>
        <v>1</v>
      </c>
      <c r="S118" s="815">
        <f t="shared" si="6"/>
        <v>0.93276479999999995</v>
      </c>
      <c r="T118" s="817" t="s">
        <v>115</v>
      </c>
      <c r="U118" s="818">
        <f>+F$11</f>
        <v>22500</v>
      </c>
      <c r="V118" s="819">
        <f t="shared" si="5"/>
        <v>6.8240753377917299E-5</v>
      </c>
      <c r="W118" s="811">
        <v>1</v>
      </c>
      <c r="X118" s="820">
        <v>1</v>
      </c>
      <c r="Y118" s="821">
        <f t="shared" si="58"/>
        <v>0.77730399999999999</v>
      </c>
      <c r="Z118" s="822">
        <f t="shared" si="59"/>
        <v>1.4321828852190528</v>
      </c>
      <c r="AA118" s="823">
        <v>1</v>
      </c>
      <c r="AB118" s="824"/>
      <c r="AC118" s="825">
        <v>1</v>
      </c>
      <c r="AD118" s="825">
        <v>1</v>
      </c>
      <c r="AE118" s="814">
        <v>1</v>
      </c>
      <c r="AF118" s="825">
        <v>1</v>
      </c>
      <c r="AG118" s="826"/>
      <c r="AH118" s="827"/>
      <c r="AJ118" s="828">
        <f t="shared" si="10"/>
        <v>0.77730399999999999</v>
      </c>
      <c r="AK118" s="828"/>
      <c r="AL118" s="828">
        <f t="shared" si="11"/>
        <v>1.4321828852190528</v>
      </c>
      <c r="AM118" s="828"/>
      <c r="AO118" s="829"/>
      <c r="AS118" s="828"/>
      <c r="AV118" s="829"/>
      <c r="BF118" s="830"/>
      <c r="CI118" s="830"/>
    </row>
    <row r="119" spans="1:87" s="418" customFormat="1" ht="13.9" hidden="1" customHeight="1" outlineLevel="1">
      <c r="B119" s="463" t="s">
        <v>1328</v>
      </c>
      <c r="C119" s="842" t="str">
        <f>IF(Q$4=1,"Powder Coating", "No Coating")</f>
        <v>No Coating</v>
      </c>
      <c r="D119" s="843"/>
      <c r="E119" s="465"/>
      <c r="F119" s="844"/>
      <c r="G119" s="844"/>
      <c r="H119" s="485" t="s">
        <v>54</v>
      </c>
      <c r="I119" s="845"/>
      <c r="J119" s="464"/>
      <c r="K119" s="465">
        <f>+K118</f>
        <v>605</v>
      </c>
      <c r="L119" s="466">
        <f>+L118</f>
        <v>160</v>
      </c>
      <c r="M119" s="467">
        <v>2</v>
      </c>
      <c r="N119" s="846">
        <f t="shared" si="62"/>
        <v>9.6799999999999997E-2</v>
      </c>
      <c r="O119" s="469">
        <f>+O118</f>
        <v>1</v>
      </c>
      <c r="P119" s="464">
        <f t="shared" si="63"/>
        <v>0.19359999999999999</v>
      </c>
      <c r="Q119" s="470">
        <v>1.1000000000000001</v>
      </c>
      <c r="R119" s="489">
        <f t="shared" si="57"/>
        <v>1</v>
      </c>
      <c r="S119" s="470">
        <f t="shared" si="6"/>
        <v>0.21296000000000001</v>
      </c>
      <c r="T119" s="472" t="s">
        <v>115</v>
      </c>
      <c r="U119" s="847">
        <f t="shared" ref="U119:U121" si="64">+U$11</f>
        <v>0</v>
      </c>
      <c r="V119" s="848">
        <f t="shared" si="5"/>
        <v>6.8240753377917299E-5</v>
      </c>
      <c r="W119" s="464">
        <v>1</v>
      </c>
      <c r="X119" s="849">
        <f>+T$11</f>
        <v>0</v>
      </c>
      <c r="Y119" s="850">
        <f t="shared" si="58"/>
        <v>0</v>
      </c>
      <c r="Z119" s="851">
        <f t="shared" si="59"/>
        <v>0</v>
      </c>
      <c r="AA119" s="473">
        <f>+AA118</f>
        <v>1</v>
      </c>
      <c r="AC119" s="462">
        <f>+AC118</f>
        <v>1</v>
      </c>
      <c r="AD119" s="462">
        <f t="shared" si="61"/>
        <v>1</v>
      </c>
      <c r="AE119" s="462">
        <f t="shared" si="61"/>
        <v>1</v>
      </c>
      <c r="AF119" s="462">
        <f t="shared" si="61"/>
        <v>1</v>
      </c>
      <c r="AG119" s="479"/>
      <c r="AH119" s="721"/>
      <c r="AI119" s="479"/>
      <c r="AJ119" s="483">
        <f t="shared" si="10"/>
        <v>0</v>
      </c>
      <c r="AK119" s="522"/>
      <c r="AL119" s="401">
        <f t="shared" si="11"/>
        <v>0</v>
      </c>
      <c r="AM119" s="523"/>
      <c r="AN119" s="479"/>
      <c r="AO119" s="803"/>
      <c r="AP119" s="479"/>
      <c r="AQ119" s="369"/>
      <c r="AS119" s="483"/>
      <c r="AU119" s="479"/>
      <c r="AV119" s="803"/>
      <c r="AW119" s="479"/>
      <c r="AX119" s="395"/>
      <c r="AY119" s="395"/>
      <c r="AZ119" s="395"/>
      <c r="BA119" s="395"/>
      <c r="BB119" s="395"/>
      <c r="BC119" s="369"/>
      <c r="BD119" s="395"/>
      <c r="BE119" s="395"/>
      <c r="BF119" s="524"/>
      <c r="BG119" s="395"/>
      <c r="BH119" s="395"/>
      <c r="BI119" s="369"/>
      <c r="BJ119" s="395"/>
      <c r="BK119" s="395"/>
      <c r="BL119" s="395"/>
      <c r="BM119" s="395"/>
      <c r="BN119" s="395"/>
      <c r="BO119" s="395"/>
      <c r="BP119" s="395"/>
      <c r="BQ119" s="369"/>
      <c r="BR119" s="369"/>
      <c r="BS119" s="395"/>
      <c r="BT119" s="369"/>
      <c r="BU119" s="369"/>
      <c r="BV119" s="369"/>
      <c r="BW119" s="369"/>
      <c r="BX119" s="369"/>
      <c r="BY119" s="369"/>
      <c r="BZ119" s="369"/>
      <c r="CH119" s="395"/>
      <c r="CI119" s="511"/>
    </row>
    <row r="120" spans="1:87" s="747" customFormat="1" ht="13.9" hidden="1" customHeight="1" outlineLevel="1">
      <c r="A120" s="804"/>
      <c r="B120" s="805" t="s">
        <v>1331</v>
      </c>
      <c r="C120" s="806" t="str">
        <f>+O$4</f>
        <v>SGCC</v>
      </c>
      <c r="D120" s="807"/>
      <c r="E120" s="808"/>
      <c r="F120" s="809"/>
      <c r="G120" s="809"/>
      <c r="H120" s="457" t="s">
        <v>97</v>
      </c>
      <c r="I120" s="810"/>
      <c r="J120" s="811">
        <v>1</v>
      </c>
      <c r="K120" s="808">
        <v>74</v>
      </c>
      <c r="L120" s="809">
        <v>48</v>
      </c>
      <c r="M120" s="812">
        <f>+E$11</f>
        <v>8030</v>
      </c>
      <c r="N120" s="813">
        <f t="shared" si="62"/>
        <v>3.5519999999999996E-6</v>
      </c>
      <c r="O120" s="814">
        <v>2</v>
      </c>
      <c r="P120" s="811">
        <f t="shared" si="63"/>
        <v>5.7045119999999991E-2</v>
      </c>
      <c r="Q120" s="815">
        <v>1.2</v>
      </c>
      <c r="R120" s="816">
        <f t="shared" si="57"/>
        <v>1</v>
      </c>
      <c r="S120" s="815">
        <f t="shared" si="6"/>
        <v>6.8454143999999981E-2</v>
      </c>
      <c r="T120" s="817" t="s">
        <v>115</v>
      </c>
      <c r="U120" s="818">
        <f>+F$11</f>
        <v>22500</v>
      </c>
      <c r="V120" s="819">
        <f t="shared" si="5"/>
        <v>6.8240753377917299E-5</v>
      </c>
      <c r="W120" s="811">
        <v>1</v>
      </c>
      <c r="X120" s="820">
        <v>1</v>
      </c>
      <c r="Y120" s="821">
        <f t="shared" si="58"/>
        <v>5.7045119999999991E-2</v>
      </c>
      <c r="Z120" s="822">
        <f t="shared" si="59"/>
        <v>0.1051056530640098</v>
      </c>
      <c r="AA120" s="823">
        <v>1</v>
      </c>
      <c r="AB120" s="824"/>
      <c r="AC120" s="825">
        <v>1</v>
      </c>
      <c r="AD120" s="825">
        <v>1</v>
      </c>
      <c r="AE120" s="825">
        <v>1</v>
      </c>
      <c r="AF120" s="825">
        <v>1</v>
      </c>
      <c r="AG120" s="826"/>
      <c r="AH120" s="827"/>
      <c r="AJ120" s="828">
        <f t="shared" si="10"/>
        <v>5.7045119999999991E-2</v>
      </c>
      <c r="AK120" s="828"/>
      <c r="AL120" s="828">
        <f t="shared" si="11"/>
        <v>0.1051056530640098</v>
      </c>
      <c r="AM120" s="828"/>
      <c r="AO120" s="829"/>
      <c r="AS120" s="828"/>
      <c r="AV120" s="829"/>
      <c r="BF120" s="830"/>
      <c r="CI120" s="830"/>
    </row>
    <row r="121" spans="1:87" s="418" customFormat="1" ht="13.9" hidden="1" customHeight="1" outlineLevel="1">
      <c r="B121" s="445" t="s">
        <v>1328</v>
      </c>
      <c r="C121" s="418" t="str">
        <f>IF(Q$4=1,"Powder Coating", "No Coating")</f>
        <v>No Coating</v>
      </c>
      <c r="D121" s="504"/>
      <c r="E121" s="447"/>
      <c r="F121" s="831"/>
      <c r="G121" s="831"/>
      <c r="H121" s="459" t="s">
        <v>54</v>
      </c>
      <c r="I121" s="832"/>
      <c r="J121" s="446"/>
      <c r="K121" s="447">
        <f>+K120</f>
        <v>74</v>
      </c>
      <c r="L121" s="448">
        <f>+L120</f>
        <v>48</v>
      </c>
      <c r="M121" s="449">
        <v>2</v>
      </c>
      <c r="N121" s="833">
        <f t="shared" si="62"/>
        <v>3.5519999999999996E-3</v>
      </c>
      <c r="O121" s="451">
        <f>+O120</f>
        <v>2</v>
      </c>
      <c r="P121" s="446">
        <f t="shared" si="63"/>
        <v>1.4207999999999998E-2</v>
      </c>
      <c r="Q121" s="452">
        <v>1.1000000000000001</v>
      </c>
      <c r="R121" s="487">
        <f t="shared" si="57"/>
        <v>1</v>
      </c>
      <c r="S121" s="452">
        <f t="shared" si="6"/>
        <v>1.5628799999999998E-2</v>
      </c>
      <c r="T121" s="426" t="s">
        <v>115</v>
      </c>
      <c r="U121" s="834">
        <f t="shared" si="64"/>
        <v>0</v>
      </c>
      <c r="V121" s="835">
        <f>1/VLOOKUP(T121,Y$12:Z$18,2,FALSE)</f>
        <v>6.8240753377917299E-5</v>
      </c>
      <c r="W121" s="446">
        <v>1</v>
      </c>
      <c r="X121" s="836">
        <f>+T$11</f>
        <v>0</v>
      </c>
      <c r="Y121" s="837">
        <f t="shared" si="58"/>
        <v>0</v>
      </c>
      <c r="Z121" s="838">
        <f t="shared" si="59"/>
        <v>0</v>
      </c>
      <c r="AA121" s="456">
        <f>+AA120</f>
        <v>1</v>
      </c>
      <c r="AC121" s="444">
        <f>+AC120</f>
        <v>1</v>
      </c>
      <c r="AD121" s="444">
        <f t="shared" si="61"/>
        <v>1</v>
      </c>
      <c r="AE121" s="444">
        <f t="shared" si="61"/>
        <v>1</v>
      </c>
      <c r="AF121" s="444">
        <f t="shared" si="61"/>
        <v>1</v>
      </c>
      <c r="AG121" s="479"/>
      <c r="AH121" s="721"/>
      <c r="AI121" s="479"/>
      <c r="AJ121" s="483">
        <f t="shared" si="10"/>
        <v>0</v>
      </c>
      <c r="AK121" s="522"/>
      <c r="AL121" s="401">
        <f t="shared" si="11"/>
        <v>0</v>
      </c>
      <c r="AM121" s="523"/>
      <c r="AN121" s="479"/>
      <c r="AO121" s="803"/>
      <c r="AP121" s="479"/>
      <c r="AQ121" s="369"/>
      <c r="AS121" s="483"/>
      <c r="AU121" s="479"/>
      <c r="AV121" s="803"/>
      <c r="AW121" s="479"/>
      <c r="AX121" s="395"/>
      <c r="AY121" s="395"/>
      <c r="AZ121" s="395"/>
      <c r="BA121" s="395"/>
      <c r="BB121" s="395"/>
      <c r="BC121" s="369"/>
      <c r="BD121" s="395"/>
      <c r="BE121" s="395"/>
      <c r="BF121" s="524"/>
      <c r="BG121" s="395"/>
      <c r="BH121" s="395"/>
      <c r="BI121" s="369"/>
      <c r="BJ121" s="395"/>
      <c r="BK121" s="395"/>
      <c r="BL121" s="395"/>
      <c r="BM121" s="395"/>
      <c r="BN121" s="395"/>
      <c r="BO121" s="395"/>
      <c r="BP121" s="395"/>
      <c r="BQ121" s="369"/>
      <c r="BR121" s="369"/>
      <c r="BS121" s="395"/>
      <c r="BT121" s="369"/>
      <c r="BU121" s="369"/>
      <c r="BV121" s="369"/>
      <c r="BW121" s="369"/>
      <c r="BX121" s="369"/>
      <c r="BY121" s="369"/>
      <c r="BZ121" s="369"/>
      <c r="CH121" s="395"/>
      <c r="CI121" s="511"/>
    </row>
    <row r="122" spans="1:87" s="747" customFormat="1" ht="13.9" hidden="1" customHeight="1" outlineLevel="1">
      <c r="A122" s="804"/>
      <c r="B122" s="805" t="s">
        <v>1332</v>
      </c>
      <c r="C122" s="806" t="str">
        <f>+O$4</f>
        <v>SGCC</v>
      </c>
      <c r="D122" s="807"/>
      <c r="E122" s="808"/>
      <c r="F122" s="809"/>
      <c r="G122" s="809"/>
      <c r="H122" s="457" t="s">
        <v>97</v>
      </c>
      <c r="I122" s="810"/>
      <c r="J122" s="811">
        <v>1</v>
      </c>
      <c r="K122" s="808">
        <v>100</v>
      </c>
      <c r="L122" s="809">
        <v>20</v>
      </c>
      <c r="M122" s="812">
        <f>+E$11</f>
        <v>8030</v>
      </c>
      <c r="N122" s="813">
        <f t="shared" si="62"/>
        <v>1.9999999999999999E-6</v>
      </c>
      <c r="O122" s="814">
        <v>1</v>
      </c>
      <c r="P122" s="811">
        <f t="shared" si="63"/>
        <v>1.6059999999999998E-2</v>
      </c>
      <c r="Q122" s="815">
        <v>1.2</v>
      </c>
      <c r="R122" s="816">
        <f t="shared" si="57"/>
        <v>1</v>
      </c>
      <c r="S122" s="815">
        <f t="shared" si="6"/>
        <v>1.9271999999999997E-2</v>
      </c>
      <c r="T122" s="817" t="s">
        <v>115</v>
      </c>
      <c r="U122" s="818">
        <f>+F$11</f>
        <v>22500</v>
      </c>
      <c r="V122" s="819">
        <f t="shared" si="5"/>
        <v>6.8240753377917299E-5</v>
      </c>
      <c r="W122" s="811">
        <v>1</v>
      </c>
      <c r="X122" s="820">
        <v>1</v>
      </c>
      <c r="Y122" s="821">
        <f t="shared" si="58"/>
        <v>1.6059999999999998E-2</v>
      </c>
      <c r="Z122" s="822">
        <f t="shared" si="59"/>
        <v>2.9590555479732494E-2</v>
      </c>
      <c r="AA122" s="823">
        <v>1</v>
      </c>
      <c r="AB122" s="824"/>
      <c r="AC122" s="825">
        <v>1</v>
      </c>
      <c r="AD122" s="825">
        <v>1</v>
      </c>
      <c r="AE122" s="814">
        <v>1</v>
      </c>
      <c r="AF122" s="825">
        <v>1</v>
      </c>
      <c r="AG122" s="826"/>
      <c r="AH122" s="827"/>
      <c r="AJ122" s="828">
        <f t="shared" si="10"/>
        <v>1.6059999999999998E-2</v>
      </c>
      <c r="AK122" s="828"/>
      <c r="AL122" s="828">
        <f t="shared" si="11"/>
        <v>2.9590555479732494E-2</v>
      </c>
      <c r="AM122" s="828"/>
      <c r="AO122" s="829"/>
      <c r="AS122" s="828"/>
      <c r="AV122" s="829"/>
      <c r="BF122" s="830"/>
      <c r="CI122" s="830"/>
    </row>
    <row r="123" spans="1:87" s="418" customFormat="1" ht="13.9" hidden="1" customHeight="1" outlineLevel="1">
      <c r="B123" s="445" t="s">
        <v>1328</v>
      </c>
      <c r="C123" s="418" t="str">
        <f>IF(Q$4=1,"Powder Coating", "No Coating")</f>
        <v>No Coating</v>
      </c>
      <c r="D123" s="504"/>
      <c r="E123" s="447"/>
      <c r="F123" s="831"/>
      <c r="G123" s="831"/>
      <c r="H123" s="459" t="s">
        <v>54</v>
      </c>
      <c r="I123" s="832"/>
      <c r="J123" s="446"/>
      <c r="K123" s="447">
        <f>+K122</f>
        <v>100</v>
      </c>
      <c r="L123" s="448">
        <f>+L122</f>
        <v>20</v>
      </c>
      <c r="M123" s="449">
        <v>2</v>
      </c>
      <c r="N123" s="833">
        <f t="shared" si="62"/>
        <v>2E-3</v>
      </c>
      <c r="O123" s="451">
        <f>+O122</f>
        <v>1</v>
      </c>
      <c r="P123" s="446">
        <f t="shared" si="63"/>
        <v>4.0000000000000001E-3</v>
      </c>
      <c r="Q123" s="452">
        <v>1.1000000000000001</v>
      </c>
      <c r="R123" s="487">
        <f t="shared" si="57"/>
        <v>1</v>
      </c>
      <c r="S123" s="452">
        <f t="shared" si="6"/>
        <v>4.4000000000000003E-3</v>
      </c>
      <c r="T123" s="426" t="s">
        <v>115</v>
      </c>
      <c r="U123" s="834">
        <f>+U$11</f>
        <v>0</v>
      </c>
      <c r="V123" s="835">
        <f t="shared" si="5"/>
        <v>6.8240753377917299E-5</v>
      </c>
      <c r="W123" s="446">
        <v>1</v>
      </c>
      <c r="X123" s="836">
        <f>+T$11</f>
        <v>0</v>
      </c>
      <c r="Y123" s="837">
        <f t="shared" si="58"/>
        <v>0</v>
      </c>
      <c r="Z123" s="838">
        <f t="shared" si="59"/>
        <v>0</v>
      </c>
      <c r="AA123" s="456">
        <f>+AA122</f>
        <v>1</v>
      </c>
      <c r="AC123" s="444">
        <f>+AC122</f>
        <v>1</v>
      </c>
      <c r="AD123" s="444">
        <f t="shared" ref="AD123:AF127" si="65">+AD122</f>
        <v>1</v>
      </c>
      <c r="AE123" s="444">
        <f t="shared" si="65"/>
        <v>1</v>
      </c>
      <c r="AF123" s="444">
        <f t="shared" si="65"/>
        <v>1</v>
      </c>
      <c r="AG123" s="479"/>
      <c r="AH123" s="721"/>
      <c r="AI123" s="479"/>
      <c r="AJ123" s="483">
        <f t="shared" si="10"/>
        <v>0</v>
      </c>
      <c r="AK123" s="522"/>
      <c r="AL123" s="401">
        <f t="shared" si="11"/>
        <v>0</v>
      </c>
      <c r="AM123" s="523"/>
      <c r="AN123" s="479"/>
      <c r="AO123" s="803"/>
      <c r="AP123" s="479"/>
      <c r="AQ123" s="369"/>
      <c r="AS123" s="483"/>
      <c r="AU123" s="479"/>
      <c r="AV123" s="803"/>
      <c r="AW123" s="479"/>
      <c r="AX123" s="395"/>
      <c r="AY123" s="395"/>
      <c r="AZ123" s="395"/>
      <c r="BA123" s="395"/>
      <c r="BB123" s="395"/>
      <c r="BC123" s="369"/>
      <c r="BD123" s="395"/>
      <c r="BE123" s="395"/>
      <c r="BF123" s="524"/>
      <c r="BG123" s="395"/>
      <c r="BH123" s="395"/>
      <c r="BI123" s="369"/>
      <c r="BJ123" s="395"/>
      <c r="BK123" s="395"/>
      <c r="BL123" s="395"/>
      <c r="BM123" s="395"/>
      <c r="BN123" s="395"/>
      <c r="BO123" s="395"/>
      <c r="BP123" s="395"/>
      <c r="BQ123" s="369"/>
      <c r="BR123" s="369"/>
      <c r="BS123" s="395"/>
      <c r="BT123" s="369"/>
      <c r="BU123" s="369"/>
      <c r="BV123" s="369"/>
      <c r="BW123" s="369"/>
      <c r="BX123" s="369"/>
      <c r="BY123" s="369"/>
      <c r="BZ123" s="369"/>
      <c r="CH123" s="395"/>
      <c r="CI123" s="511"/>
    </row>
    <row r="124" spans="1:87" s="747" customFormat="1" ht="13.9" hidden="1" customHeight="1" outlineLevel="1">
      <c r="A124" s="804"/>
      <c r="B124" s="805" t="s">
        <v>1333</v>
      </c>
      <c r="C124" s="806" t="str">
        <f>+O$4</f>
        <v>SGCC</v>
      </c>
      <c r="D124" s="807"/>
      <c r="E124" s="808"/>
      <c r="F124" s="809"/>
      <c r="G124" s="809"/>
      <c r="H124" s="457" t="s">
        <v>97</v>
      </c>
      <c r="I124" s="810"/>
      <c r="J124" s="811">
        <v>1</v>
      </c>
      <c r="K124" s="808">
        <v>72</v>
      </c>
      <c r="L124" s="809">
        <v>20</v>
      </c>
      <c r="M124" s="812">
        <f>+E$11</f>
        <v>8030</v>
      </c>
      <c r="N124" s="813">
        <f t="shared" si="62"/>
        <v>1.4400000000000002E-6</v>
      </c>
      <c r="O124" s="814">
        <v>1</v>
      </c>
      <c r="P124" s="811">
        <f t="shared" si="63"/>
        <v>1.1563200000000001E-2</v>
      </c>
      <c r="Q124" s="815">
        <v>1.2</v>
      </c>
      <c r="R124" s="816">
        <f t="shared" si="57"/>
        <v>1</v>
      </c>
      <c r="S124" s="815">
        <f t="shared" si="6"/>
        <v>1.387584E-2</v>
      </c>
      <c r="T124" s="817" t="s">
        <v>115</v>
      </c>
      <c r="U124" s="818">
        <f>+F$11</f>
        <v>22500</v>
      </c>
      <c r="V124" s="819">
        <f t="shared" si="5"/>
        <v>6.8240753377917299E-5</v>
      </c>
      <c r="W124" s="811">
        <v>1</v>
      </c>
      <c r="X124" s="820">
        <v>1</v>
      </c>
      <c r="Y124" s="821">
        <f t="shared" si="58"/>
        <v>1.1563200000000001E-2</v>
      </c>
      <c r="Z124" s="822">
        <f t="shared" si="59"/>
        <v>2.1305199945407402E-2</v>
      </c>
      <c r="AA124" s="823">
        <v>1</v>
      </c>
      <c r="AB124" s="824"/>
      <c r="AC124" s="825">
        <v>1</v>
      </c>
      <c r="AD124" s="825">
        <v>1</v>
      </c>
      <c r="AE124" s="814">
        <v>1</v>
      </c>
      <c r="AF124" s="825">
        <v>1</v>
      </c>
      <c r="AG124" s="826"/>
      <c r="AH124" s="827"/>
      <c r="AJ124" s="828">
        <f t="shared" si="10"/>
        <v>1.1563200000000001E-2</v>
      </c>
      <c r="AK124" s="828"/>
      <c r="AL124" s="828">
        <f t="shared" si="11"/>
        <v>2.1305199945407402E-2</v>
      </c>
      <c r="AM124" s="828"/>
      <c r="AO124" s="829"/>
      <c r="AS124" s="828"/>
      <c r="AV124" s="829"/>
      <c r="BF124" s="830"/>
      <c r="CI124" s="830"/>
    </row>
    <row r="125" spans="1:87" s="418" customFormat="1" ht="13.9" hidden="1" customHeight="1" outlineLevel="1">
      <c r="B125" s="445" t="s">
        <v>1328</v>
      </c>
      <c r="C125" s="418" t="str">
        <f>IF(Q$4=1,"Powder Coating", "No Coating")</f>
        <v>No Coating</v>
      </c>
      <c r="D125" s="504"/>
      <c r="E125" s="447"/>
      <c r="F125" s="831"/>
      <c r="G125" s="831"/>
      <c r="H125" s="459" t="s">
        <v>54</v>
      </c>
      <c r="I125" s="832"/>
      <c r="J125" s="446"/>
      <c r="K125" s="447">
        <f>+K124</f>
        <v>72</v>
      </c>
      <c r="L125" s="448">
        <f>+L124</f>
        <v>20</v>
      </c>
      <c r="M125" s="449">
        <v>2</v>
      </c>
      <c r="N125" s="833">
        <f t="shared" si="62"/>
        <v>1.4399999999999999E-3</v>
      </c>
      <c r="O125" s="451">
        <f>+O124</f>
        <v>1</v>
      </c>
      <c r="P125" s="446">
        <f t="shared" si="63"/>
        <v>2.8799999999999997E-3</v>
      </c>
      <c r="Q125" s="452">
        <v>1.1000000000000001</v>
      </c>
      <c r="R125" s="487">
        <f t="shared" si="57"/>
        <v>1</v>
      </c>
      <c r="S125" s="452">
        <f t="shared" si="6"/>
        <v>3.1679999999999998E-3</v>
      </c>
      <c r="T125" s="426" t="s">
        <v>115</v>
      </c>
      <c r="U125" s="834">
        <f>+U$11</f>
        <v>0</v>
      </c>
      <c r="V125" s="835">
        <f t="shared" si="5"/>
        <v>6.8240753377917299E-5</v>
      </c>
      <c r="W125" s="446">
        <v>1</v>
      </c>
      <c r="X125" s="836">
        <f>+T$11</f>
        <v>0</v>
      </c>
      <c r="Y125" s="837">
        <f t="shared" si="58"/>
        <v>0</v>
      </c>
      <c r="Z125" s="838">
        <f t="shared" si="59"/>
        <v>0</v>
      </c>
      <c r="AA125" s="456">
        <f>+AA124</f>
        <v>1</v>
      </c>
      <c r="AC125" s="444">
        <f>+AC124</f>
        <v>1</v>
      </c>
      <c r="AD125" s="444">
        <f t="shared" si="65"/>
        <v>1</v>
      </c>
      <c r="AE125" s="444">
        <f t="shared" si="65"/>
        <v>1</v>
      </c>
      <c r="AF125" s="444">
        <f t="shared" si="65"/>
        <v>1</v>
      </c>
      <c r="AG125" s="479"/>
      <c r="AH125" s="721"/>
      <c r="AI125" s="479"/>
      <c r="AJ125" s="483">
        <f t="shared" si="10"/>
        <v>0</v>
      </c>
      <c r="AK125" s="522"/>
      <c r="AL125" s="401">
        <f t="shared" si="11"/>
        <v>0</v>
      </c>
      <c r="AM125" s="523"/>
      <c r="AN125" s="479"/>
      <c r="AO125" s="803"/>
      <c r="AP125" s="479"/>
      <c r="AQ125" s="369"/>
      <c r="AS125" s="483"/>
      <c r="AU125" s="479"/>
      <c r="AV125" s="803"/>
      <c r="AW125" s="479"/>
      <c r="AX125" s="395"/>
      <c r="AY125" s="395"/>
      <c r="AZ125" s="395"/>
      <c r="BA125" s="395"/>
      <c r="BB125" s="395"/>
      <c r="BC125" s="369"/>
      <c r="BD125" s="395"/>
      <c r="BE125" s="395"/>
      <c r="BF125" s="524"/>
      <c r="BG125" s="395"/>
      <c r="BH125" s="395"/>
      <c r="BI125" s="369"/>
      <c r="BJ125" s="395"/>
      <c r="BK125" s="395"/>
      <c r="BL125" s="395"/>
      <c r="BM125" s="395"/>
      <c r="BN125" s="395"/>
      <c r="BO125" s="395"/>
      <c r="BP125" s="395"/>
      <c r="BQ125" s="369"/>
      <c r="BR125" s="369"/>
      <c r="BS125" s="395"/>
      <c r="BT125" s="369"/>
      <c r="BU125" s="369"/>
      <c r="BV125" s="369"/>
      <c r="BW125" s="369"/>
      <c r="BX125" s="369"/>
      <c r="BY125" s="369"/>
      <c r="BZ125" s="369"/>
      <c r="CH125" s="395"/>
      <c r="CI125" s="511"/>
    </row>
    <row r="126" spans="1:87" s="747" customFormat="1" ht="13.9" hidden="1" customHeight="1" outlineLevel="1">
      <c r="A126" s="804"/>
      <c r="B126" s="805" t="s">
        <v>1334</v>
      </c>
      <c r="C126" s="806" t="str">
        <f>+O$4</f>
        <v>SGCC</v>
      </c>
      <c r="D126" s="807"/>
      <c r="E126" s="808"/>
      <c r="F126" s="809"/>
      <c r="G126" s="809"/>
      <c r="H126" s="457" t="s">
        <v>97</v>
      </c>
      <c r="I126" s="810"/>
      <c r="J126" s="811">
        <v>1.2</v>
      </c>
      <c r="K126" s="808">
        <v>71</v>
      </c>
      <c r="L126" s="809">
        <v>40</v>
      </c>
      <c r="M126" s="812">
        <f>+E$11</f>
        <v>8030</v>
      </c>
      <c r="N126" s="813">
        <f t="shared" si="62"/>
        <v>3.4079999999999998E-6</v>
      </c>
      <c r="O126" s="814">
        <v>2</v>
      </c>
      <c r="P126" s="811">
        <f t="shared" si="63"/>
        <v>5.473248E-2</v>
      </c>
      <c r="Q126" s="815">
        <v>1.2</v>
      </c>
      <c r="R126" s="816">
        <f t="shared" si="57"/>
        <v>1</v>
      </c>
      <c r="S126" s="815">
        <f t="shared" si="6"/>
        <v>6.5678976E-2</v>
      </c>
      <c r="T126" s="817" t="s">
        <v>115</v>
      </c>
      <c r="U126" s="818">
        <f>+F$11</f>
        <v>22500</v>
      </c>
      <c r="V126" s="819">
        <f t="shared" si="5"/>
        <v>6.8240753377917299E-5</v>
      </c>
      <c r="W126" s="811">
        <v>1</v>
      </c>
      <c r="X126" s="820">
        <v>1</v>
      </c>
      <c r="Y126" s="821">
        <f t="shared" si="58"/>
        <v>5.473248E-2</v>
      </c>
      <c r="Z126" s="822">
        <f t="shared" si="59"/>
        <v>0.10084461307492835</v>
      </c>
      <c r="AA126" s="823">
        <v>1</v>
      </c>
      <c r="AB126" s="824"/>
      <c r="AC126" s="825">
        <v>1</v>
      </c>
      <c r="AD126" s="825">
        <v>1</v>
      </c>
      <c r="AE126" s="814">
        <v>1</v>
      </c>
      <c r="AF126" s="825">
        <v>1</v>
      </c>
      <c r="AG126" s="826"/>
      <c r="AH126" s="827"/>
      <c r="AJ126" s="828">
        <f t="shared" si="10"/>
        <v>5.473248E-2</v>
      </c>
      <c r="AK126" s="828"/>
      <c r="AL126" s="828">
        <f t="shared" si="11"/>
        <v>0.10084461307492835</v>
      </c>
      <c r="AM126" s="828"/>
      <c r="AO126" s="829"/>
      <c r="AS126" s="828"/>
      <c r="AV126" s="829"/>
      <c r="BF126" s="830"/>
      <c r="CI126" s="830"/>
    </row>
    <row r="127" spans="1:87" s="418" customFormat="1" ht="13.9" hidden="1" customHeight="1" outlineLevel="1">
      <c r="B127" s="445" t="s">
        <v>1328</v>
      </c>
      <c r="C127" s="418" t="str">
        <f>IF(Q$4=1,"Powder Coating", "No Coating")</f>
        <v>No Coating</v>
      </c>
      <c r="D127" s="504"/>
      <c r="E127" s="447"/>
      <c r="F127" s="831"/>
      <c r="G127" s="831"/>
      <c r="H127" s="459" t="s">
        <v>54</v>
      </c>
      <c r="I127" s="832"/>
      <c r="J127" s="446"/>
      <c r="K127" s="447">
        <f>+K126</f>
        <v>71</v>
      </c>
      <c r="L127" s="448">
        <f>+L126</f>
        <v>40</v>
      </c>
      <c r="M127" s="449">
        <v>2</v>
      </c>
      <c r="N127" s="833">
        <f t="shared" si="62"/>
        <v>2.8399999999999996E-3</v>
      </c>
      <c r="O127" s="451">
        <f>+O126</f>
        <v>2</v>
      </c>
      <c r="P127" s="446">
        <f t="shared" si="63"/>
        <v>1.1359999999999999E-2</v>
      </c>
      <c r="Q127" s="452">
        <v>1.1000000000000001</v>
      </c>
      <c r="R127" s="487">
        <f t="shared" si="57"/>
        <v>1</v>
      </c>
      <c r="S127" s="452">
        <f t="shared" si="6"/>
        <v>1.2496E-2</v>
      </c>
      <c r="T127" s="426" t="s">
        <v>115</v>
      </c>
      <c r="U127" s="834">
        <f>+U$11</f>
        <v>0</v>
      </c>
      <c r="V127" s="835">
        <f t="shared" si="5"/>
        <v>6.8240753377917299E-5</v>
      </c>
      <c r="W127" s="446">
        <v>1</v>
      </c>
      <c r="X127" s="849">
        <f>+T$11</f>
        <v>0</v>
      </c>
      <c r="Y127" s="850">
        <f t="shared" si="58"/>
        <v>0</v>
      </c>
      <c r="Z127" s="851">
        <f t="shared" si="59"/>
        <v>0</v>
      </c>
      <c r="AA127" s="456">
        <f>+AA126</f>
        <v>1</v>
      </c>
      <c r="AC127" s="444">
        <f>+AC126</f>
        <v>1</v>
      </c>
      <c r="AD127" s="444">
        <f t="shared" si="65"/>
        <v>1</v>
      </c>
      <c r="AE127" s="444">
        <f t="shared" si="65"/>
        <v>1</v>
      </c>
      <c r="AF127" s="444">
        <f t="shared" si="65"/>
        <v>1</v>
      </c>
      <c r="AG127" s="479"/>
      <c r="AH127" s="721"/>
      <c r="AI127" s="479"/>
      <c r="AJ127" s="483">
        <f t="shared" si="10"/>
        <v>0</v>
      </c>
      <c r="AK127" s="522"/>
      <c r="AL127" s="401">
        <f t="shared" si="11"/>
        <v>0</v>
      </c>
      <c r="AM127" s="523"/>
      <c r="AN127" s="479"/>
      <c r="AO127" s="803"/>
      <c r="AP127" s="479"/>
      <c r="AQ127" s="369"/>
      <c r="AS127" s="483"/>
      <c r="AU127" s="479"/>
      <c r="AV127" s="803"/>
      <c r="AW127" s="479"/>
      <c r="AX127" s="395"/>
      <c r="AY127" s="395"/>
      <c r="AZ127" s="395"/>
      <c r="BA127" s="395"/>
      <c r="BB127" s="395"/>
      <c r="BC127" s="369"/>
      <c r="BD127" s="395"/>
      <c r="BE127" s="395"/>
      <c r="BF127" s="524"/>
      <c r="BG127" s="395"/>
      <c r="BH127" s="395"/>
      <c r="BI127" s="369"/>
      <c r="BJ127" s="395"/>
      <c r="BK127" s="395"/>
      <c r="BL127" s="395"/>
      <c r="BM127" s="395"/>
      <c r="BN127" s="395"/>
      <c r="BO127" s="395"/>
      <c r="BP127" s="395"/>
      <c r="BQ127" s="369"/>
      <c r="BR127" s="369"/>
      <c r="BS127" s="395"/>
      <c r="BT127" s="369"/>
      <c r="BU127" s="369"/>
      <c r="BV127" s="369"/>
      <c r="BW127" s="369"/>
      <c r="BX127" s="369"/>
      <c r="BY127" s="369"/>
      <c r="BZ127" s="369"/>
      <c r="CH127" s="395"/>
      <c r="CI127" s="511"/>
    </row>
    <row r="128" spans="1:87" s="370" customFormat="1" ht="15" collapsed="1">
      <c r="B128" s="852" t="s">
        <v>1335</v>
      </c>
      <c r="C128" s="784" t="s">
        <v>1309</v>
      </c>
      <c r="D128" s="785">
        <f>+I$73</f>
        <v>950</v>
      </c>
      <c r="E128" s="786">
        <f>+J$73</f>
        <v>875</v>
      </c>
      <c r="F128" s="787">
        <f>+K$73</f>
        <v>1188</v>
      </c>
      <c r="G128" s="787"/>
      <c r="H128" s="853" t="s">
        <v>1085</v>
      </c>
      <c r="I128" s="854" t="s">
        <v>1162</v>
      </c>
      <c r="J128" s="790" t="s">
        <v>1071</v>
      </c>
      <c r="K128" s="786" t="s">
        <v>1072</v>
      </c>
      <c r="L128" s="787" t="s">
        <v>21</v>
      </c>
      <c r="M128" s="791" t="s">
        <v>82</v>
      </c>
      <c r="N128" s="839" t="s">
        <v>1163</v>
      </c>
      <c r="O128" s="786" t="s">
        <v>1154</v>
      </c>
      <c r="P128" s="790" t="s">
        <v>1164</v>
      </c>
      <c r="Q128" s="793" t="s">
        <v>34</v>
      </c>
      <c r="R128" s="789">
        <v>1</v>
      </c>
      <c r="S128" s="793" t="s">
        <v>13</v>
      </c>
      <c r="T128" s="855" t="s">
        <v>128</v>
      </c>
      <c r="U128" s="794" t="s">
        <v>111</v>
      </c>
      <c r="V128" s="795" t="s">
        <v>32</v>
      </c>
      <c r="W128" s="796" t="s">
        <v>33</v>
      </c>
      <c r="X128" s="856"/>
      <c r="Y128" s="857">
        <f>SUM(Y129:Y136)</f>
        <v>4.8068468000000006</v>
      </c>
      <c r="Z128" s="857">
        <f>SUM(Z129:Z136)</f>
        <v>21.616536406656451</v>
      </c>
      <c r="AA128" s="800" t="str">
        <f>+AA$2</f>
        <v>SCU75M1</v>
      </c>
      <c r="AC128" s="801" t="str">
        <f>+AC$2</f>
        <v>SCU75M1</v>
      </c>
      <c r="AD128" s="801" t="str">
        <f>+AD$2</f>
        <v>SCU100M1</v>
      </c>
      <c r="AE128" s="801" t="str">
        <f>+AE$2</f>
        <v>SCU125M1</v>
      </c>
      <c r="AF128" s="802" t="str">
        <f>+AF$2</f>
        <v>SCU150M1</v>
      </c>
      <c r="AG128" s="858"/>
      <c r="AH128" s="521"/>
      <c r="AJ128" s="522"/>
      <c r="AK128" s="522">
        <f>SUM(AJ129:AJ136)</f>
        <v>4.8068468000000006</v>
      </c>
      <c r="AL128" s="523"/>
      <c r="AM128" s="523">
        <f>SUM(AL129:AL136)</f>
        <v>21.616536406656451</v>
      </c>
      <c r="AO128" s="803"/>
      <c r="AR128" s="479"/>
      <c r="AS128" s="522"/>
      <c r="AT128" s="479"/>
      <c r="AV128" s="803"/>
      <c r="BF128" s="524"/>
      <c r="CI128" s="521"/>
    </row>
    <row r="129" spans="1:87" s="747" customFormat="1" ht="13.9" hidden="1" customHeight="1" outlineLevel="1">
      <c r="A129" s="804"/>
      <c r="B129" s="805" t="s">
        <v>1336</v>
      </c>
      <c r="C129" s="859" t="str">
        <f>+D$4</f>
        <v>1540T(NA06)</v>
      </c>
      <c r="D129" s="807"/>
      <c r="E129" s="808"/>
      <c r="F129" s="809"/>
      <c r="G129" s="809"/>
      <c r="H129" s="457" t="s">
        <v>100</v>
      </c>
      <c r="I129" s="810"/>
      <c r="J129" s="811"/>
      <c r="K129" s="808"/>
      <c r="L129" s="809"/>
      <c r="M129" s="860">
        <v>1</v>
      </c>
      <c r="N129" s="813">
        <f t="shared" ref="N129:N136" si="66">IF(I129&gt;0,22/28*((I129/1000)^2-(I129/1000-2*J129/1000)^2)*K129/1000,IF(J129&gt;0,J129/1000*K129/1000*L129/1000, IF(K129&gt;0,K129/1000*L129/1000, IF(L129=0,1,L129/1000))))</f>
        <v>1</v>
      </c>
      <c r="O129" s="814">
        <v>8</v>
      </c>
      <c r="P129" s="811">
        <f t="shared" ref="P129:P136" si="67">M129*N129*O129</f>
        <v>8</v>
      </c>
      <c r="Q129" s="815">
        <v>1</v>
      </c>
      <c r="R129" s="816">
        <f>+R$128</f>
        <v>1</v>
      </c>
      <c r="S129" s="815">
        <f t="shared" si="6"/>
        <v>8</v>
      </c>
      <c r="T129" s="817" t="s">
        <v>115</v>
      </c>
      <c r="U129" s="818">
        <f>+I$21</f>
        <v>7000</v>
      </c>
      <c r="V129" s="819">
        <f t="shared" si="5"/>
        <v>6.8240753377917299E-5</v>
      </c>
      <c r="W129" s="811">
        <v>1</v>
      </c>
      <c r="X129" s="861">
        <f>+H$21</f>
        <v>0.12388600000000001</v>
      </c>
      <c r="Y129" s="821">
        <f t="shared" ref="Y129:Y136" si="68">+P129*R129*AA129*X129</f>
        <v>0.99108800000000008</v>
      </c>
      <c r="Z129" s="822">
        <f t="shared" ref="Z129:Z136" si="69">S129*U129*V129*W129</f>
        <v>3.8214821891633686</v>
      </c>
      <c r="AA129" s="823">
        <v>1</v>
      </c>
      <c r="AB129" s="824"/>
      <c r="AC129" s="825">
        <v>1</v>
      </c>
      <c r="AD129" s="825">
        <v>1</v>
      </c>
      <c r="AE129" s="825">
        <v>1</v>
      </c>
      <c r="AF129" s="825">
        <v>1</v>
      </c>
      <c r="AG129" s="826"/>
      <c r="AH129" s="827"/>
      <c r="AJ129" s="828">
        <f t="shared" ref="AJ129:AJ136" si="70">+Y129</f>
        <v>0.99108800000000008</v>
      </c>
      <c r="AK129" s="862"/>
      <c r="AL129" s="828">
        <f t="shared" ref="AL129:AL136" si="71">+Z129</f>
        <v>3.8214821891633686</v>
      </c>
      <c r="AM129" s="828"/>
      <c r="AO129" s="829"/>
      <c r="AS129" s="828"/>
      <c r="AV129" s="829"/>
      <c r="BF129" s="830"/>
      <c r="CI129" s="830"/>
    </row>
    <row r="130" spans="1:87" s="418" customFormat="1" ht="13.9" hidden="1" customHeight="1" outlineLevel="1">
      <c r="A130" s="863"/>
      <c r="B130" s="463" t="s">
        <v>1337</v>
      </c>
      <c r="C130" s="864" t="str">
        <f>IF(F$4=1,"Frame Coating", "No Coating")</f>
        <v>Frame Coating</v>
      </c>
      <c r="D130" s="865">
        <v>120</v>
      </c>
      <c r="E130" s="465"/>
      <c r="F130" s="466">
        <v>120</v>
      </c>
      <c r="G130" s="466"/>
      <c r="H130" s="462" t="s">
        <v>54</v>
      </c>
      <c r="I130" s="845"/>
      <c r="J130" s="464"/>
      <c r="K130" s="465">
        <f>+D130</f>
        <v>120</v>
      </c>
      <c r="L130" s="466">
        <f>+F130</f>
        <v>120</v>
      </c>
      <c r="M130" s="467">
        <v>2</v>
      </c>
      <c r="N130" s="846">
        <f>IF(I130&gt;0,22/28*((I130/1000)^2-(I130/1000-2*J130/1000)^2)*K130/1000,IF(J130&gt;0,J130/1000*K130/1000*L130/1000, IF(K130&gt;0,K130/1000*L130/1000, IF(L130=0,1,L130/1000))))</f>
        <v>1.4399999999999998E-2</v>
      </c>
      <c r="O130" s="469">
        <f>+O129</f>
        <v>8</v>
      </c>
      <c r="P130" s="464">
        <f t="shared" si="67"/>
        <v>0.23039999999999997</v>
      </c>
      <c r="Q130" s="470">
        <v>1.1000000000000001</v>
      </c>
      <c r="R130" s="486">
        <f t="shared" ref="R130:R136" si="72">+R$128</f>
        <v>1</v>
      </c>
      <c r="S130" s="470">
        <f t="shared" si="6"/>
        <v>0.25344</v>
      </c>
      <c r="T130" s="472" t="s">
        <v>115</v>
      </c>
      <c r="U130" s="847">
        <f>+K$11</f>
        <v>105216.77919288022</v>
      </c>
      <c r="V130" s="848">
        <f t="shared" si="5"/>
        <v>6.8240753377917299E-5</v>
      </c>
      <c r="W130" s="464">
        <v>1</v>
      </c>
      <c r="X130" s="849">
        <f>+J$11</f>
        <v>0.372</v>
      </c>
      <c r="Y130" s="866">
        <f t="shared" si="68"/>
        <v>8.5708799999999988E-2</v>
      </c>
      <c r="Z130" s="867">
        <f t="shared" si="69"/>
        <v>1.819717518673643</v>
      </c>
      <c r="AA130" s="473">
        <f>+AA129</f>
        <v>1</v>
      </c>
      <c r="AB130" s="479"/>
      <c r="AC130" s="383">
        <f>+AC129</f>
        <v>1</v>
      </c>
      <c r="AD130" s="383">
        <f>+AD129</f>
        <v>1</v>
      </c>
      <c r="AE130" s="383">
        <f>+AE129</f>
        <v>1</v>
      </c>
      <c r="AF130" s="383">
        <f>+AF129</f>
        <v>1</v>
      </c>
      <c r="AG130" s="868"/>
      <c r="AH130" s="521"/>
      <c r="AJ130" s="483">
        <f t="shared" si="70"/>
        <v>8.5708799999999988E-2</v>
      </c>
      <c r="AK130" s="522"/>
      <c r="AL130" s="401">
        <f t="shared" si="71"/>
        <v>1.819717518673643</v>
      </c>
      <c r="AM130" s="401"/>
      <c r="AO130" s="803"/>
      <c r="AQ130" s="369"/>
      <c r="AS130" s="483"/>
      <c r="AV130" s="803"/>
      <c r="AX130" s="369"/>
      <c r="AY130" s="369"/>
      <c r="AZ130" s="369"/>
      <c r="BA130" s="369"/>
      <c r="BB130" s="369"/>
      <c r="BC130" s="369"/>
      <c r="BD130" s="369"/>
      <c r="BE130" s="369"/>
      <c r="BF130" s="524"/>
      <c r="BG130" s="369"/>
      <c r="BH130" s="369"/>
      <c r="BI130" s="369"/>
      <c r="BJ130" s="369"/>
      <c r="BK130" s="369"/>
      <c r="BL130" s="369"/>
      <c r="BM130" s="369"/>
      <c r="BN130" s="369"/>
      <c r="BO130" s="369"/>
      <c r="BP130" s="369"/>
      <c r="BQ130" s="369"/>
      <c r="BR130" s="369"/>
      <c r="BS130" s="369"/>
      <c r="BT130" s="369"/>
      <c r="BU130" s="369"/>
      <c r="BV130" s="369"/>
      <c r="BW130" s="369"/>
      <c r="BX130" s="369"/>
      <c r="BY130" s="369"/>
      <c r="BZ130" s="369"/>
      <c r="CH130" s="369"/>
      <c r="CI130" s="524"/>
    </row>
    <row r="131" spans="1:87" s="747" customFormat="1" ht="13.9" hidden="1" customHeight="1" outlineLevel="1">
      <c r="A131" s="804"/>
      <c r="B131" s="805" t="s">
        <v>1338</v>
      </c>
      <c r="C131" s="806" t="str">
        <f>+D$4</f>
        <v>1540T(NA06)</v>
      </c>
      <c r="D131" s="807"/>
      <c r="E131" s="808"/>
      <c r="F131" s="809">
        <f>+E128</f>
        <v>875</v>
      </c>
      <c r="G131" s="809">
        <f>+R$21</f>
        <v>60</v>
      </c>
      <c r="H131" s="457" t="s">
        <v>1080</v>
      </c>
      <c r="I131" s="810"/>
      <c r="J131" s="811"/>
      <c r="K131" s="808"/>
      <c r="L131" s="809">
        <f>+F131-2*G131</f>
        <v>755</v>
      </c>
      <c r="M131" s="860">
        <v>1</v>
      </c>
      <c r="N131" s="813">
        <f t="shared" si="66"/>
        <v>0.755</v>
      </c>
      <c r="O131" s="814">
        <v>4</v>
      </c>
      <c r="P131" s="811">
        <f t="shared" si="67"/>
        <v>3.02</v>
      </c>
      <c r="Q131" s="815">
        <v>1.1000000000000001</v>
      </c>
      <c r="R131" s="816">
        <f t="shared" si="72"/>
        <v>1</v>
      </c>
      <c r="S131" s="815">
        <f t="shared" si="6"/>
        <v>3.3220000000000005</v>
      </c>
      <c r="T131" s="817" t="s">
        <v>115</v>
      </c>
      <c r="U131" s="818">
        <f>+E$21</f>
        <v>46215</v>
      </c>
      <c r="V131" s="819">
        <f t="shared" si="5"/>
        <v>6.8240753377917299E-5</v>
      </c>
      <c r="W131" s="811">
        <v>1</v>
      </c>
      <c r="X131" s="861">
        <f>+D$21</f>
        <v>0.71099999999999997</v>
      </c>
      <c r="Y131" s="821">
        <f t="shared" si="68"/>
        <v>2.1472199999999999</v>
      </c>
      <c r="Z131" s="822">
        <f t="shared" si="69"/>
        <v>10.476745598471409</v>
      </c>
      <c r="AA131" s="823">
        <v>1</v>
      </c>
      <c r="AB131" s="824"/>
      <c r="AC131" s="825">
        <v>1</v>
      </c>
      <c r="AD131" s="825">
        <v>1</v>
      </c>
      <c r="AE131" s="825">
        <v>1</v>
      </c>
      <c r="AF131" s="825">
        <v>1</v>
      </c>
      <c r="AG131" s="826"/>
      <c r="AH131" s="827"/>
      <c r="AJ131" s="828">
        <f t="shared" si="70"/>
        <v>2.1472199999999999</v>
      </c>
      <c r="AK131" s="862"/>
      <c r="AL131" s="828">
        <f t="shared" si="71"/>
        <v>10.476745598471409</v>
      </c>
      <c r="AM131" s="828"/>
      <c r="AO131" s="829"/>
      <c r="AS131" s="828"/>
      <c r="AV131" s="829"/>
      <c r="BF131" s="830"/>
      <c r="CI131" s="830"/>
    </row>
    <row r="132" spans="1:87" s="418" customFormat="1" ht="13.9" hidden="1" customHeight="1" outlineLevel="1">
      <c r="A132" s="863"/>
      <c r="B132" s="445" t="s">
        <v>1339</v>
      </c>
      <c r="C132" s="869" t="str">
        <f>IF(F$4=1,"Frame Coating", "No Coating")</f>
        <v>Frame Coating</v>
      </c>
      <c r="D132" s="870">
        <f>+O$21</f>
        <v>198</v>
      </c>
      <c r="E132" s="447"/>
      <c r="F132" s="448">
        <f>+F131</f>
        <v>875</v>
      </c>
      <c r="G132" s="448"/>
      <c r="H132" s="444" t="s">
        <v>54</v>
      </c>
      <c r="I132" s="832"/>
      <c r="J132" s="446"/>
      <c r="K132" s="447">
        <f>+D132</f>
        <v>198</v>
      </c>
      <c r="L132" s="448">
        <f>+L131</f>
        <v>755</v>
      </c>
      <c r="M132" s="449">
        <v>2</v>
      </c>
      <c r="N132" s="833">
        <f t="shared" si="66"/>
        <v>0.14949000000000001</v>
      </c>
      <c r="O132" s="451">
        <f>+O131</f>
        <v>4</v>
      </c>
      <c r="P132" s="446">
        <f t="shared" si="67"/>
        <v>1.1959200000000001</v>
      </c>
      <c r="Q132" s="452">
        <v>1.1000000000000001</v>
      </c>
      <c r="R132" s="482">
        <f t="shared" si="72"/>
        <v>1</v>
      </c>
      <c r="S132" s="452">
        <f t="shared" si="6"/>
        <v>1.3155120000000002</v>
      </c>
      <c r="T132" s="426" t="s">
        <v>115</v>
      </c>
      <c r="U132" s="834">
        <f>+L$11</f>
        <v>0.25</v>
      </c>
      <c r="V132" s="835">
        <f t="shared" si="5"/>
        <v>6.8240753377917299E-5</v>
      </c>
      <c r="W132" s="446">
        <v>1</v>
      </c>
      <c r="X132" s="836">
        <f>+L$11</f>
        <v>0.25</v>
      </c>
      <c r="Y132" s="871">
        <f t="shared" si="68"/>
        <v>0.29898000000000002</v>
      </c>
      <c r="Z132" s="872">
        <f t="shared" si="69"/>
        <v>2.244288248942269E-5</v>
      </c>
      <c r="AA132" s="456">
        <f>+AA131</f>
        <v>1</v>
      </c>
      <c r="AB132" s="479"/>
      <c r="AC132" s="378">
        <f>+AC131</f>
        <v>1</v>
      </c>
      <c r="AD132" s="378">
        <f t="shared" ref="AD132:AF132" si="73">+AD131</f>
        <v>1</v>
      </c>
      <c r="AE132" s="378">
        <f t="shared" si="73"/>
        <v>1</v>
      </c>
      <c r="AF132" s="378">
        <f t="shared" si="73"/>
        <v>1</v>
      </c>
      <c r="AG132" s="868"/>
      <c r="AH132" s="521"/>
      <c r="AJ132" s="483">
        <f t="shared" si="70"/>
        <v>0.29898000000000002</v>
      </c>
      <c r="AK132" s="522"/>
      <c r="AL132" s="401">
        <f t="shared" si="71"/>
        <v>2.244288248942269E-5</v>
      </c>
      <c r="AM132" s="401"/>
      <c r="AO132" s="803"/>
      <c r="AQ132" s="369"/>
      <c r="AS132" s="483"/>
      <c r="AV132" s="803"/>
      <c r="AX132" s="369"/>
      <c r="AY132" s="369"/>
      <c r="AZ132" s="369"/>
      <c r="BA132" s="369"/>
      <c r="BB132" s="369"/>
      <c r="BC132" s="369"/>
      <c r="BD132" s="369"/>
      <c r="BE132" s="369"/>
      <c r="BF132" s="524"/>
      <c r="BG132" s="369"/>
      <c r="BH132" s="369"/>
      <c r="BI132" s="369"/>
      <c r="BJ132" s="369"/>
      <c r="BK132" s="369"/>
      <c r="BL132" s="369"/>
      <c r="BM132" s="369"/>
      <c r="BN132" s="369"/>
      <c r="BO132" s="369"/>
      <c r="BP132" s="369"/>
      <c r="BQ132" s="369"/>
      <c r="BR132" s="369"/>
      <c r="BS132" s="369"/>
      <c r="BT132" s="369"/>
      <c r="BU132" s="369"/>
      <c r="BV132" s="369"/>
      <c r="BW132" s="369"/>
      <c r="BX132" s="369"/>
      <c r="BY132" s="369"/>
      <c r="BZ132" s="369"/>
      <c r="CH132" s="369"/>
      <c r="CI132" s="524"/>
    </row>
    <row r="133" spans="1:87" s="747" customFormat="1" ht="13.9" hidden="1" customHeight="1" outlineLevel="1">
      <c r="A133" s="804"/>
      <c r="B133" s="805" t="s">
        <v>1340</v>
      </c>
      <c r="C133" s="806" t="str">
        <f>+D$4</f>
        <v>1540T(NA06)</v>
      </c>
      <c r="D133" s="807"/>
      <c r="E133" s="808"/>
      <c r="F133" s="809">
        <f>+F132</f>
        <v>875</v>
      </c>
      <c r="G133" s="809">
        <f>+R$21</f>
        <v>60</v>
      </c>
      <c r="H133" s="457" t="s">
        <v>97</v>
      </c>
      <c r="I133" s="810"/>
      <c r="J133" s="811"/>
      <c r="K133" s="808"/>
      <c r="L133" s="809">
        <f>+F133-2*G133</f>
        <v>755</v>
      </c>
      <c r="M133" s="860">
        <v>1</v>
      </c>
      <c r="N133" s="813">
        <f t="shared" si="66"/>
        <v>0.755</v>
      </c>
      <c r="O133" s="814">
        <v>1</v>
      </c>
      <c r="P133" s="811">
        <f t="shared" si="67"/>
        <v>0.755</v>
      </c>
      <c r="Q133" s="815">
        <v>1.1000000000000001</v>
      </c>
      <c r="R133" s="816">
        <f t="shared" si="72"/>
        <v>1</v>
      </c>
      <c r="S133" s="815">
        <f t="shared" si="6"/>
        <v>0.83050000000000013</v>
      </c>
      <c r="T133" s="817" t="s">
        <v>115</v>
      </c>
      <c r="U133" s="818">
        <f>+E$21</f>
        <v>46215</v>
      </c>
      <c r="V133" s="819">
        <f t="shared" si="5"/>
        <v>6.8240753377917299E-5</v>
      </c>
      <c r="W133" s="811">
        <v>1</v>
      </c>
      <c r="X133" s="861">
        <f>+D$21</f>
        <v>0.71099999999999997</v>
      </c>
      <c r="Y133" s="821">
        <f t="shared" si="68"/>
        <v>0.53680499999999998</v>
      </c>
      <c r="Z133" s="822">
        <f t="shared" si="69"/>
        <v>2.6191863996178522</v>
      </c>
      <c r="AA133" s="823">
        <v>1</v>
      </c>
      <c r="AB133" s="824"/>
      <c r="AC133" s="825">
        <v>1</v>
      </c>
      <c r="AD133" s="825">
        <v>1</v>
      </c>
      <c r="AE133" s="825">
        <v>1</v>
      </c>
      <c r="AF133" s="825">
        <v>1</v>
      </c>
      <c r="AG133" s="826"/>
      <c r="AH133" s="827"/>
      <c r="AJ133" s="828">
        <f t="shared" si="70"/>
        <v>0.53680499999999998</v>
      </c>
      <c r="AK133" s="862"/>
      <c r="AL133" s="828">
        <f t="shared" si="71"/>
        <v>2.6191863996178522</v>
      </c>
      <c r="AM133" s="828"/>
      <c r="AO133" s="829"/>
      <c r="AS133" s="828"/>
      <c r="AV133" s="829"/>
      <c r="BF133" s="830"/>
      <c r="CI133" s="830"/>
    </row>
    <row r="134" spans="1:87" s="418" customFormat="1" ht="13.9" hidden="1" customHeight="1" outlineLevel="1">
      <c r="A134" s="863"/>
      <c r="B134" s="445" t="s">
        <v>1339</v>
      </c>
      <c r="C134" s="869" t="str">
        <f>IF(F$4=1,"Frame Coating", "No Coating")</f>
        <v>Frame Coating</v>
      </c>
      <c r="D134" s="870">
        <f>+O$21</f>
        <v>198</v>
      </c>
      <c r="E134" s="447"/>
      <c r="F134" s="448">
        <f>+F133</f>
        <v>875</v>
      </c>
      <c r="G134" s="448"/>
      <c r="H134" s="444" t="s">
        <v>54</v>
      </c>
      <c r="I134" s="832"/>
      <c r="J134" s="446"/>
      <c r="K134" s="447">
        <f>+D134</f>
        <v>198</v>
      </c>
      <c r="L134" s="448">
        <f>+L133</f>
        <v>755</v>
      </c>
      <c r="M134" s="449">
        <v>2</v>
      </c>
      <c r="N134" s="833">
        <f>IF(I134&gt;0,22/28*((I134/1000)^2-(I134/1000-2*J134/1000)^2)*K134/1000,IF(J134&gt;0,J134/1000*K134/1000*L134/1000, IF(K134&gt;0,K134/1000*L134/1000, IF(L134=0,1,L134/1000))))</f>
        <v>0.14949000000000001</v>
      </c>
      <c r="O134" s="451">
        <f>+O133</f>
        <v>1</v>
      </c>
      <c r="P134" s="446">
        <f>M134*N134*O134</f>
        <v>0.29898000000000002</v>
      </c>
      <c r="Q134" s="452">
        <v>1.1000000000000001</v>
      </c>
      <c r="R134" s="482">
        <f t="shared" si="72"/>
        <v>1</v>
      </c>
      <c r="S134" s="452">
        <f t="shared" si="6"/>
        <v>0.32887800000000006</v>
      </c>
      <c r="T134" s="426" t="s">
        <v>115</v>
      </c>
      <c r="U134" s="834">
        <f>+L$11</f>
        <v>0.25</v>
      </c>
      <c r="V134" s="835">
        <f t="shared" si="5"/>
        <v>6.8240753377917299E-5</v>
      </c>
      <c r="W134" s="446">
        <v>1</v>
      </c>
      <c r="X134" s="836">
        <f>+L$11</f>
        <v>0.25</v>
      </c>
      <c r="Y134" s="871">
        <f t="shared" si="68"/>
        <v>7.4745000000000006E-2</v>
      </c>
      <c r="Z134" s="872">
        <f t="shared" si="69"/>
        <v>5.6107206223556725E-6</v>
      </c>
      <c r="AA134" s="456">
        <f>+AA133</f>
        <v>1</v>
      </c>
      <c r="AB134" s="479"/>
      <c r="AC134" s="378">
        <f>+AC133</f>
        <v>1</v>
      </c>
      <c r="AD134" s="378">
        <f t="shared" ref="AD134:AF134" si="74">+AD133</f>
        <v>1</v>
      </c>
      <c r="AE134" s="378">
        <f t="shared" si="74"/>
        <v>1</v>
      </c>
      <c r="AF134" s="378">
        <f t="shared" si="74"/>
        <v>1</v>
      </c>
      <c r="AG134" s="868"/>
      <c r="AH134" s="521"/>
      <c r="AJ134" s="483">
        <f t="shared" si="70"/>
        <v>7.4745000000000006E-2</v>
      </c>
      <c r="AK134" s="522"/>
      <c r="AL134" s="401">
        <f t="shared" si="71"/>
        <v>5.6107206223556725E-6</v>
      </c>
      <c r="AM134" s="401"/>
      <c r="AO134" s="803"/>
      <c r="AQ134" s="369"/>
      <c r="AS134" s="483"/>
      <c r="AV134" s="803"/>
      <c r="AX134" s="369"/>
      <c r="AY134" s="369"/>
      <c r="AZ134" s="369"/>
      <c r="BA134" s="369"/>
      <c r="BB134" s="369"/>
      <c r="BC134" s="369"/>
      <c r="BD134" s="369"/>
      <c r="BE134" s="369"/>
      <c r="BF134" s="524"/>
      <c r="BG134" s="369"/>
      <c r="BH134" s="369"/>
      <c r="BI134" s="369"/>
      <c r="BJ134" s="369"/>
      <c r="BK134" s="369"/>
      <c r="BL134" s="369"/>
      <c r="BM134" s="369"/>
      <c r="BN134" s="369"/>
      <c r="BO134" s="369"/>
      <c r="BP134" s="369"/>
      <c r="BQ134" s="369"/>
      <c r="BR134" s="369"/>
      <c r="BS134" s="369"/>
      <c r="BT134" s="369"/>
      <c r="BU134" s="369"/>
      <c r="BV134" s="369"/>
      <c r="BW134" s="369"/>
      <c r="BX134" s="369"/>
      <c r="BY134" s="369"/>
      <c r="BZ134" s="369"/>
      <c r="CH134" s="369"/>
      <c r="CI134" s="524"/>
    </row>
    <row r="135" spans="1:87" s="747" customFormat="1" ht="13.9" hidden="1" customHeight="1" outlineLevel="1">
      <c r="A135" s="804"/>
      <c r="B135" s="805" t="s">
        <v>1341</v>
      </c>
      <c r="C135" s="806" t="str">
        <f>+D$4</f>
        <v>1540T(NA06)</v>
      </c>
      <c r="D135" s="807"/>
      <c r="E135" s="808"/>
      <c r="F135" s="809">
        <f>+D128</f>
        <v>950</v>
      </c>
      <c r="G135" s="809">
        <f>+R$21</f>
        <v>60</v>
      </c>
      <c r="H135" s="457" t="s">
        <v>97</v>
      </c>
      <c r="I135" s="810"/>
      <c r="J135" s="811"/>
      <c r="K135" s="808"/>
      <c r="L135" s="809">
        <f t="shared" ref="L135" si="75">+F135-2*G135</f>
        <v>830</v>
      </c>
      <c r="M135" s="860">
        <v>1</v>
      </c>
      <c r="N135" s="813">
        <f t="shared" si="66"/>
        <v>0.83</v>
      </c>
      <c r="O135" s="814">
        <v>1</v>
      </c>
      <c r="P135" s="811">
        <f t="shared" si="67"/>
        <v>0.83</v>
      </c>
      <c r="Q135" s="815">
        <v>1.1000000000000001</v>
      </c>
      <c r="R135" s="816">
        <f t="shared" si="72"/>
        <v>1</v>
      </c>
      <c r="S135" s="815">
        <f t="shared" si="6"/>
        <v>0.91300000000000003</v>
      </c>
      <c r="T135" s="817" t="s">
        <v>115</v>
      </c>
      <c r="U135" s="818">
        <f>+E$21</f>
        <v>46215</v>
      </c>
      <c r="V135" s="819">
        <f t="shared" si="5"/>
        <v>6.8240753377917299E-5</v>
      </c>
      <c r="W135" s="811">
        <v>1</v>
      </c>
      <c r="X135" s="861">
        <f>+D$21</f>
        <v>0.71099999999999997</v>
      </c>
      <c r="Y135" s="821">
        <f t="shared" si="68"/>
        <v>0.59012999999999993</v>
      </c>
      <c r="Z135" s="822">
        <f t="shared" si="69"/>
        <v>2.8793704790500887</v>
      </c>
      <c r="AA135" s="823">
        <v>1</v>
      </c>
      <c r="AB135" s="824"/>
      <c r="AC135" s="825">
        <v>1</v>
      </c>
      <c r="AD135" s="825">
        <v>1</v>
      </c>
      <c r="AE135" s="825">
        <v>1</v>
      </c>
      <c r="AF135" s="825">
        <v>1</v>
      </c>
      <c r="AG135" s="826"/>
      <c r="AH135" s="827"/>
      <c r="AJ135" s="828">
        <f t="shared" si="70"/>
        <v>0.59012999999999993</v>
      </c>
      <c r="AK135" s="862"/>
      <c r="AL135" s="828">
        <f t="shared" si="71"/>
        <v>2.8793704790500887</v>
      </c>
      <c r="AM135" s="828"/>
      <c r="AO135" s="829"/>
      <c r="AS135" s="828"/>
      <c r="AV135" s="829"/>
      <c r="BF135" s="830"/>
      <c r="CI135" s="830"/>
    </row>
    <row r="136" spans="1:87" s="418" customFormat="1" ht="13.9" hidden="1" customHeight="1" outlineLevel="1">
      <c r="A136" s="863"/>
      <c r="B136" s="463" t="s">
        <v>1339</v>
      </c>
      <c r="C136" s="864" t="str">
        <f>IF(F$4=1,"Frame Coating", "No Coating")</f>
        <v>Frame Coating</v>
      </c>
      <c r="D136" s="865">
        <f>+O$21</f>
        <v>198</v>
      </c>
      <c r="E136" s="465"/>
      <c r="F136" s="466">
        <f>+F135</f>
        <v>950</v>
      </c>
      <c r="G136" s="466"/>
      <c r="H136" s="462" t="s">
        <v>54</v>
      </c>
      <c r="I136" s="845"/>
      <c r="J136" s="464"/>
      <c r="K136" s="465">
        <f>+D136</f>
        <v>198</v>
      </c>
      <c r="L136" s="466">
        <f t="shared" ref="L136" si="76">+L135</f>
        <v>830</v>
      </c>
      <c r="M136" s="467">
        <v>2</v>
      </c>
      <c r="N136" s="846">
        <f t="shared" si="66"/>
        <v>0.16434000000000001</v>
      </c>
      <c r="O136" s="469">
        <f>+O135</f>
        <v>1</v>
      </c>
      <c r="P136" s="464">
        <f t="shared" si="67"/>
        <v>0.32868000000000003</v>
      </c>
      <c r="Q136" s="470">
        <v>1.1000000000000001</v>
      </c>
      <c r="R136" s="486">
        <f t="shared" si="72"/>
        <v>1</v>
      </c>
      <c r="S136" s="470">
        <f t="shared" si="6"/>
        <v>0.36154800000000004</v>
      </c>
      <c r="T136" s="472" t="s">
        <v>115</v>
      </c>
      <c r="U136" s="847">
        <f>+L$11</f>
        <v>0.25</v>
      </c>
      <c r="V136" s="848">
        <f t="shared" si="5"/>
        <v>6.8240753377917299E-5</v>
      </c>
      <c r="W136" s="464">
        <v>1</v>
      </c>
      <c r="X136" s="849">
        <f>+L$11</f>
        <v>0.25</v>
      </c>
      <c r="Y136" s="866">
        <f t="shared" si="68"/>
        <v>8.2170000000000007E-2</v>
      </c>
      <c r="Z136" s="867">
        <f t="shared" si="69"/>
        <v>6.1680769755698112E-6</v>
      </c>
      <c r="AA136" s="473">
        <f>+AA135</f>
        <v>1</v>
      </c>
      <c r="AB136" s="479"/>
      <c r="AC136" s="383">
        <f>+AC135</f>
        <v>1</v>
      </c>
      <c r="AD136" s="383">
        <f t="shared" ref="AD136:AF136" si="77">+AD135</f>
        <v>1</v>
      </c>
      <c r="AE136" s="383">
        <f t="shared" si="77"/>
        <v>1</v>
      </c>
      <c r="AF136" s="383">
        <f t="shared" si="77"/>
        <v>1</v>
      </c>
      <c r="AG136" s="868"/>
      <c r="AH136" s="521"/>
      <c r="AJ136" s="483">
        <f t="shared" si="70"/>
        <v>8.2170000000000007E-2</v>
      </c>
      <c r="AK136" s="522"/>
      <c r="AL136" s="401">
        <f t="shared" si="71"/>
        <v>6.1680769755698112E-6</v>
      </c>
      <c r="AM136" s="401"/>
      <c r="AO136" s="803"/>
      <c r="AQ136" s="369"/>
      <c r="AS136" s="483"/>
      <c r="AV136" s="803"/>
      <c r="AX136" s="369"/>
      <c r="AY136" s="369"/>
      <c r="AZ136" s="369"/>
      <c r="BA136" s="369"/>
      <c r="BB136" s="369"/>
      <c r="BC136" s="369"/>
      <c r="BD136" s="369"/>
      <c r="BE136" s="369"/>
      <c r="BF136" s="524"/>
      <c r="BG136" s="369"/>
      <c r="BH136" s="369"/>
      <c r="BI136" s="369"/>
      <c r="BJ136" s="369"/>
      <c r="BK136" s="369"/>
      <c r="BL136" s="369"/>
      <c r="BM136" s="369"/>
      <c r="BN136" s="369"/>
      <c r="BO136" s="369"/>
      <c r="BP136" s="369"/>
      <c r="BQ136" s="369"/>
      <c r="BR136" s="369"/>
      <c r="BS136" s="369"/>
      <c r="BT136" s="369"/>
      <c r="BU136" s="369"/>
      <c r="BV136" s="369"/>
      <c r="BW136" s="369"/>
      <c r="BX136" s="369"/>
      <c r="BY136" s="369"/>
      <c r="BZ136" s="369"/>
      <c r="CH136" s="369"/>
      <c r="CI136" s="524"/>
    </row>
    <row r="137" spans="1:87" s="370" customFormat="1" ht="15" collapsed="1">
      <c r="B137" s="873" t="s">
        <v>1342</v>
      </c>
      <c r="C137" s="874"/>
      <c r="D137" s="875"/>
      <c r="E137" s="876"/>
      <c r="F137" s="877"/>
      <c r="G137" s="877"/>
      <c r="H137" s="878"/>
      <c r="I137" s="879"/>
      <c r="J137" s="880"/>
      <c r="K137" s="876"/>
      <c r="L137" s="877"/>
      <c r="M137" s="881"/>
      <c r="N137" s="882"/>
      <c r="O137" s="876"/>
      <c r="P137" s="880"/>
      <c r="Q137" s="883"/>
      <c r="R137" s="881"/>
      <c r="S137" s="883"/>
      <c r="T137" s="884"/>
      <c r="U137" s="884"/>
      <c r="V137" s="885"/>
      <c r="W137" s="886"/>
      <c r="X137" s="887"/>
      <c r="Y137" s="888"/>
      <c r="Z137" s="889"/>
      <c r="AA137" s="890"/>
      <c r="AB137" s="747"/>
      <c r="AC137" s="891"/>
      <c r="AD137" s="891"/>
      <c r="AE137" s="891"/>
      <c r="AF137" s="892"/>
      <c r="AH137" s="521"/>
      <c r="AJ137" s="483"/>
      <c r="AK137" s="522"/>
      <c r="AL137" s="401"/>
      <c r="AM137" s="523"/>
      <c r="AO137" s="803"/>
      <c r="AQ137" s="395"/>
      <c r="AR137" s="893"/>
      <c r="AS137" s="420"/>
      <c r="AT137" s="893"/>
      <c r="AV137" s="803"/>
      <c r="AX137" s="395"/>
      <c r="AY137" s="395"/>
      <c r="AZ137" s="395"/>
      <c r="BA137" s="395"/>
      <c r="BB137" s="395"/>
      <c r="BC137" s="369"/>
      <c r="BD137" s="395"/>
      <c r="BE137" s="395"/>
      <c r="BF137" s="524"/>
      <c r="BG137" s="395"/>
      <c r="BH137" s="395"/>
      <c r="BI137" s="369"/>
      <c r="BJ137" s="395"/>
      <c r="BK137" s="395"/>
      <c r="BL137" s="395"/>
      <c r="BM137" s="395"/>
      <c r="BN137" s="395"/>
      <c r="BO137" s="395"/>
      <c r="BP137" s="395"/>
      <c r="BQ137" s="369"/>
      <c r="BR137" s="369"/>
      <c r="BS137" s="395"/>
      <c r="BT137" s="369"/>
      <c r="BU137" s="369"/>
      <c r="BV137" s="369"/>
      <c r="BW137" s="369"/>
      <c r="BX137" s="369"/>
      <c r="BY137" s="369"/>
      <c r="CH137" s="395"/>
      <c r="CI137" s="511"/>
    </row>
    <row r="138" spans="1:87" s="370" customFormat="1" ht="15">
      <c r="B138" s="852" t="s">
        <v>1343</v>
      </c>
      <c r="C138" s="784"/>
      <c r="D138" s="785"/>
      <c r="E138" s="786"/>
      <c r="F138" s="787"/>
      <c r="G138" s="787"/>
      <c r="H138" s="788" t="s">
        <v>30</v>
      </c>
      <c r="I138" s="789" t="s">
        <v>1162</v>
      </c>
      <c r="J138" s="790" t="s">
        <v>1071</v>
      </c>
      <c r="K138" s="786" t="s">
        <v>1072</v>
      </c>
      <c r="L138" s="787" t="s">
        <v>21</v>
      </c>
      <c r="M138" s="791" t="s">
        <v>82</v>
      </c>
      <c r="N138" s="839" t="s">
        <v>1163</v>
      </c>
      <c r="O138" s="786" t="s">
        <v>1154</v>
      </c>
      <c r="P138" s="790" t="s">
        <v>1164</v>
      </c>
      <c r="Q138" s="793" t="s">
        <v>34</v>
      </c>
      <c r="R138" s="894">
        <f>IF(F$8="WeiGuang",1,0)</f>
        <v>1</v>
      </c>
      <c r="S138" s="793" t="s">
        <v>13</v>
      </c>
      <c r="T138" s="794" t="s">
        <v>128</v>
      </c>
      <c r="U138" s="794" t="s">
        <v>111</v>
      </c>
      <c r="V138" s="795" t="s">
        <v>32</v>
      </c>
      <c r="W138" s="796" t="s">
        <v>33</v>
      </c>
      <c r="X138" s="797"/>
      <c r="Y138" s="798"/>
      <c r="Z138" s="799"/>
      <c r="AA138" s="800" t="str">
        <f>+AA$2</f>
        <v>SCU75M1</v>
      </c>
      <c r="AB138" s="747"/>
      <c r="AC138" s="801" t="str">
        <f>+AC$2</f>
        <v>SCU75M1</v>
      </c>
      <c r="AD138" s="801" t="str">
        <f>+AD$2</f>
        <v>SCU100M1</v>
      </c>
      <c r="AE138" s="801" t="str">
        <f>+AE$2</f>
        <v>SCU125M1</v>
      </c>
      <c r="AF138" s="802" t="str">
        <f>+AF$2</f>
        <v>SCU150M1</v>
      </c>
      <c r="AH138" s="521"/>
      <c r="AJ138" s="483"/>
      <c r="AK138" s="522"/>
      <c r="AL138" s="401"/>
      <c r="AM138" s="523"/>
      <c r="AO138" s="803"/>
      <c r="AQ138" s="2143" t="str">
        <f>+B138</f>
        <v>AIR EXCHANGE: WeiGuang Fan Assy</v>
      </c>
      <c r="AR138" s="2144"/>
      <c r="AS138" s="2144"/>
      <c r="AT138" s="2145"/>
      <c r="AV138" s="803"/>
      <c r="AX138" s="2143" t="str">
        <f>+AQ138</f>
        <v>AIR EXCHANGE: WeiGuang Fan Assy</v>
      </c>
      <c r="AY138" s="2144"/>
      <c r="AZ138" s="2144"/>
      <c r="BA138" s="2144"/>
      <c r="BB138" s="2144"/>
      <c r="BC138" s="2144"/>
      <c r="BD138" s="2145"/>
      <c r="BE138" s="369"/>
      <c r="BF138" s="524"/>
      <c r="BG138" s="395"/>
      <c r="BH138" s="395"/>
      <c r="BI138" s="395"/>
      <c r="BJ138" s="395"/>
      <c r="BK138" s="369"/>
      <c r="BL138" s="395"/>
      <c r="BM138" s="395"/>
      <c r="BN138" s="395"/>
      <c r="BO138" s="395"/>
      <c r="BP138" s="395"/>
      <c r="BQ138" s="395"/>
      <c r="BR138" s="369"/>
      <c r="BS138" s="369"/>
      <c r="BT138" s="369"/>
      <c r="BU138" s="395"/>
      <c r="BV138" s="369"/>
      <c r="BW138" s="369"/>
      <c r="BX138" s="369"/>
      <c r="BY138" s="395"/>
      <c r="BZ138" s="369"/>
      <c r="CA138" s="369"/>
      <c r="CH138" s="395"/>
      <c r="CI138" s="511"/>
    </row>
    <row r="139" spans="1:87" s="370" customFormat="1" ht="15">
      <c r="B139" s="895" t="s">
        <v>1344</v>
      </c>
      <c r="C139" s="896"/>
      <c r="D139" s="897"/>
      <c r="E139" s="898"/>
      <c r="F139" s="899"/>
      <c r="G139" s="899"/>
      <c r="H139" s="900"/>
      <c r="I139" s="901"/>
      <c r="J139" s="902"/>
      <c r="K139" s="898"/>
      <c r="L139" s="899"/>
      <c r="M139" s="903"/>
      <c r="N139" s="904"/>
      <c r="O139" s="898"/>
      <c r="P139" s="902"/>
      <c r="Q139" s="905"/>
      <c r="R139" s="903"/>
      <c r="S139" s="905"/>
      <c r="T139" s="906"/>
      <c r="U139" s="906"/>
      <c r="V139" s="907"/>
      <c r="W139" s="908"/>
      <c r="X139" s="909"/>
      <c r="Y139" s="910">
        <f>SUM(Y140:Y141)</f>
        <v>15</v>
      </c>
      <c r="Z139" s="910">
        <f>SUM(Z140:Z141)</f>
        <v>177.42595878258496</v>
      </c>
      <c r="AA139" s="911"/>
      <c r="AB139" s="747"/>
      <c r="AC139" s="912"/>
      <c r="AD139" s="912"/>
      <c r="AE139" s="912"/>
      <c r="AF139" s="913"/>
      <c r="AH139" s="521"/>
      <c r="AJ139" s="483"/>
      <c r="AK139" s="522">
        <f>SUM(AJ140:AJ141)</f>
        <v>15</v>
      </c>
      <c r="AL139" s="401"/>
      <c r="AM139" s="523">
        <f>SUM(AL140:AL141)</f>
        <v>177.42595878258496</v>
      </c>
      <c r="AO139" s="521"/>
      <c r="AQ139" s="914" t="str">
        <f>+B139</f>
        <v>- Fan Assy</v>
      </c>
      <c r="AR139" s="915" t="s">
        <v>724</v>
      </c>
      <c r="AS139" s="916" t="s">
        <v>97</v>
      </c>
      <c r="AT139" s="917" t="s">
        <v>1345</v>
      </c>
      <c r="AV139" s="521"/>
      <c r="AX139" s="918" t="s">
        <v>1346</v>
      </c>
      <c r="AY139" s="919" t="s">
        <v>1347</v>
      </c>
      <c r="AZ139" s="919" t="s">
        <v>1348</v>
      </c>
      <c r="BA139" s="919" t="s">
        <v>1349</v>
      </c>
      <c r="BB139" s="919" t="s">
        <v>1350</v>
      </c>
      <c r="BC139" s="919" t="s">
        <v>1351</v>
      </c>
      <c r="BD139" s="920" t="s">
        <v>1352</v>
      </c>
      <c r="BE139" s="369"/>
      <c r="BF139" s="524"/>
      <c r="BG139" s="395"/>
      <c r="BH139" s="395"/>
      <c r="BI139" s="395"/>
      <c r="BJ139" s="395"/>
      <c r="BK139" s="369"/>
      <c r="BL139" s="395"/>
      <c r="BM139" s="395"/>
      <c r="BN139" s="395"/>
      <c r="BO139" s="395"/>
      <c r="BP139" s="395"/>
      <c r="BQ139" s="395"/>
      <c r="BR139" s="369"/>
      <c r="BS139" s="369"/>
      <c r="BT139" s="369"/>
      <c r="BU139" s="395"/>
      <c r="BV139" s="369"/>
      <c r="BW139" s="369"/>
      <c r="BX139" s="369"/>
      <c r="BY139" s="395"/>
      <c r="BZ139" s="369"/>
      <c r="CA139" s="369"/>
      <c r="CH139" s="395"/>
      <c r="CI139" s="511"/>
    </row>
    <row r="140" spans="1:87" s="747" customFormat="1" ht="13.9" hidden="1" customHeight="1" outlineLevel="1">
      <c r="B140" s="921" t="str">
        <f t="shared" ref="B140:B141" si="78">"Wei Guang, "&amp;AQ140</f>
        <v>Wei Guang, YWF4D-630S-137/70-G</v>
      </c>
      <c r="C140" s="922"/>
      <c r="D140" s="923"/>
      <c r="E140" s="808"/>
      <c r="F140" s="809"/>
      <c r="G140" s="809"/>
      <c r="H140" s="924" t="s">
        <v>100</v>
      </c>
      <c r="J140" s="828"/>
      <c r="K140" s="808"/>
      <c r="L140" s="809"/>
      <c r="M140" s="860">
        <v>1</v>
      </c>
      <c r="N140" s="813">
        <f t="shared" ref="N140:N141" si="79">IF(I140&gt;0,22/28*((I140/1000)^2-(I140/1000-2*J140/1000)^2)*K140/1000,IF(J140&gt;0,J140/1000*K140/1000*L140/1000, IF(K140&gt;0,K140/1000*L140/1000, IF(L140=0,1,L140/1000))))</f>
        <v>1</v>
      </c>
      <c r="O140" s="814">
        <v>1</v>
      </c>
      <c r="P140" s="811">
        <f t="shared" ref="P140:P141" si="80">M140*N140*O140</f>
        <v>1</v>
      </c>
      <c r="Q140" s="815">
        <v>1</v>
      </c>
      <c r="R140" s="505">
        <f t="shared" ref="R140:R144" si="81">+R$138</f>
        <v>1</v>
      </c>
      <c r="S140" s="815">
        <f t="shared" ref="S140:S169" si="82">P140*AA140*Q140*R140</f>
        <v>1</v>
      </c>
      <c r="T140" s="925" t="s">
        <v>46</v>
      </c>
      <c r="U140" s="926">
        <v>177.42595878258496</v>
      </c>
      <c r="V140" s="927">
        <f t="shared" ref="V140:V141" si="83">1/VLOOKUP(T140,Y$12:Z$18,2,FALSE)</f>
        <v>1</v>
      </c>
      <c r="W140" s="926">
        <v>1</v>
      </c>
      <c r="X140" s="820">
        <v>15</v>
      </c>
      <c r="Y140" s="928">
        <f t="shared" ref="Y140:Y141" si="84">+P140*R140*AA140*X140</f>
        <v>15</v>
      </c>
      <c r="Z140" s="929">
        <f t="shared" ref="Z140:Z141" si="85">S140*U140*V140*W140</f>
        <v>177.42595878258496</v>
      </c>
      <c r="AA140" s="823">
        <v>1</v>
      </c>
      <c r="AC140" s="825">
        <v>1</v>
      </c>
      <c r="AD140" s="825">
        <v>1</v>
      </c>
      <c r="AE140" s="825"/>
      <c r="AF140" s="825"/>
      <c r="AG140" s="824"/>
      <c r="AH140" s="827"/>
      <c r="AI140" s="824"/>
      <c r="AJ140" s="828">
        <f t="shared" ref="AJ140:AJ144" si="86">+Y140</f>
        <v>15</v>
      </c>
      <c r="AK140" s="862"/>
      <c r="AL140" s="828">
        <f t="shared" ref="AL140:AL144" si="87">+Z140</f>
        <v>177.42595878258496</v>
      </c>
      <c r="AM140" s="862"/>
      <c r="AN140" s="824"/>
      <c r="AO140" s="827"/>
      <c r="AP140" s="824"/>
      <c r="AQ140" s="930" t="s">
        <v>1353</v>
      </c>
      <c r="AR140" s="931" t="s">
        <v>1354</v>
      </c>
      <c r="AS140" s="932">
        <v>15</v>
      </c>
      <c r="AT140" s="933">
        <v>177.42595878258496</v>
      </c>
      <c r="AU140" s="824"/>
      <c r="AV140" s="827"/>
      <c r="AW140" s="824"/>
      <c r="AX140" s="934">
        <v>800</v>
      </c>
      <c r="AY140" s="935">
        <v>1.6</v>
      </c>
      <c r="AZ140" s="936">
        <v>12200</v>
      </c>
      <c r="BA140" s="936">
        <v>11600</v>
      </c>
      <c r="BB140" s="936">
        <v>11000</v>
      </c>
      <c r="BC140" s="936">
        <v>10000</v>
      </c>
      <c r="BD140" s="924">
        <v>78</v>
      </c>
      <c r="BE140" s="937"/>
      <c r="BF140" s="830"/>
      <c r="BG140" s="936"/>
      <c r="BH140" s="936"/>
      <c r="BI140" s="936"/>
      <c r="BJ140" s="936"/>
      <c r="BL140" s="936"/>
      <c r="BM140" s="936"/>
      <c r="BN140" s="936"/>
      <c r="BO140" s="936"/>
      <c r="BP140" s="936"/>
      <c r="BQ140" s="936"/>
      <c r="BU140" s="936"/>
      <c r="BY140" s="936"/>
      <c r="CH140" s="936"/>
      <c r="CI140" s="938"/>
    </row>
    <row r="141" spans="1:87" s="747" customFormat="1" ht="13.9" hidden="1" customHeight="1" outlineLevel="1">
      <c r="B141" s="931" t="str">
        <f t="shared" si="78"/>
        <v>Wei Guang, YWF6D-710S-180/75-G</v>
      </c>
      <c r="D141" s="930"/>
      <c r="E141" s="808"/>
      <c r="F141" s="809"/>
      <c r="G141" s="809"/>
      <c r="H141" s="924" t="s">
        <v>100</v>
      </c>
      <c r="I141" s="816"/>
      <c r="J141" s="811"/>
      <c r="K141" s="808"/>
      <c r="L141" s="809"/>
      <c r="M141" s="860">
        <v>1</v>
      </c>
      <c r="N141" s="939">
        <f t="shared" si="79"/>
        <v>1</v>
      </c>
      <c r="O141" s="814">
        <v>1</v>
      </c>
      <c r="P141" s="811">
        <f t="shared" si="80"/>
        <v>1</v>
      </c>
      <c r="Q141" s="815">
        <v>1</v>
      </c>
      <c r="R141" s="505">
        <f t="shared" si="81"/>
        <v>1</v>
      </c>
      <c r="S141" s="815">
        <f t="shared" si="82"/>
        <v>0</v>
      </c>
      <c r="T141" s="925" t="s">
        <v>46</v>
      </c>
      <c r="U141" s="926">
        <v>368.50006824075336</v>
      </c>
      <c r="V141" s="927">
        <f t="shared" si="83"/>
        <v>1</v>
      </c>
      <c r="W141" s="926">
        <v>1</v>
      </c>
      <c r="X141" s="820">
        <v>30</v>
      </c>
      <c r="Y141" s="928">
        <f t="shared" si="84"/>
        <v>0</v>
      </c>
      <c r="Z141" s="929">
        <f t="shared" si="85"/>
        <v>0</v>
      </c>
      <c r="AA141" s="823"/>
      <c r="AC141" s="457"/>
      <c r="AD141" s="457"/>
      <c r="AE141" s="457">
        <v>1</v>
      </c>
      <c r="AF141" s="457">
        <v>1</v>
      </c>
      <c r="AG141" s="824"/>
      <c r="AH141" s="827"/>
      <c r="AI141" s="824"/>
      <c r="AJ141" s="828">
        <f t="shared" si="86"/>
        <v>0</v>
      </c>
      <c r="AK141" s="862"/>
      <c r="AL141" s="828">
        <f t="shared" si="87"/>
        <v>0</v>
      </c>
      <c r="AM141" s="862"/>
      <c r="AN141" s="824"/>
      <c r="AO141" s="827"/>
      <c r="AP141" s="824"/>
      <c r="AQ141" s="930" t="s">
        <v>1355</v>
      </c>
      <c r="AR141" s="931" t="s">
        <v>1356</v>
      </c>
      <c r="AS141" s="932">
        <v>30</v>
      </c>
      <c r="AT141" s="933">
        <v>368.50006824075336</v>
      </c>
      <c r="AU141" s="824"/>
      <c r="AV141" s="827"/>
      <c r="AW141" s="824"/>
      <c r="AX141" s="934">
        <v>900</v>
      </c>
      <c r="AY141" s="935">
        <v>1.9</v>
      </c>
      <c r="AZ141" s="936">
        <v>15670</v>
      </c>
      <c r="BA141" s="936">
        <v>14900</v>
      </c>
      <c r="BB141" s="936">
        <v>14700</v>
      </c>
      <c r="BC141" s="936">
        <v>14000</v>
      </c>
      <c r="BD141" s="924">
        <v>80</v>
      </c>
      <c r="BE141" s="937"/>
      <c r="BF141" s="830"/>
      <c r="BG141" s="936"/>
      <c r="BH141" s="936"/>
      <c r="BI141" s="936"/>
      <c r="BJ141" s="936"/>
      <c r="BL141" s="936"/>
      <c r="BM141" s="936"/>
      <c r="BN141" s="936"/>
      <c r="BO141" s="936"/>
      <c r="BP141" s="936"/>
      <c r="BQ141" s="936"/>
      <c r="BU141" s="936"/>
      <c r="BY141" s="936"/>
      <c r="CH141" s="936"/>
      <c r="CI141" s="938"/>
    </row>
    <row r="142" spans="1:87" s="370" customFormat="1" ht="15" collapsed="1">
      <c r="B142" s="895" t="s">
        <v>1357</v>
      </c>
      <c r="C142" s="896" t="s">
        <v>1358</v>
      </c>
      <c r="D142" s="897"/>
      <c r="E142" s="898">
        <f>+N$73</f>
        <v>630</v>
      </c>
      <c r="F142" s="899">
        <v>50</v>
      </c>
      <c r="G142" s="899"/>
      <c r="H142" s="900"/>
      <c r="I142" s="901"/>
      <c r="J142" s="902"/>
      <c r="K142" s="898"/>
      <c r="L142" s="899"/>
      <c r="M142" s="903"/>
      <c r="N142" s="904"/>
      <c r="O142" s="898"/>
      <c r="P142" s="902"/>
      <c r="Q142" s="905"/>
      <c r="R142" s="903"/>
      <c r="S142" s="905"/>
      <c r="T142" s="906"/>
      <c r="U142" s="906"/>
      <c r="V142" s="907"/>
      <c r="W142" s="908"/>
      <c r="X142" s="909"/>
      <c r="Y142" s="910">
        <f>SUM(Y143:Y144)</f>
        <v>1.6267728750000006</v>
      </c>
      <c r="Z142" s="910">
        <f>SUM(Z143:Z144)</f>
        <v>4.1432905776579787</v>
      </c>
      <c r="AA142" s="911"/>
      <c r="AB142" s="747"/>
      <c r="AC142" s="912"/>
      <c r="AD142" s="912"/>
      <c r="AE142" s="912"/>
      <c r="AF142" s="913"/>
      <c r="AH142" s="521"/>
      <c r="AJ142" s="483"/>
      <c r="AK142" s="522">
        <f>SUM(AJ143:AJ144)</f>
        <v>1.6267728750000006</v>
      </c>
      <c r="AL142" s="401"/>
      <c r="AM142" s="523">
        <f>SUM(AL143:AL144)</f>
        <v>4.1432905776579787</v>
      </c>
      <c r="AO142" s="521"/>
      <c r="AP142" s="395"/>
      <c r="AQ142" s="918"/>
      <c r="AR142" s="919"/>
      <c r="AS142" s="919"/>
      <c r="AT142" s="940"/>
      <c r="AU142" s="395"/>
      <c r="AV142" s="521"/>
      <c r="AW142" s="395"/>
      <c r="AX142" s="918"/>
      <c r="AY142" s="919"/>
      <c r="AZ142" s="919"/>
      <c r="BA142" s="919"/>
      <c r="BB142" s="919"/>
      <c r="BC142" s="919"/>
      <c r="BD142" s="920"/>
      <c r="BE142" s="395"/>
      <c r="BF142" s="524"/>
      <c r="BG142" s="369"/>
      <c r="BH142" s="369"/>
      <c r="BI142" s="395"/>
      <c r="BJ142" s="369"/>
      <c r="BK142" s="369"/>
      <c r="BL142" s="369"/>
      <c r="BM142" s="369"/>
      <c r="BN142" s="369"/>
      <c r="BO142" s="369"/>
      <c r="CI142" s="521"/>
    </row>
    <row r="143" spans="1:87" s="747" customFormat="1" ht="13.9" hidden="1" customHeight="1" outlineLevel="1">
      <c r="B143" s="805" t="str">
        <f>"Orifice Ring OD: "&amp;E143&amp;" OD x 50H"</f>
        <v>Orifice Ring OD: 630 OD x 50H</v>
      </c>
      <c r="C143" s="806" t="str">
        <f>+O$4</f>
        <v>SGCC</v>
      </c>
      <c r="D143" s="807"/>
      <c r="E143" s="808">
        <f>+E142</f>
        <v>630</v>
      </c>
      <c r="F143" s="809">
        <f>+F142</f>
        <v>50</v>
      </c>
      <c r="G143" s="809"/>
      <c r="H143" s="457" t="s">
        <v>97</v>
      </c>
      <c r="I143" s="810"/>
      <c r="J143" s="811">
        <v>1.5</v>
      </c>
      <c r="K143" s="808">
        <f>22/7*E143+15</f>
        <v>1995</v>
      </c>
      <c r="L143" s="809">
        <f>+F143+15</f>
        <v>65</v>
      </c>
      <c r="M143" s="812">
        <f>+E$11</f>
        <v>8030</v>
      </c>
      <c r="N143" s="813">
        <f t="shared" ref="N143:N144" si="88">IF(I143&gt;0,22/28*((I143/1000)^2-(I143/1000-2*J143/1000)^2)*K143/1000,IF(J143&gt;0,J143/1000*K143/1000*L143/1000, IF(K143&gt;0,K143/1000*L143/1000, IF(L143=0,1,L143/1000))))</f>
        <v>1.9451250000000005E-4</v>
      </c>
      <c r="O143" s="814">
        <v>1</v>
      </c>
      <c r="P143" s="811">
        <f t="shared" ref="P143:P144" si="89">M143*N143*O143</f>
        <v>1.5619353750000005</v>
      </c>
      <c r="Q143" s="815">
        <v>1.2</v>
      </c>
      <c r="R143" s="816">
        <f t="shared" si="81"/>
        <v>1</v>
      </c>
      <c r="S143" s="815">
        <f t="shared" ref="S143:S144" si="90">P143*AA143*Q143*R143</f>
        <v>1.8743224500000004</v>
      </c>
      <c r="T143" s="817" t="s">
        <v>115</v>
      </c>
      <c r="U143" s="818">
        <f>+F$11</f>
        <v>22500</v>
      </c>
      <c r="V143" s="819">
        <f t="shared" ref="V143:V144" si="91">1/VLOOKUP(T143,Y$12:Z$18,2,FALSE)</f>
        <v>6.8240753377917299E-5</v>
      </c>
      <c r="W143" s="811">
        <v>1</v>
      </c>
      <c r="X143" s="820">
        <v>1</v>
      </c>
      <c r="Y143" s="821">
        <f t="shared" ref="Y143:Y144" si="92">+P143*R143*AA143*X143</f>
        <v>1.5619353750000005</v>
      </c>
      <c r="Z143" s="822">
        <f t="shared" ref="Z143:Z144" si="93">S143*U143*V143*W143</f>
        <v>2.8778664613757345</v>
      </c>
      <c r="AA143" s="823">
        <v>1</v>
      </c>
      <c r="AB143" s="824"/>
      <c r="AC143" s="825">
        <v>1</v>
      </c>
      <c r="AD143" s="825">
        <v>1</v>
      </c>
      <c r="AE143" s="814">
        <v>1</v>
      </c>
      <c r="AF143" s="825">
        <v>1</v>
      </c>
      <c r="AG143" s="824"/>
      <c r="AH143" s="827"/>
      <c r="AI143" s="824"/>
      <c r="AJ143" s="828">
        <f t="shared" si="86"/>
        <v>1.5619353750000005</v>
      </c>
      <c r="AK143" s="862"/>
      <c r="AL143" s="828">
        <f t="shared" si="87"/>
        <v>2.8778664613757345</v>
      </c>
      <c r="AM143" s="862"/>
      <c r="AN143" s="824"/>
      <c r="AO143" s="827"/>
      <c r="AP143" s="936"/>
      <c r="AQ143" s="941"/>
      <c r="AR143" s="942"/>
      <c r="AS143" s="942"/>
      <c r="AT143" s="943"/>
      <c r="AU143" s="936"/>
      <c r="AV143" s="827"/>
      <c r="AW143" s="936"/>
      <c r="AX143" s="934"/>
      <c r="AY143" s="936"/>
      <c r="AZ143" s="936"/>
      <c r="BA143" s="936"/>
      <c r="BB143" s="936"/>
      <c r="BC143" s="936"/>
      <c r="BD143" s="924"/>
      <c r="BE143" s="936"/>
      <c r="BF143" s="830"/>
      <c r="BI143" s="936"/>
      <c r="CI143" s="830"/>
    </row>
    <row r="144" spans="1:87" s="369" customFormat="1" ht="13.9" hidden="1" customHeight="1" outlineLevel="1">
      <c r="B144" s="445" t="s">
        <v>1311</v>
      </c>
      <c r="C144" s="418" t="str">
        <f>IF(N$4=1,"Powder Coating", "No Coating")</f>
        <v>Powder Coating</v>
      </c>
      <c r="D144" s="504"/>
      <c r="E144" s="447"/>
      <c r="F144" s="831"/>
      <c r="G144" s="831"/>
      <c r="H144" s="459" t="s">
        <v>54</v>
      </c>
      <c r="I144" s="832"/>
      <c r="J144" s="446"/>
      <c r="K144" s="447">
        <f>+K143</f>
        <v>1995</v>
      </c>
      <c r="L144" s="448">
        <f>+L143</f>
        <v>65</v>
      </c>
      <c r="M144" s="449">
        <v>2</v>
      </c>
      <c r="N144" s="833">
        <f t="shared" si="88"/>
        <v>0.12967500000000001</v>
      </c>
      <c r="O144" s="451">
        <f>+O143</f>
        <v>1</v>
      </c>
      <c r="P144" s="446">
        <f t="shared" si="89"/>
        <v>0.25935000000000002</v>
      </c>
      <c r="Q144" s="452">
        <v>1.1000000000000001</v>
      </c>
      <c r="R144" s="487">
        <f t="shared" si="81"/>
        <v>1</v>
      </c>
      <c r="S144" s="452">
        <f t="shared" si="90"/>
        <v>0.28528500000000007</v>
      </c>
      <c r="T144" s="426" t="s">
        <v>115</v>
      </c>
      <c r="U144" s="834">
        <f>+Q$11</f>
        <v>65000</v>
      </c>
      <c r="V144" s="835">
        <f t="shared" si="91"/>
        <v>6.8240753377917299E-5</v>
      </c>
      <c r="W144" s="446">
        <v>1</v>
      </c>
      <c r="X144" s="836">
        <f>+P$11</f>
        <v>0.25</v>
      </c>
      <c r="Y144" s="837">
        <f t="shared" si="92"/>
        <v>6.4837500000000006E-2</v>
      </c>
      <c r="Z144" s="838">
        <f t="shared" si="93"/>
        <v>1.2654241162822442</v>
      </c>
      <c r="AA144" s="456">
        <f>+AA143</f>
        <v>1</v>
      </c>
      <c r="AB144" s="418"/>
      <c r="AC144" s="444">
        <f>+AC143</f>
        <v>1</v>
      </c>
      <c r="AD144" s="444">
        <f t="shared" ref="AD144:AF144" si="94">+AD143</f>
        <v>1</v>
      </c>
      <c r="AE144" s="444">
        <f t="shared" si="94"/>
        <v>1</v>
      </c>
      <c r="AF144" s="444">
        <f t="shared" si="94"/>
        <v>1</v>
      </c>
      <c r="AG144" s="370"/>
      <c r="AH144" s="521"/>
      <c r="AI144" s="370"/>
      <c r="AJ144" s="483">
        <f t="shared" si="86"/>
        <v>6.4837500000000006E-2</v>
      </c>
      <c r="AK144" s="522"/>
      <c r="AL144" s="401">
        <f t="shared" si="87"/>
        <v>1.2654241162822442</v>
      </c>
      <c r="AM144" s="523"/>
      <c r="AN144" s="370"/>
      <c r="AO144" s="521"/>
      <c r="AP144" s="395"/>
      <c r="AQ144" s="379"/>
      <c r="AR144" s="395"/>
      <c r="AS144" s="395"/>
      <c r="AT144" s="417"/>
      <c r="AU144" s="395"/>
      <c r="AV144" s="521"/>
      <c r="AW144" s="395"/>
      <c r="AX144" s="379"/>
      <c r="AY144" s="395"/>
      <c r="AZ144" s="395"/>
      <c r="BA144" s="395"/>
      <c r="BB144" s="395"/>
      <c r="BC144" s="395"/>
      <c r="BD144" s="385"/>
      <c r="BE144" s="395"/>
      <c r="BF144" s="524"/>
      <c r="BI144" s="395"/>
      <c r="CI144" s="524"/>
    </row>
    <row r="145" spans="1:87" s="370" customFormat="1" ht="15" collapsed="1">
      <c r="B145" s="852" t="s">
        <v>1359</v>
      </c>
      <c r="C145" s="784"/>
      <c r="D145" s="785"/>
      <c r="E145" s="786"/>
      <c r="F145" s="787"/>
      <c r="G145" s="787"/>
      <c r="H145" s="788" t="s">
        <v>30</v>
      </c>
      <c r="I145" s="789" t="s">
        <v>1162</v>
      </c>
      <c r="J145" s="790" t="s">
        <v>1071</v>
      </c>
      <c r="K145" s="786" t="s">
        <v>1072</v>
      </c>
      <c r="L145" s="787" t="s">
        <v>21</v>
      </c>
      <c r="M145" s="791" t="s">
        <v>82</v>
      </c>
      <c r="N145" s="839" t="s">
        <v>1163</v>
      </c>
      <c r="O145" s="786" t="s">
        <v>1154</v>
      </c>
      <c r="P145" s="790" t="s">
        <v>1164</v>
      </c>
      <c r="Q145" s="793" t="s">
        <v>34</v>
      </c>
      <c r="R145" s="894">
        <f>IF(F$8="Maer",1,0)</f>
        <v>0</v>
      </c>
      <c r="S145" s="793" t="s">
        <v>13</v>
      </c>
      <c r="T145" s="794" t="s">
        <v>128</v>
      </c>
      <c r="U145" s="794" t="s">
        <v>111</v>
      </c>
      <c r="V145" s="795" t="s">
        <v>32</v>
      </c>
      <c r="W145" s="796" t="s">
        <v>33</v>
      </c>
      <c r="X145" s="797"/>
      <c r="Y145" s="798"/>
      <c r="Z145" s="944"/>
      <c r="AA145" s="800" t="str">
        <f>+AA$2</f>
        <v>SCU75M1</v>
      </c>
      <c r="AB145" s="747"/>
      <c r="AC145" s="801" t="str">
        <f>+AC$2</f>
        <v>SCU75M1</v>
      </c>
      <c r="AD145" s="801" t="str">
        <f>+AD$2</f>
        <v>SCU100M1</v>
      </c>
      <c r="AE145" s="801" t="str">
        <f>+AE$2</f>
        <v>SCU125M1</v>
      </c>
      <c r="AF145" s="802" t="str">
        <f>+AF$2</f>
        <v>SCU150M1</v>
      </c>
      <c r="AH145" s="521"/>
      <c r="AJ145" s="483"/>
      <c r="AK145" s="522"/>
      <c r="AL145" s="401"/>
      <c r="AM145" s="523"/>
      <c r="AO145" s="521"/>
      <c r="AP145" s="369"/>
      <c r="AQ145" s="2143" t="str">
        <f>+B145</f>
        <v>AIR EXCHANGE: Yilida-Maer Fan Assy</v>
      </c>
      <c r="AR145" s="2144"/>
      <c r="AS145" s="2144"/>
      <c r="AT145" s="2145"/>
      <c r="AU145" s="369"/>
      <c r="AV145" s="521"/>
      <c r="AW145" s="369"/>
      <c r="AX145" s="2143" t="str">
        <f>+AQ145</f>
        <v>AIR EXCHANGE: Yilida-Maer Fan Assy</v>
      </c>
      <c r="AY145" s="2144"/>
      <c r="AZ145" s="2144"/>
      <c r="BA145" s="2144"/>
      <c r="BB145" s="2144"/>
      <c r="BC145" s="2144"/>
      <c r="BD145" s="2145"/>
      <c r="BE145" s="395"/>
      <c r="BF145" s="524"/>
      <c r="BG145" s="369"/>
      <c r="BH145" s="369"/>
      <c r="BI145" s="369"/>
      <c r="BJ145" s="369"/>
      <c r="BK145" s="369"/>
      <c r="CI145" s="521"/>
    </row>
    <row r="146" spans="1:87" s="370" customFormat="1" ht="15">
      <c r="B146" s="895" t="s">
        <v>1344</v>
      </c>
      <c r="C146" s="896"/>
      <c r="D146" s="897"/>
      <c r="E146" s="898"/>
      <c r="F146" s="899"/>
      <c r="G146" s="899"/>
      <c r="H146" s="900"/>
      <c r="I146" s="901"/>
      <c r="J146" s="902"/>
      <c r="K146" s="898"/>
      <c r="L146" s="899"/>
      <c r="M146" s="903"/>
      <c r="N146" s="904"/>
      <c r="O146" s="898"/>
      <c r="P146" s="902"/>
      <c r="Q146" s="905"/>
      <c r="R146" s="903"/>
      <c r="S146" s="905"/>
      <c r="T146" s="906"/>
      <c r="U146" s="906"/>
      <c r="V146" s="907"/>
      <c r="W146" s="908"/>
      <c r="X146" s="909"/>
      <c r="Y146" s="910">
        <f>SUM(Y147:Y148)</f>
        <v>0</v>
      </c>
      <c r="Z146" s="910">
        <f>SUM(Z147:Z148)</f>
        <v>0</v>
      </c>
      <c r="AA146" s="911"/>
      <c r="AB146" s="747"/>
      <c r="AC146" s="912"/>
      <c r="AD146" s="912"/>
      <c r="AE146" s="912"/>
      <c r="AF146" s="913"/>
      <c r="AH146" s="521"/>
      <c r="AJ146" s="483"/>
      <c r="AK146" s="522">
        <f>SUM(AJ147:AJ148)</f>
        <v>0</v>
      </c>
      <c r="AL146" s="401"/>
      <c r="AM146" s="523">
        <f>SUM(AL147:AL148)</f>
        <v>0</v>
      </c>
      <c r="AO146" s="521"/>
      <c r="AQ146" s="914" t="str">
        <f>+B146</f>
        <v>- Fan Assy</v>
      </c>
      <c r="AR146" s="915" t="s">
        <v>724</v>
      </c>
      <c r="AS146" s="916" t="s">
        <v>97</v>
      </c>
      <c r="AT146" s="917" t="s">
        <v>1345</v>
      </c>
      <c r="AV146" s="521"/>
      <c r="AX146" s="918" t="s">
        <v>1346</v>
      </c>
      <c r="AY146" s="919" t="s">
        <v>1347</v>
      </c>
      <c r="AZ146" s="919" t="s">
        <v>1348</v>
      </c>
      <c r="BA146" s="919" t="s">
        <v>1349</v>
      </c>
      <c r="BB146" s="919" t="s">
        <v>1350</v>
      </c>
      <c r="BC146" s="919" t="s">
        <v>1351</v>
      </c>
      <c r="BD146" s="945" t="s">
        <v>1352</v>
      </c>
      <c r="BE146" s="369"/>
      <c r="BF146" s="524"/>
      <c r="BG146" s="395"/>
      <c r="BH146" s="395"/>
      <c r="BI146" s="395"/>
      <c r="BJ146" s="395"/>
      <c r="BK146" s="369"/>
      <c r="BL146" s="395"/>
      <c r="BM146" s="395"/>
      <c r="BN146" s="395"/>
      <c r="BO146" s="395"/>
      <c r="BP146" s="395"/>
      <c r="BQ146" s="395"/>
      <c r="BR146" s="369"/>
      <c r="BS146" s="369"/>
      <c r="BT146" s="369"/>
      <c r="BU146" s="395"/>
      <c r="BV146" s="369"/>
      <c r="BW146" s="369"/>
      <c r="BX146" s="369"/>
      <c r="BY146" s="395"/>
      <c r="BZ146" s="369"/>
      <c r="CA146" s="369"/>
      <c r="CH146" s="395"/>
      <c r="CI146" s="511"/>
    </row>
    <row r="147" spans="1:87" s="747" customFormat="1" ht="13.9" hidden="1" customHeight="1" outlineLevel="1">
      <c r="A147" s="824"/>
      <c r="B147" s="921" t="str">
        <f t="shared" ref="B147:B148" si="95">"Maer, "&amp;AQ147</f>
        <v>Maer, YSWF102L70P4-753N-630</v>
      </c>
      <c r="C147" s="922"/>
      <c r="D147" s="923"/>
      <c r="E147" s="808"/>
      <c r="F147" s="809"/>
      <c r="G147" s="809"/>
      <c r="H147" s="924" t="s">
        <v>100</v>
      </c>
      <c r="J147" s="828"/>
      <c r="K147" s="808"/>
      <c r="L147" s="809"/>
      <c r="M147" s="860">
        <v>1</v>
      </c>
      <c r="N147" s="813">
        <f t="shared" ref="N147:N148" si="96">IF(I147&gt;0,22/28*((I147/1000)^2-(I147/1000-2*J147/1000)^2)*K147/1000,IF(J147&gt;0,J147/1000*K147/1000*L147/1000, IF(K147&gt;0,K147/1000*L147/1000, IF(L147=0,1,L147/1000))))</f>
        <v>1</v>
      </c>
      <c r="O147" s="814">
        <v>1</v>
      </c>
      <c r="P147" s="811">
        <f t="shared" ref="P147:P148" si="97">M147*N147*O147</f>
        <v>1</v>
      </c>
      <c r="Q147" s="815">
        <v>1</v>
      </c>
      <c r="R147" s="505">
        <f t="shared" ref="R147:R151" si="98">+R$145</f>
        <v>0</v>
      </c>
      <c r="S147" s="815">
        <f t="shared" si="82"/>
        <v>0</v>
      </c>
      <c r="T147" s="925" t="s">
        <v>46</v>
      </c>
      <c r="U147" s="946"/>
      <c r="V147" s="927">
        <f t="shared" ref="V147:V148" si="99">1/VLOOKUP(T147,Y$12:Z$18,2,FALSE)</f>
        <v>1</v>
      </c>
      <c r="W147" s="926">
        <v>1.2</v>
      </c>
      <c r="X147" s="820">
        <v>16.5</v>
      </c>
      <c r="Y147" s="928">
        <f t="shared" ref="Y147:Y148" si="100">+P147*R147*AA147*X147</f>
        <v>0</v>
      </c>
      <c r="Z147" s="929">
        <f t="shared" ref="Z147:Z148" si="101">S147*U147*V147*W147</f>
        <v>0</v>
      </c>
      <c r="AA147" s="823">
        <v>1</v>
      </c>
      <c r="AC147" s="825">
        <v>1</v>
      </c>
      <c r="AD147" s="825">
        <v>1</v>
      </c>
      <c r="AE147" s="825"/>
      <c r="AF147" s="825"/>
      <c r="AG147" s="824"/>
      <c r="AH147" s="827"/>
      <c r="AI147" s="824"/>
      <c r="AJ147" s="828">
        <f t="shared" ref="AJ147:AJ148" si="102">+Y147</f>
        <v>0</v>
      </c>
      <c r="AK147" s="862"/>
      <c r="AL147" s="828">
        <f t="shared" ref="AL147:AL148" si="103">+Z147</f>
        <v>0</v>
      </c>
      <c r="AM147" s="862"/>
      <c r="AN147" s="824"/>
      <c r="AO147" s="827"/>
      <c r="AP147" s="824"/>
      <c r="AQ147" s="930" t="s">
        <v>1360</v>
      </c>
      <c r="AR147" s="931" t="s">
        <v>1361</v>
      </c>
      <c r="AS147" s="932">
        <v>16.5</v>
      </c>
      <c r="AT147" s="924"/>
      <c r="AU147" s="824"/>
      <c r="AV147" s="827"/>
      <c r="AW147" s="824"/>
      <c r="AX147" s="934">
        <v>1442</v>
      </c>
      <c r="AY147" s="935">
        <v>2.65</v>
      </c>
      <c r="AZ147" s="936">
        <v>14100</v>
      </c>
      <c r="BA147" s="936">
        <v>13700</v>
      </c>
      <c r="BB147" s="936">
        <v>13500</v>
      </c>
      <c r="BC147" s="936">
        <v>1300</v>
      </c>
      <c r="BD147" s="924">
        <v>78</v>
      </c>
      <c r="BF147" s="830"/>
      <c r="BG147" s="936"/>
      <c r="BH147" s="936"/>
      <c r="BI147" s="936"/>
      <c r="BJ147" s="936"/>
      <c r="BL147" s="936"/>
      <c r="BM147" s="936"/>
      <c r="BN147" s="936"/>
      <c r="BO147" s="936"/>
      <c r="BP147" s="936"/>
      <c r="BQ147" s="936"/>
      <c r="BU147" s="936"/>
      <c r="BY147" s="936"/>
      <c r="CH147" s="936"/>
      <c r="CI147" s="938"/>
    </row>
    <row r="148" spans="1:87" s="747" customFormat="1" ht="13.9" hidden="1" customHeight="1" outlineLevel="1">
      <c r="A148" s="824"/>
      <c r="B148" s="931" t="str">
        <f t="shared" si="95"/>
        <v>Maer, YSWF127L65P6-840N-710</v>
      </c>
      <c r="D148" s="930"/>
      <c r="E148" s="808"/>
      <c r="F148" s="809"/>
      <c r="G148" s="809"/>
      <c r="H148" s="924" t="s">
        <v>100</v>
      </c>
      <c r="I148" s="816"/>
      <c r="J148" s="811"/>
      <c r="K148" s="808"/>
      <c r="L148" s="809"/>
      <c r="M148" s="860">
        <v>1</v>
      </c>
      <c r="N148" s="939">
        <f t="shared" si="96"/>
        <v>1</v>
      </c>
      <c r="O148" s="814">
        <v>1</v>
      </c>
      <c r="P148" s="811">
        <f t="shared" si="97"/>
        <v>1</v>
      </c>
      <c r="Q148" s="815">
        <v>1</v>
      </c>
      <c r="R148" s="505">
        <f t="shared" si="98"/>
        <v>0</v>
      </c>
      <c r="S148" s="815">
        <f t="shared" si="82"/>
        <v>0</v>
      </c>
      <c r="T148" s="925" t="s">
        <v>46</v>
      </c>
      <c r="U148" s="946"/>
      <c r="V148" s="927">
        <f t="shared" si="99"/>
        <v>1</v>
      </c>
      <c r="W148" s="926">
        <v>1.2</v>
      </c>
      <c r="X148" s="820">
        <v>26.5</v>
      </c>
      <c r="Y148" s="928">
        <f t="shared" si="100"/>
        <v>0</v>
      </c>
      <c r="Z148" s="929">
        <f t="shared" si="101"/>
        <v>0</v>
      </c>
      <c r="AA148" s="823"/>
      <c r="AC148" s="457"/>
      <c r="AD148" s="457"/>
      <c r="AE148" s="457">
        <v>1</v>
      </c>
      <c r="AF148" s="457">
        <v>1</v>
      </c>
      <c r="AG148" s="824"/>
      <c r="AH148" s="827"/>
      <c r="AI148" s="824"/>
      <c r="AJ148" s="828">
        <f t="shared" si="102"/>
        <v>0</v>
      </c>
      <c r="AK148" s="862"/>
      <c r="AL148" s="828">
        <f t="shared" si="103"/>
        <v>0</v>
      </c>
      <c r="AM148" s="862"/>
      <c r="AN148" s="824"/>
      <c r="AO148" s="827"/>
      <c r="AP148" s="824"/>
      <c r="AQ148" s="930" t="s">
        <v>1362</v>
      </c>
      <c r="AR148" s="931" t="s">
        <v>1356</v>
      </c>
      <c r="AS148" s="932">
        <v>26.5</v>
      </c>
      <c r="AT148" s="924"/>
      <c r="AU148" s="824"/>
      <c r="AV148" s="827"/>
      <c r="AW148" s="824"/>
      <c r="AX148" s="934">
        <v>1494</v>
      </c>
      <c r="AY148" s="935">
        <v>2.738</v>
      </c>
      <c r="AZ148" s="936">
        <v>14000</v>
      </c>
      <c r="BA148" s="936">
        <v>13500</v>
      </c>
      <c r="BB148" s="936">
        <v>13200</v>
      </c>
      <c r="BC148" s="936">
        <v>1300</v>
      </c>
      <c r="BD148" s="924">
        <v>80</v>
      </c>
      <c r="BF148" s="830"/>
      <c r="BG148" s="936"/>
      <c r="BH148" s="936"/>
      <c r="BI148" s="936"/>
      <c r="BJ148" s="936"/>
      <c r="BL148" s="936"/>
      <c r="BM148" s="936"/>
      <c r="BN148" s="936"/>
      <c r="BO148" s="936"/>
      <c r="BP148" s="936"/>
      <c r="BQ148" s="936"/>
      <c r="BU148" s="936"/>
      <c r="BY148" s="936"/>
      <c r="CH148" s="936"/>
      <c r="CI148" s="938"/>
    </row>
    <row r="149" spans="1:87" s="370" customFormat="1" ht="15" collapsed="1">
      <c r="B149" s="895" t="s">
        <v>1357</v>
      </c>
      <c r="C149" s="896" t="s">
        <v>1358</v>
      </c>
      <c r="D149" s="897"/>
      <c r="E149" s="898">
        <f>+N$73</f>
        <v>630</v>
      </c>
      <c r="F149" s="899">
        <v>50</v>
      </c>
      <c r="G149" s="899"/>
      <c r="H149" s="900"/>
      <c r="I149" s="901"/>
      <c r="J149" s="902"/>
      <c r="K149" s="898"/>
      <c r="L149" s="899"/>
      <c r="M149" s="903"/>
      <c r="N149" s="904"/>
      <c r="O149" s="898"/>
      <c r="P149" s="902"/>
      <c r="Q149" s="905"/>
      <c r="R149" s="903"/>
      <c r="S149" s="905"/>
      <c r="T149" s="906"/>
      <c r="U149" s="906"/>
      <c r="V149" s="907"/>
      <c r="W149" s="908"/>
      <c r="X149" s="909"/>
      <c r="Y149" s="910">
        <f>SUM(Y150:Y151)</f>
        <v>0</v>
      </c>
      <c r="Z149" s="910">
        <f>SUM(Z150:Z151)</f>
        <v>0</v>
      </c>
      <c r="AA149" s="911"/>
      <c r="AB149" s="747"/>
      <c r="AC149" s="912"/>
      <c r="AD149" s="912"/>
      <c r="AE149" s="912"/>
      <c r="AF149" s="913"/>
      <c r="AH149" s="521"/>
      <c r="AJ149" s="483"/>
      <c r="AK149" s="522">
        <f>SUM(AJ150:AJ151)</f>
        <v>0</v>
      </c>
      <c r="AL149" s="401"/>
      <c r="AM149" s="523">
        <f>SUM(AL150:AL151)</f>
        <v>0</v>
      </c>
      <c r="AO149" s="521"/>
      <c r="AP149" s="395"/>
      <c r="AQ149" s="918"/>
      <c r="AR149" s="919"/>
      <c r="AS149" s="919"/>
      <c r="AT149" s="940"/>
      <c r="AU149" s="395"/>
      <c r="AV149" s="521"/>
      <c r="AW149" s="395"/>
      <c r="AX149" s="918"/>
      <c r="AY149" s="919"/>
      <c r="AZ149" s="919"/>
      <c r="BA149" s="919"/>
      <c r="BB149" s="919"/>
      <c r="BC149" s="919"/>
      <c r="BD149" s="920"/>
      <c r="BE149" s="395"/>
      <c r="BF149" s="524"/>
      <c r="BG149" s="369"/>
      <c r="BH149" s="369"/>
      <c r="BI149" s="395"/>
      <c r="BJ149" s="369"/>
      <c r="BK149" s="369"/>
      <c r="BL149" s="369"/>
      <c r="BM149" s="369"/>
      <c r="BN149" s="369"/>
      <c r="BO149" s="369"/>
      <c r="CI149" s="521"/>
    </row>
    <row r="150" spans="1:87" s="747" customFormat="1" ht="13.9" hidden="1" customHeight="1" outlineLevel="1">
      <c r="B150" s="805" t="str">
        <f>"Orifice Ring OD: "&amp;E150&amp;" OD x 50H"</f>
        <v>Orifice Ring OD: 630 OD x 50H</v>
      </c>
      <c r="C150" s="806" t="str">
        <f>+O$4</f>
        <v>SGCC</v>
      </c>
      <c r="D150" s="807"/>
      <c r="E150" s="808">
        <f>+E149</f>
        <v>630</v>
      </c>
      <c r="F150" s="809">
        <f>+F149</f>
        <v>50</v>
      </c>
      <c r="G150" s="809"/>
      <c r="H150" s="457" t="s">
        <v>97</v>
      </c>
      <c r="I150" s="810"/>
      <c r="J150" s="811">
        <v>1.5</v>
      </c>
      <c r="K150" s="808">
        <f>22/7*E150+15</f>
        <v>1995</v>
      </c>
      <c r="L150" s="809">
        <f>+F150+15</f>
        <v>65</v>
      </c>
      <c r="M150" s="812">
        <f>+E$11</f>
        <v>8030</v>
      </c>
      <c r="N150" s="813">
        <f t="shared" ref="N150:N151" si="104">IF(I150&gt;0,22/28*((I150/1000)^2-(I150/1000-2*J150/1000)^2)*K150/1000,IF(J150&gt;0,J150/1000*K150/1000*L150/1000, IF(K150&gt;0,K150/1000*L150/1000, IF(L150=0,1,L150/1000))))</f>
        <v>1.9451250000000005E-4</v>
      </c>
      <c r="O150" s="814">
        <v>1</v>
      </c>
      <c r="P150" s="811">
        <f t="shared" ref="P150:P151" si="105">M150*N150*O150</f>
        <v>1.5619353750000005</v>
      </c>
      <c r="Q150" s="815">
        <v>1.2</v>
      </c>
      <c r="R150" s="816">
        <f t="shared" si="98"/>
        <v>0</v>
      </c>
      <c r="S150" s="815">
        <f t="shared" ref="S150:S151" si="106">P150*AA150*Q150*R150</f>
        <v>0</v>
      </c>
      <c r="T150" s="817" t="s">
        <v>115</v>
      </c>
      <c r="U150" s="818">
        <f>+F$11</f>
        <v>22500</v>
      </c>
      <c r="V150" s="819">
        <f t="shared" ref="V150:V151" si="107">1/VLOOKUP(T150,Y$12:Z$18,2,FALSE)</f>
        <v>6.8240753377917299E-5</v>
      </c>
      <c r="W150" s="811">
        <v>1</v>
      </c>
      <c r="X150" s="820">
        <v>1</v>
      </c>
      <c r="Y150" s="821">
        <f t="shared" ref="Y150:Y151" si="108">+P150*R150*AA150*X150</f>
        <v>0</v>
      </c>
      <c r="Z150" s="822">
        <f t="shared" ref="Z150:Z151" si="109">S150*U150*V150*W150</f>
        <v>0</v>
      </c>
      <c r="AA150" s="823">
        <v>1</v>
      </c>
      <c r="AB150" s="824"/>
      <c r="AC150" s="825">
        <v>1</v>
      </c>
      <c r="AD150" s="825">
        <v>1</v>
      </c>
      <c r="AE150" s="814">
        <v>1</v>
      </c>
      <c r="AF150" s="825">
        <v>1</v>
      </c>
      <c r="AG150" s="824"/>
      <c r="AH150" s="827"/>
      <c r="AI150" s="824"/>
      <c r="AJ150" s="828">
        <f t="shared" ref="AJ150:AJ151" si="110">+Y150</f>
        <v>0</v>
      </c>
      <c r="AK150" s="862"/>
      <c r="AL150" s="828">
        <f t="shared" ref="AL150:AL151" si="111">+Z150</f>
        <v>0</v>
      </c>
      <c r="AM150" s="862"/>
      <c r="AN150" s="824"/>
      <c r="AO150" s="827"/>
      <c r="AP150" s="936"/>
      <c r="AQ150" s="941"/>
      <c r="AR150" s="942"/>
      <c r="AS150" s="942"/>
      <c r="AT150" s="943"/>
      <c r="AU150" s="936"/>
      <c r="AV150" s="827"/>
      <c r="AW150" s="936"/>
      <c r="AX150" s="934"/>
      <c r="AY150" s="936"/>
      <c r="AZ150" s="936"/>
      <c r="BA150" s="936"/>
      <c r="BB150" s="936"/>
      <c r="BC150" s="936"/>
      <c r="BD150" s="924"/>
      <c r="BE150" s="936"/>
      <c r="BF150" s="830"/>
      <c r="BI150" s="936"/>
      <c r="CI150" s="830"/>
    </row>
    <row r="151" spans="1:87" s="369" customFormat="1" ht="13.9" hidden="1" customHeight="1" outlineLevel="1">
      <c r="B151" s="445" t="s">
        <v>1311</v>
      </c>
      <c r="C151" s="418" t="str">
        <f>IF(N$4=1,"Powder Coating", "No Coating")</f>
        <v>Powder Coating</v>
      </c>
      <c r="D151" s="504"/>
      <c r="E151" s="447"/>
      <c r="F151" s="831"/>
      <c r="G151" s="831"/>
      <c r="H151" s="459" t="s">
        <v>54</v>
      </c>
      <c r="I151" s="832"/>
      <c r="J151" s="446"/>
      <c r="K151" s="447">
        <f>+K150</f>
        <v>1995</v>
      </c>
      <c r="L151" s="448">
        <f>+L150</f>
        <v>65</v>
      </c>
      <c r="M151" s="449">
        <v>2</v>
      </c>
      <c r="N151" s="833">
        <f t="shared" si="104"/>
        <v>0.12967500000000001</v>
      </c>
      <c r="O151" s="451">
        <f>+O150</f>
        <v>1</v>
      </c>
      <c r="P151" s="446">
        <f t="shared" si="105"/>
        <v>0.25935000000000002</v>
      </c>
      <c r="Q151" s="452">
        <v>1.1000000000000001</v>
      </c>
      <c r="R151" s="487">
        <f t="shared" si="98"/>
        <v>0</v>
      </c>
      <c r="S151" s="452">
        <f t="shared" si="106"/>
        <v>0</v>
      </c>
      <c r="T151" s="426" t="s">
        <v>115</v>
      </c>
      <c r="U151" s="834">
        <f>+Q$11</f>
        <v>65000</v>
      </c>
      <c r="V151" s="835">
        <f t="shared" si="107"/>
        <v>6.8240753377917299E-5</v>
      </c>
      <c r="W151" s="446">
        <v>1</v>
      </c>
      <c r="X151" s="836">
        <f>+P$11</f>
        <v>0.25</v>
      </c>
      <c r="Y151" s="837">
        <f t="shared" si="108"/>
        <v>0</v>
      </c>
      <c r="Z151" s="838">
        <f t="shared" si="109"/>
        <v>0</v>
      </c>
      <c r="AA151" s="456">
        <f>+AA150</f>
        <v>1</v>
      </c>
      <c r="AB151" s="418"/>
      <c r="AC151" s="444">
        <f>+AC150</f>
        <v>1</v>
      </c>
      <c r="AD151" s="444">
        <f t="shared" ref="AD151:AF151" si="112">+AD150</f>
        <v>1</v>
      </c>
      <c r="AE151" s="444">
        <f t="shared" si="112"/>
        <v>1</v>
      </c>
      <c r="AF151" s="444">
        <f t="shared" si="112"/>
        <v>1</v>
      </c>
      <c r="AG151" s="370"/>
      <c r="AH151" s="521"/>
      <c r="AI151" s="370"/>
      <c r="AJ151" s="483">
        <f t="shared" si="110"/>
        <v>0</v>
      </c>
      <c r="AK151" s="522"/>
      <c r="AL151" s="401">
        <f t="shared" si="111"/>
        <v>0</v>
      </c>
      <c r="AM151" s="523"/>
      <c r="AN151" s="370"/>
      <c r="AO151" s="521"/>
      <c r="AP151" s="395"/>
      <c r="AQ151" s="379"/>
      <c r="AR151" s="395"/>
      <c r="AS151" s="395"/>
      <c r="AT151" s="417"/>
      <c r="AU151" s="395"/>
      <c r="AV151" s="521"/>
      <c r="AW151" s="395"/>
      <c r="AX151" s="379"/>
      <c r="AY151" s="395"/>
      <c r="AZ151" s="395"/>
      <c r="BA151" s="395"/>
      <c r="BB151" s="395"/>
      <c r="BC151" s="395"/>
      <c r="BD151" s="385"/>
      <c r="BE151" s="395"/>
      <c r="BF151" s="524"/>
      <c r="BI151" s="395"/>
      <c r="CI151" s="524"/>
    </row>
    <row r="152" spans="1:87" s="370" customFormat="1" ht="15" collapsed="1">
      <c r="B152" s="852" t="s">
        <v>1363</v>
      </c>
      <c r="C152" s="784"/>
      <c r="D152" s="785"/>
      <c r="E152" s="786"/>
      <c r="F152" s="787"/>
      <c r="G152" s="787"/>
      <c r="H152" s="788" t="s">
        <v>30</v>
      </c>
      <c r="I152" s="789" t="s">
        <v>1162</v>
      </c>
      <c r="J152" s="790" t="s">
        <v>1071</v>
      </c>
      <c r="K152" s="786" t="s">
        <v>1072</v>
      </c>
      <c r="L152" s="787" t="s">
        <v>21</v>
      </c>
      <c r="M152" s="791" t="s">
        <v>82</v>
      </c>
      <c r="N152" s="839" t="s">
        <v>1163</v>
      </c>
      <c r="O152" s="786" t="s">
        <v>1154</v>
      </c>
      <c r="P152" s="790" t="s">
        <v>1164</v>
      </c>
      <c r="Q152" s="793" t="s">
        <v>34</v>
      </c>
      <c r="R152" s="894">
        <f>IF(F$8="MW-PPG",1,0)</f>
        <v>0</v>
      </c>
      <c r="S152" s="793" t="s">
        <v>13</v>
      </c>
      <c r="T152" s="794" t="s">
        <v>128</v>
      </c>
      <c r="U152" s="794" t="s">
        <v>111</v>
      </c>
      <c r="V152" s="795" t="s">
        <v>32</v>
      </c>
      <c r="W152" s="796" t="s">
        <v>33</v>
      </c>
      <c r="X152" s="797"/>
      <c r="Y152" s="798"/>
      <c r="Z152" s="799"/>
      <c r="AA152" s="800" t="str">
        <f>+AA$2</f>
        <v>SCU75M1</v>
      </c>
      <c r="AB152" s="747"/>
      <c r="AC152" s="801" t="str">
        <f>+AC$2</f>
        <v>SCU75M1</v>
      </c>
      <c r="AD152" s="801" t="str">
        <f>+AD$2</f>
        <v>SCU100M1</v>
      </c>
      <c r="AE152" s="801" t="str">
        <f>+AE$2</f>
        <v>SCU125M1</v>
      </c>
      <c r="AF152" s="802" t="str">
        <f>+AF$2</f>
        <v>SCU150M1</v>
      </c>
      <c r="AH152" s="521"/>
      <c r="AJ152" s="483"/>
      <c r="AK152" s="522"/>
      <c r="AL152" s="401"/>
      <c r="AM152" s="523"/>
      <c r="AO152" s="521"/>
      <c r="AQ152" s="2143" t="str">
        <f>+B152</f>
        <v>AIR EXCHANGE: MultiWing Fan Assy-ExCR</v>
      </c>
      <c r="AR152" s="2144"/>
      <c r="AS152" s="2144"/>
      <c r="AT152" s="2145"/>
      <c r="AV152" s="521"/>
      <c r="AX152" s="2143" t="str">
        <f>+AQ152</f>
        <v>AIR EXCHANGE: MultiWing Fan Assy-ExCR</v>
      </c>
      <c r="AY152" s="2144"/>
      <c r="AZ152" s="2144"/>
      <c r="BA152" s="2144"/>
      <c r="BB152" s="2144"/>
      <c r="BC152" s="2144"/>
      <c r="BD152" s="2145"/>
      <c r="BE152" s="369"/>
      <c r="BF152" s="524"/>
      <c r="BG152" s="395"/>
      <c r="BH152" s="395"/>
      <c r="BI152" s="369"/>
      <c r="BJ152" s="395"/>
      <c r="BK152" s="395"/>
      <c r="BL152" s="395"/>
      <c r="BM152" s="395"/>
      <c r="BN152" s="395"/>
      <c r="BO152" s="395"/>
      <c r="BP152" s="395"/>
      <c r="BQ152" s="369"/>
      <c r="BR152" s="369"/>
      <c r="BS152" s="395"/>
      <c r="BT152" s="369"/>
      <c r="BU152" s="369"/>
      <c r="BV152" s="369"/>
      <c r="BW152" s="369"/>
      <c r="BX152" s="369"/>
      <c r="BY152" s="369"/>
      <c r="CH152" s="395"/>
      <c r="CI152" s="511"/>
    </row>
    <row r="153" spans="1:87" s="370" customFormat="1" ht="15">
      <c r="B153" s="895" t="s">
        <v>1364</v>
      </c>
      <c r="C153" s="896"/>
      <c r="D153" s="897"/>
      <c r="E153" s="898"/>
      <c r="F153" s="899"/>
      <c r="G153" s="899"/>
      <c r="H153" s="900"/>
      <c r="I153" s="901"/>
      <c r="J153" s="902"/>
      <c r="K153" s="898"/>
      <c r="L153" s="899"/>
      <c r="M153" s="903"/>
      <c r="N153" s="904"/>
      <c r="O153" s="898"/>
      <c r="P153" s="902"/>
      <c r="Q153" s="905"/>
      <c r="R153" s="903"/>
      <c r="S153" s="905"/>
      <c r="T153" s="906"/>
      <c r="U153" s="906"/>
      <c r="V153" s="907"/>
      <c r="W153" s="908"/>
      <c r="X153" s="909"/>
      <c r="Y153" s="910">
        <f>SUM(Y154:Y155)</f>
        <v>0</v>
      </c>
      <c r="Z153" s="910">
        <f>SUM(Z154:Z155)</f>
        <v>0</v>
      </c>
      <c r="AA153" s="911"/>
      <c r="AB153" s="747"/>
      <c r="AC153" s="912"/>
      <c r="AD153" s="912"/>
      <c r="AE153" s="912"/>
      <c r="AF153" s="913"/>
      <c r="AH153" s="521"/>
      <c r="AJ153" s="483"/>
      <c r="AK153" s="522">
        <f>SUM(AJ154:AJ155)</f>
        <v>0</v>
      </c>
      <c r="AL153" s="401"/>
      <c r="AM153" s="523">
        <f>SUM(AL154:AL155)</f>
        <v>0</v>
      </c>
      <c r="AO153" s="521"/>
      <c r="AQ153" s="914" t="str">
        <f>+B153</f>
        <v>- Fan Blade CR</v>
      </c>
      <c r="AR153" s="915" t="s">
        <v>724</v>
      </c>
      <c r="AS153" s="916" t="s">
        <v>97</v>
      </c>
      <c r="AT153" s="917" t="s">
        <v>1345</v>
      </c>
      <c r="AV153" s="521"/>
      <c r="AX153" s="918" t="s">
        <v>1346</v>
      </c>
      <c r="AY153" s="919" t="s">
        <v>1347</v>
      </c>
      <c r="AZ153" s="919" t="s">
        <v>1348</v>
      </c>
      <c r="BA153" s="919" t="s">
        <v>1349</v>
      </c>
      <c r="BB153" s="919" t="s">
        <v>1350</v>
      </c>
      <c r="BC153" s="919" t="s">
        <v>1351</v>
      </c>
      <c r="BD153" s="945" t="s">
        <v>1352</v>
      </c>
      <c r="BE153" s="369"/>
      <c r="BF153" s="524"/>
      <c r="BG153" s="395"/>
      <c r="BH153" s="395"/>
      <c r="BI153" s="395"/>
      <c r="BJ153" s="395"/>
      <c r="BK153" s="369"/>
      <c r="BL153" s="395"/>
      <c r="BM153" s="395"/>
      <c r="BN153" s="395"/>
      <c r="BO153" s="395"/>
      <c r="BP153" s="395"/>
      <c r="BQ153" s="395"/>
      <c r="BR153" s="369"/>
      <c r="BS153" s="369"/>
      <c r="BT153" s="369"/>
      <c r="BU153" s="395"/>
      <c r="BV153" s="369"/>
      <c r="BW153" s="369"/>
      <c r="BX153" s="369"/>
      <c r="BY153" s="395"/>
      <c r="BZ153" s="369"/>
      <c r="CA153" s="369"/>
      <c r="CH153" s="395"/>
      <c r="CI153" s="511"/>
    </row>
    <row r="154" spans="1:87" s="747" customFormat="1" ht="13.9" hidden="1" customHeight="1" outlineLevel="1">
      <c r="B154" s="921" t="str">
        <f t="shared" ref="B154:B155" si="113">+AQ154</f>
        <v>630/3-6/28.5/PPG/4ZR; 0.75kW/4P</v>
      </c>
      <c r="C154" s="922"/>
      <c r="D154" s="923"/>
      <c r="E154" s="808"/>
      <c r="F154" s="809"/>
      <c r="G154" s="809"/>
      <c r="H154" s="924" t="s">
        <v>100</v>
      </c>
      <c r="I154" s="947"/>
      <c r="J154" s="828"/>
      <c r="K154" s="808"/>
      <c r="L154" s="809"/>
      <c r="M154" s="860">
        <v>1</v>
      </c>
      <c r="N154" s="813">
        <f t="shared" ref="N154:N155" si="114">IF(I154&gt;0,22/28*((I154/1000)^2-(I154/1000-2*J154/1000)^2)*K154/1000,IF(J154&gt;0,J154/1000*K154/1000*L154/1000, IF(K154&gt;0,K154/1000*L154/1000, IF(L154=0,1,L154/1000))))</f>
        <v>1</v>
      </c>
      <c r="O154" s="814">
        <v>1</v>
      </c>
      <c r="P154" s="811">
        <f t="shared" ref="P154:P155" si="115">M154*N154*O154</f>
        <v>1</v>
      </c>
      <c r="Q154" s="815">
        <v>1</v>
      </c>
      <c r="R154" s="505">
        <f t="shared" ref="R154:R155" si="116">+R$152</f>
        <v>0</v>
      </c>
      <c r="S154" s="815">
        <f t="shared" si="82"/>
        <v>0</v>
      </c>
      <c r="T154" s="925" t="s">
        <v>115</v>
      </c>
      <c r="U154" s="946">
        <v>1600000</v>
      </c>
      <c r="V154" s="927">
        <f t="shared" ref="V154:V155" si="117">1/VLOOKUP(T154,Y$12:Z$18,2,FALSE)</f>
        <v>6.8240753377917299E-5</v>
      </c>
      <c r="W154" s="926">
        <v>1</v>
      </c>
      <c r="X154" s="820">
        <v>1.696</v>
      </c>
      <c r="Y154" s="928">
        <f t="shared" ref="Y154:Y155" si="118">+P154*R154*AA154*X154</f>
        <v>0</v>
      </c>
      <c r="Z154" s="929">
        <f t="shared" ref="Z154:Z155" si="119">S154*U154*V154*W154</f>
        <v>0</v>
      </c>
      <c r="AA154" s="823">
        <v>1</v>
      </c>
      <c r="AC154" s="825">
        <v>1</v>
      </c>
      <c r="AD154" s="825">
        <v>1</v>
      </c>
      <c r="AE154" s="825"/>
      <c r="AF154" s="825"/>
      <c r="AG154" s="824"/>
      <c r="AH154" s="827"/>
      <c r="AI154" s="824"/>
      <c r="AJ154" s="828">
        <f t="shared" ref="AJ154:AJ155" si="120">+Y154</f>
        <v>0</v>
      </c>
      <c r="AK154" s="862"/>
      <c r="AL154" s="828">
        <f t="shared" ref="AL154:AL155" si="121">+Z154</f>
        <v>0</v>
      </c>
      <c r="AM154" s="862"/>
      <c r="AN154" s="824"/>
      <c r="AO154" s="827"/>
      <c r="AP154" s="824"/>
      <c r="AQ154" s="923" t="s">
        <v>1365</v>
      </c>
      <c r="AR154" s="921" t="s">
        <v>1366</v>
      </c>
      <c r="AS154" s="948">
        <v>1.696</v>
      </c>
      <c r="AT154" s="949">
        <v>1600000</v>
      </c>
      <c r="AU154" s="824"/>
      <c r="AV154" s="827"/>
      <c r="AW154" s="824"/>
      <c r="AX154" s="934">
        <v>567</v>
      </c>
      <c r="AY154" s="936">
        <v>1.99</v>
      </c>
      <c r="AZ154" s="936">
        <v>13500</v>
      </c>
      <c r="BA154" s="936">
        <v>12000</v>
      </c>
      <c r="BB154" s="936">
        <v>12000</v>
      </c>
      <c r="BC154" s="936">
        <v>11000</v>
      </c>
      <c r="BD154" s="950">
        <v>57.2</v>
      </c>
      <c r="BF154" s="830"/>
      <c r="BG154" s="936"/>
      <c r="BH154" s="936"/>
      <c r="BJ154" s="936"/>
      <c r="BK154" s="936"/>
      <c r="BL154" s="936"/>
      <c r="BM154" s="936"/>
      <c r="BN154" s="936"/>
      <c r="BO154" s="936"/>
      <c r="BP154" s="936"/>
      <c r="BS154" s="936"/>
      <c r="CH154" s="936"/>
      <c r="CI154" s="938"/>
    </row>
    <row r="155" spans="1:87" s="747" customFormat="1" ht="13.9" hidden="1" customHeight="1" outlineLevel="1">
      <c r="B155" s="921" t="str">
        <f t="shared" si="113"/>
        <v>710/6-6/36/PPG/4ZR; 1.10kW/6P</v>
      </c>
      <c r="C155" s="922"/>
      <c r="D155" s="923"/>
      <c r="E155" s="808"/>
      <c r="F155" s="809"/>
      <c r="G155" s="809"/>
      <c r="H155" s="924" t="s">
        <v>100</v>
      </c>
      <c r="I155" s="947"/>
      <c r="J155" s="828"/>
      <c r="K155" s="808"/>
      <c r="L155" s="809"/>
      <c r="M155" s="860">
        <v>1</v>
      </c>
      <c r="N155" s="813">
        <f t="shared" si="114"/>
        <v>1</v>
      </c>
      <c r="O155" s="814">
        <v>1</v>
      </c>
      <c r="P155" s="811">
        <f t="shared" si="115"/>
        <v>1</v>
      </c>
      <c r="Q155" s="815">
        <v>1</v>
      </c>
      <c r="R155" s="505">
        <f t="shared" si="116"/>
        <v>0</v>
      </c>
      <c r="S155" s="815">
        <f t="shared" si="82"/>
        <v>0</v>
      </c>
      <c r="T155" s="925" t="s">
        <v>115</v>
      </c>
      <c r="U155" s="946">
        <v>1800000</v>
      </c>
      <c r="V155" s="927">
        <f t="shared" si="117"/>
        <v>6.8240753377917299E-5</v>
      </c>
      <c r="W155" s="926">
        <v>1</v>
      </c>
      <c r="X155" s="820">
        <v>2.2999999999999998</v>
      </c>
      <c r="Y155" s="928">
        <f t="shared" si="118"/>
        <v>0</v>
      </c>
      <c r="Z155" s="929">
        <f t="shared" si="119"/>
        <v>0</v>
      </c>
      <c r="AA155" s="823"/>
      <c r="AC155" s="457"/>
      <c r="AD155" s="457"/>
      <c r="AE155" s="457">
        <v>1</v>
      </c>
      <c r="AF155" s="457">
        <v>1</v>
      </c>
      <c r="AG155" s="824"/>
      <c r="AH155" s="827"/>
      <c r="AI155" s="824"/>
      <c r="AJ155" s="828">
        <f t="shared" si="120"/>
        <v>0</v>
      </c>
      <c r="AK155" s="862"/>
      <c r="AL155" s="828">
        <f t="shared" si="121"/>
        <v>0</v>
      </c>
      <c r="AM155" s="862"/>
      <c r="AN155" s="824"/>
      <c r="AO155" s="827"/>
      <c r="AP155" s="824"/>
      <c r="AQ155" s="923" t="s">
        <v>1367</v>
      </c>
      <c r="AR155" s="921" t="s">
        <v>1368</v>
      </c>
      <c r="AS155" s="948">
        <v>2.2999999999999998</v>
      </c>
      <c r="AT155" s="949">
        <v>1800000</v>
      </c>
      <c r="AU155" s="824"/>
      <c r="AV155" s="827"/>
      <c r="AW155" s="824"/>
      <c r="AX155" s="934">
        <v>663</v>
      </c>
      <c r="AY155" s="936">
        <v>3.31</v>
      </c>
      <c r="AZ155" s="936">
        <v>16700</v>
      </c>
      <c r="BA155" s="936">
        <v>15475</v>
      </c>
      <c r="BB155" s="936">
        <v>15200</v>
      </c>
      <c r="BC155" s="936">
        <v>14500</v>
      </c>
      <c r="BD155" s="950">
        <v>56.5</v>
      </c>
      <c r="BF155" s="830"/>
      <c r="BG155" s="936"/>
      <c r="BH155" s="936"/>
      <c r="BJ155" s="936"/>
      <c r="BK155" s="936"/>
      <c r="BL155" s="936"/>
      <c r="BM155" s="936"/>
      <c r="BN155" s="936"/>
      <c r="BO155" s="936"/>
      <c r="BP155" s="936"/>
      <c r="BS155" s="936"/>
      <c r="CH155" s="936"/>
      <c r="CI155" s="938"/>
    </row>
    <row r="156" spans="1:87" s="370" customFormat="1" ht="18.75" collapsed="1">
      <c r="B156" s="895" t="s">
        <v>1369</v>
      </c>
      <c r="C156" s="896"/>
      <c r="D156" s="897"/>
      <c r="E156" s="898"/>
      <c r="F156" s="899"/>
      <c r="G156" s="899"/>
      <c r="H156" s="900"/>
      <c r="I156" s="901"/>
      <c r="J156" s="902"/>
      <c r="K156" s="898"/>
      <c r="L156" s="899"/>
      <c r="M156" s="903"/>
      <c r="N156" s="904"/>
      <c r="O156" s="898"/>
      <c r="P156" s="902"/>
      <c r="Q156" s="905"/>
      <c r="R156" s="903"/>
      <c r="S156" s="905"/>
      <c r="T156" s="906"/>
      <c r="U156" s="906"/>
      <c r="V156" s="907"/>
      <c r="W156" s="908"/>
      <c r="X156" s="909"/>
      <c r="Y156" s="910">
        <f>SUM(Y157:Y158)</f>
        <v>0</v>
      </c>
      <c r="Z156" s="910">
        <f>SUM(Z157:Z158)</f>
        <v>0</v>
      </c>
      <c r="AA156" s="911"/>
      <c r="AB156" s="747"/>
      <c r="AC156" s="912"/>
      <c r="AD156" s="912"/>
      <c r="AE156" s="912"/>
      <c r="AF156" s="913"/>
      <c r="AH156" s="521"/>
      <c r="AJ156" s="483"/>
      <c r="AK156" s="522">
        <f>SUM(AJ157:AJ158)</f>
        <v>0</v>
      </c>
      <c r="AL156" s="401"/>
      <c r="AM156" s="523">
        <f>SUM(AL157:AL158)</f>
        <v>0</v>
      </c>
      <c r="AO156" s="521"/>
      <c r="AQ156" s="914" t="str">
        <f>+B156</f>
        <v>- Fan Motor 4P/6P</v>
      </c>
      <c r="AR156" s="915" t="s">
        <v>1370</v>
      </c>
      <c r="AS156" s="916" t="s">
        <v>97</v>
      </c>
      <c r="AT156" s="917" t="s">
        <v>1345</v>
      </c>
      <c r="AV156" s="521"/>
      <c r="AX156" s="951" t="s">
        <v>1124</v>
      </c>
      <c r="AY156" s="952" t="s">
        <v>1371</v>
      </c>
      <c r="AZ156" s="952" t="s">
        <v>1372</v>
      </c>
      <c r="BA156" s="952" t="s">
        <v>1373</v>
      </c>
      <c r="BB156" s="952" t="s">
        <v>1126</v>
      </c>
      <c r="BC156" s="952" t="s">
        <v>1374</v>
      </c>
      <c r="BD156" s="945"/>
      <c r="BE156" s="369"/>
      <c r="BF156" s="524"/>
      <c r="BG156" s="395"/>
      <c r="BH156" s="395"/>
      <c r="BI156" s="395"/>
      <c r="BJ156" s="395"/>
      <c r="BK156" s="369"/>
      <c r="BL156" s="395"/>
      <c r="BM156" s="395"/>
      <c r="BN156" s="395"/>
      <c r="BO156" s="395"/>
      <c r="BP156" s="395"/>
      <c r="BQ156" s="395"/>
      <c r="BR156" s="369"/>
      <c r="BS156" s="369"/>
      <c r="BT156" s="369"/>
      <c r="BU156" s="395"/>
      <c r="BV156" s="369"/>
      <c r="BW156" s="369"/>
      <c r="BX156" s="369"/>
      <c r="BY156" s="395"/>
      <c r="BZ156" s="369"/>
      <c r="CA156" s="369"/>
      <c r="CH156" s="395"/>
      <c r="CI156" s="511"/>
    </row>
    <row r="157" spans="1:87" s="747" customFormat="1" ht="13.9" hidden="1" customHeight="1" outlineLevel="1">
      <c r="B157" s="931" t="str">
        <f t="shared" ref="B157:B158" si="122">AQ157</f>
        <v>0.75kW-380V/3/50-4P</v>
      </c>
      <c r="D157" s="930"/>
      <c r="E157" s="808"/>
      <c r="F157" s="809"/>
      <c r="G157" s="809"/>
      <c r="H157" s="924" t="s">
        <v>100</v>
      </c>
      <c r="I157" s="816"/>
      <c r="J157" s="811"/>
      <c r="K157" s="808"/>
      <c r="L157" s="809"/>
      <c r="M157" s="860">
        <v>1</v>
      </c>
      <c r="N157" s="939">
        <f t="shared" ref="N157" si="123">IF(I157&gt;0,22/28*((I157/1000)^2-(I157/1000-2*J157/1000)^2)*K157/1000,IF(J157&gt;0,J157/1000*K157/1000*L157/1000, IF(K157&gt;0,K157/1000*L157/1000, IF(L157=0,1,L157/1000))))</f>
        <v>1</v>
      </c>
      <c r="O157" s="814">
        <v>1</v>
      </c>
      <c r="P157" s="811">
        <f t="shared" ref="P157" si="124">M157*N157*O157</f>
        <v>1</v>
      </c>
      <c r="Q157" s="815">
        <v>1</v>
      </c>
      <c r="R157" s="505">
        <f t="shared" ref="R157:R158" si="125">+R$152</f>
        <v>0</v>
      </c>
      <c r="S157" s="815">
        <f t="shared" si="82"/>
        <v>0</v>
      </c>
      <c r="T157" s="925" t="s">
        <v>46</v>
      </c>
      <c r="U157" s="811">
        <v>69.421487603305778</v>
      </c>
      <c r="V157" s="927">
        <f t="shared" ref="V157" si="126">1/VLOOKUP(T157,Y$12:Z$18,2,FALSE)</f>
        <v>1</v>
      </c>
      <c r="W157" s="926">
        <v>1</v>
      </c>
      <c r="X157" s="820">
        <v>16</v>
      </c>
      <c r="Y157" s="928">
        <f t="shared" ref="Y157:Y158" si="127">+P157*R157*AA157*X157</f>
        <v>0</v>
      </c>
      <c r="Z157" s="929">
        <f t="shared" ref="Z157:Z158" si="128">S157*U157*V157*W157</f>
        <v>0</v>
      </c>
      <c r="AA157" s="823">
        <v>1</v>
      </c>
      <c r="AC157" s="825">
        <v>1</v>
      </c>
      <c r="AD157" s="825">
        <v>1</v>
      </c>
      <c r="AE157" s="825"/>
      <c r="AF157" s="825"/>
      <c r="AG157" s="824"/>
      <c r="AH157" s="827"/>
      <c r="AI157" s="824"/>
      <c r="AJ157" s="828">
        <f t="shared" ref="AJ157:AJ158" si="129">+Y157</f>
        <v>0</v>
      </c>
      <c r="AK157" s="862"/>
      <c r="AL157" s="828">
        <f t="shared" ref="AL157:AL158" si="130">+Z157</f>
        <v>0</v>
      </c>
      <c r="AM157" s="862"/>
      <c r="AN157" s="824"/>
      <c r="AO157" s="827"/>
      <c r="AP157" s="824"/>
      <c r="AQ157" s="930" t="s">
        <v>1375</v>
      </c>
      <c r="AR157" s="921" t="s">
        <v>1127</v>
      </c>
      <c r="AS157" s="841">
        <v>16</v>
      </c>
      <c r="AT157" s="953">
        <v>69.421487603305778</v>
      </c>
      <c r="AU157" s="824"/>
      <c r="AV157" s="827"/>
      <c r="AW157" s="824"/>
      <c r="AX157" s="954">
        <v>1400</v>
      </c>
      <c r="AY157" s="955">
        <v>74</v>
      </c>
      <c r="AZ157" s="955">
        <v>77</v>
      </c>
      <c r="BA157" s="956">
        <v>1.99</v>
      </c>
      <c r="BB157" s="955">
        <v>11</v>
      </c>
      <c r="BC157" s="956">
        <v>1.01</v>
      </c>
      <c r="BD157" s="950"/>
      <c r="BF157" s="830"/>
      <c r="BG157" s="936"/>
      <c r="BJ157" s="936"/>
      <c r="BK157" s="936"/>
      <c r="BL157" s="936"/>
      <c r="BM157" s="936"/>
      <c r="BN157" s="936"/>
      <c r="BO157" s="936"/>
      <c r="BP157" s="936"/>
      <c r="BS157" s="936"/>
      <c r="CH157" s="936"/>
      <c r="CI157" s="938"/>
    </row>
    <row r="158" spans="1:87" s="747" customFormat="1" ht="13.9" hidden="1" customHeight="1" outlineLevel="1">
      <c r="B158" s="931" t="str">
        <f t="shared" si="122"/>
        <v>1.10kW-380V/3/50-6P</v>
      </c>
      <c r="D158" s="930"/>
      <c r="E158" s="808"/>
      <c r="F158" s="809"/>
      <c r="G158" s="809"/>
      <c r="H158" s="924" t="s">
        <v>100</v>
      </c>
      <c r="I158" s="816"/>
      <c r="J158" s="811"/>
      <c r="K158" s="808"/>
      <c r="L158" s="809"/>
      <c r="M158" s="860">
        <v>1</v>
      </c>
      <c r="N158" s="939">
        <f>IF(I158&gt;0,22/28*((I158/1000)^2-(I158/1000-2*J158/1000)^2)*K158/1000,IF(J158&gt;0,J158/1000*K158/1000*L158/1000, IF(K158&gt;0,K158/1000*L158/1000, IF(L158=0,1,L158/1000))))</f>
        <v>1</v>
      </c>
      <c r="O158" s="814">
        <v>1</v>
      </c>
      <c r="P158" s="811">
        <f>M158*N158*O158</f>
        <v>1</v>
      </c>
      <c r="Q158" s="815">
        <v>1</v>
      </c>
      <c r="R158" s="505">
        <f t="shared" si="125"/>
        <v>0</v>
      </c>
      <c r="S158" s="815">
        <f t="shared" si="82"/>
        <v>0</v>
      </c>
      <c r="T158" s="925" t="s">
        <v>46</v>
      </c>
      <c r="U158" s="811">
        <v>97.851239669421474</v>
      </c>
      <c r="V158" s="927">
        <f>1/VLOOKUP(T158,Y$12:Z$18,2,FALSE)</f>
        <v>1</v>
      </c>
      <c r="W158" s="926">
        <v>1</v>
      </c>
      <c r="X158" s="820">
        <v>25</v>
      </c>
      <c r="Y158" s="928">
        <f t="shared" si="127"/>
        <v>0</v>
      </c>
      <c r="Z158" s="929">
        <f t="shared" si="128"/>
        <v>0</v>
      </c>
      <c r="AA158" s="823"/>
      <c r="AC158" s="457"/>
      <c r="AD158" s="457"/>
      <c r="AE158" s="457">
        <v>1</v>
      </c>
      <c r="AF158" s="457">
        <v>1</v>
      </c>
      <c r="AG158" s="824"/>
      <c r="AH158" s="827"/>
      <c r="AI158" s="824"/>
      <c r="AJ158" s="828">
        <f t="shared" si="129"/>
        <v>0</v>
      </c>
      <c r="AK158" s="862"/>
      <c r="AL158" s="828">
        <f t="shared" si="130"/>
        <v>0</v>
      </c>
      <c r="AM158" s="862"/>
      <c r="AN158" s="824"/>
      <c r="AO158" s="827"/>
      <c r="AP158" s="824"/>
      <c r="AQ158" s="930" t="s">
        <v>1376</v>
      </c>
      <c r="AR158" s="921" t="s">
        <v>1377</v>
      </c>
      <c r="AS158" s="841">
        <v>25</v>
      </c>
      <c r="AT158" s="953">
        <v>97.851239669421474</v>
      </c>
      <c r="AU158" s="824"/>
      <c r="AV158" s="827"/>
      <c r="AW158" s="824"/>
      <c r="AX158" s="954">
        <v>935</v>
      </c>
      <c r="AY158" s="955">
        <v>75</v>
      </c>
      <c r="AZ158" s="955">
        <v>68.5</v>
      </c>
      <c r="BA158" s="957">
        <v>3.31</v>
      </c>
      <c r="BB158" s="955">
        <v>17</v>
      </c>
      <c r="BC158" s="957">
        <v>1.49</v>
      </c>
      <c r="BD158" s="950"/>
      <c r="BF158" s="830"/>
      <c r="BG158" s="936"/>
      <c r="BJ158" s="936"/>
      <c r="BK158" s="936"/>
      <c r="BL158" s="936"/>
      <c r="BM158" s="936"/>
      <c r="BN158" s="936"/>
      <c r="BO158" s="936"/>
      <c r="BP158" s="936"/>
      <c r="BS158" s="936"/>
      <c r="CH158" s="936"/>
      <c r="CI158" s="938"/>
    </row>
    <row r="159" spans="1:87" s="370" customFormat="1" ht="15" collapsed="1">
      <c r="B159" s="895" t="s">
        <v>1378</v>
      </c>
      <c r="C159" s="896" t="s">
        <v>1358</v>
      </c>
      <c r="D159" s="897"/>
      <c r="E159" s="898">
        <f>+N$73</f>
        <v>630</v>
      </c>
      <c r="F159" s="899">
        <v>150</v>
      </c>
      <c r="G159" s="899"/>
      <c r="H159" s="900"/>
      <c r="I159" s="901"/>
      <c r="J159" s="902"/>
      <c r="K159" s="898"/>
      <c r="L159" s="899"/>
      <c r="M159" s="903"/>
      <c r="N159" s="904"/>
      <c r="O159" s="898"/>
      <c r="P159" s="902"/>
      <c r="Q159" s="905"/>
      <c r="R159" s="903"/>
      <c r="S159" s="905"/>
      <c r="T159" s="906"/>
      <c r="U159" s="906"/>
      <c r="V159" s="907"/>
      <c r="W159" s="908"/>
      <c r="X159" s="909"/>
      <c r="Y159" s="910">
        <f>SUM(Y160:Y169)</f>
        <v>0</v>
      </c>
      <c r="Z159" s="910">
        <f>SUM(Z160:Z169)</f>
        <v>0</v>
      </c>
      <c r="AA159" s="911"/>
      <c r="AB159" s="747"/>
      <c r="AC159" s="912"/>
      <c r="AD159" s="912"/>
      <c r="AE159" s="912"/>
      <c r="AF159" s="913"/>
      <c r="AH159" s="521"/>
      <c r="AJ159" s="483"/>
      <c r="AK159" s="522">
        <f>SUM(AJ160:AJ169)</f>
        <v>0</v>
      </c>
      <c r="AL159" s="401"/>
      <c r="AM159" s="523">
        <f>SUM(AL160:AL169)</f>
        <v>0</v>
      </c>
      <c r="AO159" s="521"/>
      <c r="AQ159" s="897"/>
      <c r="AR159" s="958"/>
      <c r="AS159" s="958"/>
      <c r="AT159" s="959"/>
      <c r="AV159" s="521"/>
      <c r="AX159" s="897"/>
      <c r="AY159" s="960"/>
      <c r="AZ159" s="960"/>
      <c r="BA159" s="960"/>
      <c r="BB159" s="960"/>
      <c r="BC159" s="960"/>
      <c r="BD159" s="961"/>
      <c r="BF159" s="524"/>
      <c r="BI159" s="369"/>
      <c r="BJ159" s="369"/>
      <c r="BK159" s="395"/>
      <c r="BL159" s="369"/>
      <c r="BM159" s="369"/>
      <c r="BN159" s="369"/>
      <c r="BO159" s="369"/>
      <c r="BP159" s="369"/>
      <c r="CH159" s="369"/>
      <c r="CI159" s="524"/>
    </row>
    <row r="160" spans="1:87" s="747" customFormat="1" ht="13.9" hidden="1" customHeight="1" outlineLevel="1">
      <c r="A160" s="804"/>
      <c r="B160" s="805" t="str">
        <f>"Orifice Assy : Funnel  OD "&amp;E160</f>
        <v>Orifice Assy : Funnel  OD 630</v>
      </c>
      <c r="C160" s="806" t="str">
        <f>+G$4</f>
        <v>GI</v>
      </c>
      <c r="D160" s="807"/>
      <c r="E160" s="962">
        <f>+E159</f>
        <v>630</v>
      </c>
      <c r="F160" s="963">
        <f>+F159</f>
        <v>150</v>
      </c>
      <c r="G160" s="809">
        <v>10</v>
      </c>
      <c r="H160" s="457" t="s">
        <v>97</v>
      </c>
      <c r="I160" s="810"/>
      <c r="J160" s="811">
        <v>2</v>
      </c>
      <c r="K160" s="808">
        <f>22/7*(E160+10)+20</f>
        <v>2031.4285714285713</v>
      </c>
      <c r="L160" s="809">
        <f>+F160</f>
        <v>150</v>
      </c>
      <c r="M160" s="812">
        <f>+S$43</f>
        <v>8030</v>
      </c>
      <c r="N160" s="813">
        <f t="shared" ref="N160:N169" si="131">IF(I160&gt;0,22/28*((I160/1000)^2-(I160/1000-2*J160/1000)^2)*K160/1000,IF(J160&gt;0,J160/1000*K160/1000*L160/1000, IF(K160&gt;0,K160/1000*L160/1000, IF(L160=0,1,L160/1000))))</f>
        <v>6.0942857142857142E-4</v>
      </c>
      <c r="O160" s="814">
        <v>1</v>
      </c>
      <c r="P160" s="811">
        <f t="shared" ref="P160:P169" si="132">M160*N160*O160</f>
        <v>4.8937114285714287</v>
      </c>
      <c r="Q160" s="815">
        <v>1.2</v>
      </c>
      <c r="R160" s="841">
        <f t="shared" ref="R160:R169" si="133">+R$152</f>
        <v>0</v>
      </c>
      <c r="S160" s="815">
        <f t="shared" si="82"/>
        <v>0</v>
      </c>
      <c r="T160" s="817" t="s">
        <v>115</v>
      </c>
      <c r="U160" s="818">
        <f>+T$43</f>
        <v>22500</v>
      </c>
      <c r="V160" s="819">
        <f t="shared" ref="V160:V169" si="134">1/VLOOKUP(T160,Y$12:Z$18,2,FALSE)</f>
        <v>6.8240753377917299E-5</v>
      </c>
      <c r="W160" s="811">
        <v>1</v>
      </c>
      <c r="X160" s="820">
        <v>1</v>
      </c>
      <c r="Y160" s="821">
        <f t="shared" ref="Y160:Y169" si="135">+P160*R160*AA160*X160</f>
        <v>0</v>
      </c>
      <c r="Z160" s="822">
        <f t="shared" ref="Z160:Z169" si="136">S160*U160*V160*W160</f>
        <v>0</v>
      </c>
      <c r="AA160" s="823">
        <v>1</v>
      </c>
      <c r="AB160" s="824"/>
      <c r="AC160" s="825">
        <v>1</v>
      </c>
      <c r="AD160" s="825">
        <v>1</v>
      </c>
      <c r="AE160" s="825">
        <v>1</v>
      </c>
      <c r="AF160" s="825">
        <v>1</v>
      </c>
      <c r="AG160" s="826"/>
      <c r="AH160" s="827"/>
      <c r="AJ160" s="828">
        <f t="shared" ref="AJ160:AJ169" si="137">+Y160</f>
        <v>0</v>
      </c>
      <c r="AK160" s="862"/>
      <c r="AL160" s="828">
        <f t="shared" ref="AL160:AL169" si="138">+Z160</f>
        <v>0</v>
      </c>
      <c r="AM160" s="828"/>
      <c r="AO160" s="827"/>
      <c r="AQ160" s="930"/>
      <c r="AT160" s="964"/>
      <c r="AV160" s="827"/>
      <c r="AX160" s="965"/>
      <c r="AY160" s="966"/>
      <c r="AZ160" s="966"/>
      <c r="BA160" s="966"/>
      <c r="BB160" s="966"/>
      <c r="BC160" s="966"/>
      <c r="BD160" s="943"/>
      <c r="BF160" s="830"/>
      <c r="CI160" s="830"/>
    </row>
    <row r="161" spans="1:87" s="418" customFormat="1" ht="13.9" hidden="1" customHeight="1" outlineLevel="1">
      <c r="B161" s="445" t="s">
        <v>1311</v>
      </c>
      <c r="C161" s="418" t="str">
        <f>IF(N$4=1,"Powder Coating", "No Coating")</f>
        <v>Powder Coating</v>
      </c>
      <c r="D161" s="504"/>
      <c r="E161" s="447"/>
      <c r="F161" s="831"/>
      <c r="G161" s="831"/>
      <c r="H161" s="459" t="s">
        <v>54</v>
      </c>
      <c r="I161" s="832"/>
      <c r="J161" s="446"/>
      <c r="K161" s="447">
        <f>+K160</f>
        <v>2031.4285714285713</v>
      </c>
      <c r="L161" s="448">
        <f>+L160</f>
        <v>150</v>
      </c>
      <c r="M161" s="449">
        <v>2</v>
      </c>
      <c r="N161" s="833">
        <f t="shared" si="131"/>
        <v>0.30471428571428566</v>
      </c>
      <c r="O161" s="451">
        <f>+O160</f>
        <v>1</v>
      </c>
      <c r="P161" s="446">
        <f t="shared" si="132"/>
        <v>0.60942857142857132</v>
      </c>
      <c r="Q161" s="452">
        <v>1.1000000000000001</v>
      </c>
      <c r="R161" s="458">
        <f t="shared" si="133"/>
        <v>0</v>
      </c>
      <c r="S161" s="452">
        <f t="shared" si="82"/>
        <v>0</v>
      </c>
      <c r="T161" s="426" t="s">
        <v>115</v>
      </c>
      <c r="U161" s="834">
        <f>+Q$11</f>
        <v>65000</v>
      </c>
      <c r="V161" s="835">
        <f t="shared" si="134"/>
        <v>6.8240753377917299E-5</v>
      </c>
      <c r="W161" s="446">
        <v>1</v>
      </c>
      <c r="X161" s="836">
        <f>+P$11</f>
        <v>0.25</v>
      </c>
      <c r="Y161" s="837">
        <f t="shared" si="135"/>
        <v>0</v>
      </c>
      <c r="Z161" s="838">
        <f t="shared" si="136"/>
        <v>0</v>
      </c>
      <c r="AA161" s="456">
        <f>+AA160</f>
        <v>1</v>
      </c>
      <c r="AC161" s="378">
        <f>+AC160</f>
        <v>1</v>
      </c>
      <c r="AD161" s="378">
        <f t="shared" ref="AD161:AF161" si="139">+AD160</f>
        <v>1</v>
      </c>
      <c r="AE161" s="378">
        <f t="shared" si="139"/>
        <v>1</v>
      </c>
      <c r="AF161" s="378">
        <f t="shared" si="139"/>
        <v>1</v>
      </c>
      <c r="AG161" s="479"/>
      <c r="AH161" s="721"/>
      <c r="AI161" s="479"/>
      <c r="AJ161" s="483">
        <f t="shared" si="137"/>
        <v>0</v>
      </c>
      <c r="AK161" s="522"/>
      <c r="AL161" s="401">
        <f t="shared" si="138"/>
        <v>0</v>
      </c>
      <c r="AM161" s="523"/>
      <c r="AN161" s="479"/>
      <c r="AO161" s="521"/>
      <c r="AP161" s="479"/>
      <c r="AQ161" s="967"/>
      <c r="AR161" s="479"/>
      <c r="AS161" s="479"/>
      <c r="AT161" s="968"/>
      <c r="AU161" s="479"/>
      <c r="AV161" s="521"/>
      <c r="AW161" s="479"/>
      <c r="AX161" s="967"/>
      <c r="AY161" s="370"/>
      <c r="AZ161" s="370"/>
      <c r="BA161" s="370"/>
      <c r="BB161" s="370"/>
      <c r="BC161" s="370"/>
      <c r="BD161" s="969"/>
      <c r="BE161" s="370"/>
      <c r="BF161" s="524"/>
      <c r="BG161" s="370"/>
      <c r="BH161" s="370"/>
      <c r="BI161" s="395"/>
      <c r="BJ161" s="369"/>
      <c r="BK161" s="369"/>
      <c r="BL161" s="369"/>
      <c r="BM161" s="369"/>
      <c r="BN161" s="369"/>
      <c r="BO161" s="369"/>
      <c r="BP161" s="369"/>
      <c r="BQ161" s="369"/>
      <c r="BR161" s="369"/>
      <c r="BS161" s="369"/>
      <c r="BT161" s="369"/>
      <c r="BU161" s="369"/>
      <c r="BV161" s="369"/>
      <c r="BW161" s="369"/>
      <c r="BX161" s="369"/>
      <c r="BY161" s="369"/>
      <c r="BZ161" s="369"/>
      <c r="CH161" s="369"/>
      <c r="CI161" s="524"/>
    </row>
    <row r="162" spans="1:87" s="747" customFormat="1" ht="13.9" hidden="1" customHeight="1" outlineLevel="1">
      <c r="A162" s="804"/>
      <c r="B162" s="805" t="str">
        <f>"Orifice Assy : L Flange OD "&amp;E160</f>
        <v>Orifice Assy : L Flange OD 630</v>
      </c>
      <c r="C162" s="806" t="str">
        <f>+G$4</f>
        <v>GI</v>
      </c>
      <c r="D162" s="807"/>
      <c r="E162" s="808">
        <f>+E160</f>
        <v>630</v>
      </c>
      <c r="F162" s="809">
        <v>25</v>
      </c>
      <c r="G162" s="809">
        <v>10</v>
      </c>
      <c r="H162" s="457" t="s">
        <v>97</v>
      </c>
      <c r="I162" s="810"/>
      <c r="J162" s="811">
        <v>2</v>
      </c>
      <c r="K162" s="808">
        <f>22/7*(E162+10)+20</f>
        <v>2031.4285714285713</v>
      </c>
      <c r="L162" s="809">
        <f>+F161:F162+25</f>
        <v>50</v>
      </c>
      <c r="M162" s="812">
        <f>+S$43</f>
        <v>8030</v>
      </c>
      <c r="N162" s="813">
        <f t="shared" si="131"/>
        <v>2.0314285714285714E-4</v>
      </c>
      <c r="O162" s="814">
        <v>2</v>
      </c>
      <c r="P162" s="811">
        <f t="shared" si="132"/>
        <v>3.2624742857142857</v>
      </c>
      <c r="Q162" s="815">
        <v>1.2</v>
      </c>
      <c r="R162" s="841">
        <f t="shared" si="133"/>
        <v>0</v>
      </c>
      <c r="S162" s="815">
        <f t="shared" si="82"/>
        <v>0</v>
      </c>
      <c r="T162" s="817" t="s">
        <v>115</v>
      </c>
      <c r="U162" s="818">
        <f>+T$43</f>
        <v>22500</v>
      </c>
      <c r="V162" s="819">
        <f t="shared" si="134"/>
        <v>6.8240753377917299E-5</v>
      </c>
      <c r="W162" s="811">
        <v>1</v>
      </c>
      <c r="X162" s="820">
        <v>1</v>
      </c>
      <c r="Y162" s="821">
        <f t="shared" si="135"/>
        <v>0</v>
      </c>
      <c r="Z162" s="822">
        <f t="shared" si="136"/>
        <v>0</v>
      </c>
      <c r="AA162" s="823">
        <v>1</v>
      </c>
      <c r="AB162" s="824"/>
      <c r="AC162" s="825">
        <v>1</v>
      </c>
      <c r="AD162" s="825">
        <v>1</v>
      </c>
      <c r="AE162" s="825">
        <v>1</v>
      </c>
      <c r="AF162" s="825">
        <v>1</v>
      </c>
      <c r="AG162" s="826"/>
      <c r="AH162" s="827"/>
      <c r="AJ162" s="828">
        <f t="shared" si="137"/>
        <v>0</v>
      </c>
      <c r="AK162" s="862"/>
      <c r="AL162" s="828">
        <f t="shared" si="138"/>
        <v>0</v>
      </c>
      <c r="AM162" s="828"/>
      <c r="AO162" s="827"/>
      <c r="AQ162" s="930"/>
      <c r="AT162" s="964"/>
      <c r="AV162" s="827"/>
      <c r="AX162" s="930"/>
      <c r="BD162" s="964"/>
      <c r="BF162" s="830"/>
      <c r="CI162" s="830"/>
    </row>
    <row r="163" spans="1:87" s="418" customFormat="1" ht="13.9" hidden="1" customHeight="1" outlineLevel="1">
      <c r="B163" s="445" t="s">
        <v>1311</v>
      </c>
      <c r="C163" s="418" t="str">
        <f>IF(N$4=1,"Powder Coating", "No Coating")</f>
        <v>Powder Coating</v>
      </c>
      <c r="D163" s="504"/>
      <c r="E163" s="447"/>
      <c r="F163" s="831"/>
      <c r="G163" s="831"/>
      <c r="H163" s="459" t="s">
        <v>54</v>
      </c>
      <c r="I163" s="832"/>
      <c r="J163" s="446"/>
      <c r="K163" s="447">
        <f>+K162</f>
        <v>2031.4285714285713</v>
      </c>
      <c r="L163" s="448">
        <f>+L162</f>
        <v>50</v>
      </c>
      <c r="M163" s="449">
        <v>2</v>
      </c>
      <c r="N163" s="833">
        <f t="shared" si="131"/>
        <v>0.10157142857142855</v>
      </c>
      <c r="O163" s="451">
        <f>+O162</f>
        <v>2</v>
      </c>
      <c r="P163" s="446">
        <f t="shared" si="132"/>
        <v>0.40628571428571419</v>
      </c>
      <c r="Q163" s="452">
        <v>1.1000000000000001</v>
      </c>
      <c r="R163" s="458">
        <f t="shared" si="133"/>
        <v>0</v>
      </c>
      <c r="S163" s="452">
        <f t="shared" si="82"/>
        <v>0</v>
      </c>
      <c r="T163" s="426" t="s">
        <v>115</v>
      </c>
      <c r="U163" s="834">
        <f>+Q$11</f>
        <v>65000</v>
      </c>
      <c r="V163" s="835">
        <f t="shared" si="134"/>
        <v>6.8240753377917299E-5</v>
      </c>
      <c r="W163" s="446">
        <v>1</v>
      </c>
      <c r="X163" s="836">
        <f>+P$11</f>
        <v>0.25</v>
      </c>
      <c r="Y163" s="837">
        <f t="shared" si="135"/>
        <v>0</v>
      </c>
      <c r="Z163" s="838">
        <f t="shared" si="136"/>
        <v>0</v>
      </c>
      <c r="AA163" s="456">
        <f>+AA162</f>
        <v>1</v>
      </c>
      <c r="AC163" s="378">
        <f>+AC162</f>
        <v>1</v>
      </c>
      <c r="AD163" s="378">
        <f t="shared" ref="AD163:AF163" si="140">+AD162</f>
        <v>1</v>
      </c>
      <c r="AE163" s="378">
        <f t="shared" si="140"/>
        <v>1</v>
      </c>
      <c r="AF163" s="378">
        <f t="shared" si="140"/>
        <v>1</v>
      </c>
      <c r="AG163" s="479"/>
      <c r="AH163" s="721"/>
      <c r="AI163" s="479"/>
      <c r="AJ163" s="483">
        <f t="shared" si="137"/>
        <v>0</v>
      </c>
      <c r="AK163" s="522"/>
      <c r="AL163" s="401">
        <f t="shared" si="138"/>
        <v>0</v>
      </c>
      <c r="AM163" s="523"/>
      <c r="AN163" s="479"/>
      <c r="AO163" s="521"/>
      <c r="AP163" s="479"/>
      <c r="AQ163" s="967"/>
      <c r="AR163" s="479"/>
      <c r="AS163" s="479"/>
      <c r="AT163" s="968"/>
      <c r="AU163" s="479"/>
      <c r="AV163" s="521"/>
      <c r="AW163" s="479"/>
      <c r="AX163" s="967"/>
      <c r="AY163" s="370"/>
      <c r="AZ163" s="370"/>
      <c r="BA163" s="370"/>
      <c r="BB163" s="370"/>
      <c r="BC163" s="370"/>
      <c r="BD163" s="969"/>
      <c r="BE163" s="370"/>
      <c r="BF163" s="524"/>
      <c r="BG163" s="370"/>
      <c r="BH163" s="370"/>
      <c r="BI163" s="395"/>
      <c r="BJ163" s="369"/>
      <c r="BK163" s="369"/>
      <c r="BL163" s="369"/>
      <c r="BM163" s="369"/>
      <c r="BN163" s="369"/>
      <c r="BO163" s="369"/>
      <c r="BP163" s="369"/>
      <c r="BQ163" s="369"/>
      <c r="BR163" s="369"/>
      <c r="BS163" s="369"/>
      <c r="BT163" s="369"/>
      <c r="BU163" s="369"/>
      <c r="BV163" s="369"/>
      <c r="BW163" s="369"/>
      <c r="BX163" s="369"/>
      <c r="BY163" s="369"/>
      <c r="BZ163" s="369"/>
      <c r="CH163" s="369"/>
      <c r="CI163" s="524"/>
    </row>
    <row r="164" spans="1:87" s="747" customFormat="1" ht="13.9" hidden="1" customHeight="1" outlineLevel="1">
      <c r="A164" s="804"/>
      <c r="B164" s="805" t="str">
        <f>"Orifice Assy : Motor Base OD "&amp;E160</f>
        <v>Orifice Assy : Motor Base OD 630</v>
      </c>
      <c r="C164" s="806" t="str">
        <f>+G$4</f>
        <v>GI</v>
      </c>
      <c r="D164" s="807"/>
      <c r="E164" s="808">
        <f>+E160*0.7</f>
        <v>441</v>
      </c>
      <c r="F164" s="809">
        <v>350</v>
      </c>
      <c r="G164" s="809"/>
      <c r="H164" s="457" t="s">
        <v>97</v>
      </c>
      <c r="I164" s="810"/>
      <c r="J164" s="811">
        <v>3</v>
      </c>
      <c r="K164" s="808">
        <f>+E164</f>
        <v>441</v>
      </c>
      <c r="L164" s="809">
        <f>+F164</f>
        <v>350</v>
      </c>
      <c r="M164" s="812">
        <f>+S$43</f>
        <v>8030</v>
      </c>
      <c r="N164" s="813">
        <f t="shared" si="131"/>
        <v>4.6304999999999995E-4</v>
      </c>
      <c r="O164" s="814">
        <v>1</v>
      </c>
      <c r="P164" s="811">
        <f t="shared" si="132"/>
        <v>3.7182914999999994</v>
      </c>
      <c r="Q164" s="815">
        <v>1.2</v>
      </c>
      <c r="R164" s="841">
        <f t="shared" si="133"/>
        <v>0</v>
      </c>
      <c r="S164" s="815">
        <f t="shared" si="82"/>
        <v>0</v>
      </c>
      <c r="T164" s="817" t="s">
        <v>115</v>
      </c>
      <c r="U164" s="818">
        <f>+T$43</f>
        <v>22500</v>
      </c>
      <c r="V164" s="819">
        <f t="shared" si="134"/>
        <v>6.8240753377917299E-5</v>
      </c>
      <c r="W164" s="811">
        <v>1</v>
      </c>
      <c r="X164" s="820">
        <v>1</v>
      </c>
      <c r="Y164" s="821">
        <f t="shared" si="135"/>
        <v>0</v>
      </c>
      <c r="Z164" s="822">
        <f t="shared" si="136"/>
        <v>0</v>
      </c>
      <c r="AA164" s="823">
        <v>1</v>
      </c>
      <c r="AB164" s="824"/>
      <c r="AC164" s="825">
        <v>1</v>
      </c>
      <c r="AD164" s="825">
        <v>1</v>
      </c>
      <c r="AE164" s="825">
        <v>1</v>
      </c>
      <c r="AF164" s="825">
        <v>1</v>
      </c>
      <c r="AG164" s="826"/>
      <c r="AH164" s="827"/>
      <c r="AJ164" s="828">
        <f t="shared" si="137"/>
        <v>0</v>
      </c>
      <c r="AK164" s="862"/>
      <c r="AL164" s="828">
        <f t="shared" si="138"/>
        <v>0</v>
      </c>
      <c r="AM164" s="828"/>
      <c r="AO164" s="827"/>
      <c r="AQ164" s="930"/>
      <c r="AT164" s="964"/>
      <c r="AV164" s="827"/>
      <c r="AX164" s="930"/>
      <c r="BD164" s="964"/>
      <c r="BF164" s="830"/>
      <c r="CI164" s="830"/>
    </row>
    <row r="165" spans="1:87" s="418" customFormat="1" ht="13.9" hidden="1" customHeight="1" outlineLevel="1">
      <c r="B165" s="445" t="s">
        <v>1311</v>
      </c>
      <c r="C165" s="418" t="str">
        <f>IF(N$4=1,"Powder Coating", "No Coating")</f>
        <v>Powder Coating</v>
      </c>
      <c r="D165" s="504"/>
      <c r="E165" s="447"/>
      <c r="F165" s="831"/>
      <c r="G165" s="831"/>
      <c r="H165" s="459" t="s">
        <v>54</v>
      </c>
      <c r="I165" s="832"/>
      <c r="J165" s="446"/>
      <c r="K165" s="447">
        <f>+K164</f>
        <v>441</v>
      </c>
      <c r="L165" s="448">
        <f>+L164</f>
        <v>350</v>
      </c>
      <c r="M165" s="449">
        <v>2</v>
      </c>
      <c r="N165" s="833">
        <f t="shared" si="131"/>
        <v>0.15434999999999999</v>
      </c>
      <c r="O165" s="451">
        <f>+O164</f>
        <v>1</v>
      </c>
      <c r="P165" s="446">
        <f t="shared" si="132"/>
        <v>0.30869999999999997</v>
      </c>
      <c r="Q165" s="452">
        <v>1.1000000000000001</v>
      </c>
      <c r="R165" s="458">
        <f t="shared" si="133"/>
        <v>0</v>
      </c>
      <c r="S165" s="452">
        <f t="shared" si="82"/>
        <v>0</v>
      </c>
      <c r="T165" s="426" t="s">
        <v>115</v>
      </c>
      <c r="U165" s="834">
        <f>+Q$11</f>
        <v>65000</v>
      </c>
      <c r="V165" s="835">
        <f t="shared" si="134"/>
        <v>6.8240753377917299E-5</v>
      </c>
      <c r="W165" s="446">
        <v>1</v>
      </c>
      <c r="X165" s="836">
        <f>+P$11</f>
        <v>0.25</v>
      </c>
      <c r="Y165" s="837">
        <f t="shared" si="135"/>
        <v>0</v>
      </c>
      <c r="Z165" s="838">
        <f t="shared" si="136"/>
        <v>0</v>
      </c>
      <c r="AA165" s="456">
        <f>+AA164</f>
        <v>1</v>
      </c>
      <c r="AC165" s="378">
        <f>+AC164</f>
        <v>1</v>
      </c>
      <c r="AD165" s="378">
        <f t="shared" ref="AD165:AF165" si="141">+AD164</f>
        <v>1</v>
      </c>
      <c r="AE165" s="378">
        <f t="shared" si="141"/>
        <v>1</v>
      </c>
      <c r="AF165" s="378">
        <f t="shared" si="141"/>
        <v>1</v>
      </c>
      <c r="AG165" s="479"/>
      <c r="AH165" s="721"/>
      <c r="AI165" s="479"/>
      <c r="AJ165" s="483">
        <f t="shared" si="137"/>
        <v>0</v>
      </c>
      <c r="AK165" s="522"/>
      <c r="AL165" s="401">
        <f t="shared" si="138"/>
        <v>0</v>
      </c>
      <c r="AM165" s="523"/>
      <c r="AN165" s="479"/>
      <c r="AO165" s="521"/>
      <c r="AP165" s="479"/>
      <c r="AQ165" s="967"/>
      <c r="AR165" s="479"/>
      <c r="AS165" s="479"/>
      <c r="AT165" s="968"/>
      <c r="AU165" s="479"/>
      <c r="AV165" s="521"/>
      <c r="AW165" s="479"/>
      <c r="AX165" s="967"/>
      <c r="AY165" s="370"/>
      <c r="AZ165" s="370"/>
      <c r="BA165" s="370"/>
      <c r="BB165" s="370"/>
      <c r="BC165" s="370"/>
      <c r="BD165" s="969"/>
      <c r="BE165" s="370"/>
      <c r="BF165" s="524"/>
      <c r="BG165" s="370"/>
      <c r="BH165" s="370"/>
      <c r="BI165" s="395"/>
      <c r="BJ165" s="369"/>
      <c r="BK165" s="369"/>
      <c r="BL165" s="369"/>
      <c r="BM165" s="369"/>
      <c r="BN165" s="369"/>
      <c r="BO165" s="369"/>
      <c r="BP165" s="369"/>
      <c r="BQ165" s="369"/>
      <c r="BR165" s="369"/>
      <c r="BS165" s="369"/>
      <c r="BT165" s="369"/>
      <c r="BU165" s="369"/>
      <c r="BV165" s="369"/>
      <c r="BW165" s="369"/>
      <c r="BX165" s="369"/>
      <c r="BY165" s="369"/>
      <c r="BZ165" s="369"/>
      <c r="CH165" s="369"/>
      <c r="CI165" s="524"/>
    </row>
    <row r="166" spans="1:87" s="747" customFormat="1" ht="13.9" hidden="1" customHeight="1" outlineLevel="1">
      <c r="A166" s="804"/>
      <c r="B166" s="805" t="str">
        <f>"'Orifice Assy : Motor Base T Support OD "&amp;E160</f>
        <v>'Orifice Assy : Motor Base T Support OD 630</v>
      </c>
      <c r="C166" s="806" t="str">
        <f>+G$4</f>
        <v>GI</v>
      </c>
      <c r="D166" s="807"/>
      <c r="E166" s="808">
        <f>+E160*0.3</f>
        <v>189</v>
      </c>
      <c r="F166" s="809">
        <v>350</v>
      </c>
      <c r="G166" s="809"/>
      <c r="H166" s="457" t="s">
        <v>97</v>
      </c>
      <c r="I166" s="810"/>
      <c r="J166" s="811">
        <v>3</v>
      </c>
      <c r="K166" s="808">
        <v>925</v>
      </c>
      <c r="L166" s="809">
        <v>880</v>
      </c>
      <c r="M166" s="812">
        <f>+S$43</f>
        <v>8030</v>
      </c>
      <c r="N166" s="813">
        <f t="shared" si="131"/>
        <v>2.4420000000000002E-3</v>
      </c>
      <c r="O166" s="814">
        <v>2</v>
      </c>
      <c r="P166" s="811">
        <f t="shared" si="132"/>
        <v>39.218520000000005</v>
      </c>
      <c r="Q166" s="815">
        <v>1.2</v>
      </c>
      <c r="R166" s="841">
        <f t="shared" si="133"/>
        <v>0</v>
      </c>
      <c r="S166" s="815">
        <f t="shared" si="82"/>
        <v>0</v>
      </c>
      <c r="T166" s="817" t="s">
        <v>115</v>
      </c>
      <c r="U166" s="818">
        <f>+T$43</f>
        <v>22500</v>
      </c>
      <c r="V166" s="819">
        <f t="shared" si="134"/>
        <v>6.8240753377917299E-5</v>
      </c>
      <c r="W166" s="811">
        <v>1</v>
      </c>
      <c r="X166" s="820">
        <v>1</v>
      </c>
      <c r="Y166" s="821">
        <f t="shared" si="135"/>
        <v>0</v>
      </c>
      <c r="Z166" s="822">
        <f t="shared" si="136"/>
        <v>0</v>
      </c>
      <c r="AA166" s="823">
        <v>1</v>
      </c>
      <c r="AB166" s="824"/>
      <c r="AC166" s="825">
        <v>1</v>
      </c>
      <c r="AD166" s="825">
        <v>1</v>
      </c>
      <c r="AE166" s="825">
        <v>1</v>
      </c>
      <c r="AF166" s="825">
        <v>1</v>
      </c>
      <c r="AG166" s="826"/>
      <c r="AH166" s="827"/>
      <c r="AJ166" s="828">
        <f t="shared" si="137"/>
        <v>0</v>
      </c>
      <c r="AK166" s="862"/>
      <c r="AL166" s="828">
        <f t="shared" si="138"/>
        <v>0</v>
      </c>
      <c r="AM166" s="828"/>
      <c r="AO166" s="827"/>
      <c r="AQ166" s="930"/>
      <c r="AT166" s="964"/>
      <c r="AV166" s="827"/>
      <c r="AX166" s="930"/>
      <c r="BD166" s="964"/>
      <c r="BF166" s="830"/>
      <c r="CI166" s="830"/>
    </row>
    <row r="167" spans="1:87" s="418" customFormat="1" ht="13.9" hidden="1" customHeight="1" outlineLevel="1">
      <c r="B167" s="445" t="s">
        <v>1311</v>
      </c>
      <c r="C167" s="418" t="str">
        <f>IF(N$4=1,"Powder Coating", "No Coating")</f>
        <v>Powder Coating</v>
      </c>
      <c r="D167" s="504"/>
      <c r="E167" s="447"/>
      <c r="F167" s="831"/>
      <c r="G167" s="831"/>
      <c r="H167" s="459" t="s">
        <v>54</v>
      </c>
      <c r="I167" s="832"/>
      <c r="J167" s="446"/>
      <c r="K167" s="447">
        <f>+K166</f>
        <v>925</v>
      </c>
      <c r="L167" s="448">
        <f>+L166</f>
        <v>880</v>
      </c>
      <c r="M167" s="449">
        <v>2</v>
      </c>
      <c r="N167" s="833">
        <f t="shared" si="131"/>
        <v>0.81399999999999995</v>
      </c>
      <c r="O167" s="451">
        <f>+O166</f>
        <v>2</v>
      </c>
      <c r="P167" s="446">
        <f t="shared" si="132"/>
        <v>3.2559999999999998</v>
      </c>
      <c r="Q167" s="452">
        <v>1.1000000000000001</v>
      </c>
      <c r="R167" s="458">
        <f t="shared" si="133"/>
        <v>0</v>
      </c>
      <c r="S167" s="452">
        <f t="shared" si="82"/>
        <v>0</v>
      </c>
      <c r="T167" s="426" t="s">
        <v>115</v>
      </c>
      <c r="U167" s="834">
        <f>+Q$11</f>
        <v>65000</v>
      </c>
      <c r="V167" s="835">
        <f t="shared" si="134"/>
        <v>6.8240753377917299E-5</v>
      </c>
      <c r="W167" s="446">
        <v>1</v>
      </c>
      <c r="X167" s="836">
        <f>+P$11</f>
        <v>0.25</v>
      </c>
      <c r="Y167" s="837">
        <f t="shared" si="135"/>
        <v>0</v>
      </c>
      <c r="Z167" s="838">
        <f t="shared" si="136"/>
        <v>0</v>
      </c>
      <c r="AA167" s="456">
        <f>+AA166</f>
        <v>1</v>
      </c>
      <c r="AC167" s="378">
        <f>+AC166</f>
        <v>1</v>
      </c>
      <c r="AD167" s="378">
        <f t="shared" ref="AD167:AF167" si="142">+AD166</f>
        <v>1</v>
      </c>
      <c r="AE167" s="378">
        <f t="shared" si="142"/>
        <v>1</v>
      </c>
      <c r="AF167" s="378">
        <f t="shared" si="142"/>
        <v>1</v>
      </c>
      <c r="AG167" s="479"/>
      <c r="AH167" s="721"/>
      <c r="AI167" s="479"/>
      <c r="AJ167" s="483">
        <f t="shared" si="137"/>
        <v>0</v>
      </c>
      <c r="AK167" s="522"/>
      <c r="AL167" s="401">
        <f t="shared" si="138"/>
        <v>0</v>
      </c>
      <c r="AM167" s="523"/>
      <c r="AN167" s="479"/>
      <c r="AO167" s="521"/>
      <c r="AP167" s="479"/>
      <c r="AQ167" s="967"/>
      <c r="AR167" s="479"/>
      <c r="AS167" s="479"/>
      <c r="AT167" s="968"/>
      <c r="AU167" s="479"/>
      <c r="AV167" s="521"/>
      <c r="AW167" s="479"/>
      <c r="AX167" s="967"/>
      <c r="AY167" s="370"/>
      <c r="AZ167" s="370"/>
      <c r="BA167" s="370"/>
      <c r="BB167" s="370"/>
      <c r="BC167" s="370"/>
      <c r="BD167" s="969"/>
      <c r="BE167" s="370"/>
      <c r="BF167" s="524"/>
      <c r="BG167" s="370"/>
      <c r="BH167" s="370"/>
      <c r="BI167" s="395"/>
      <c r="BJ167" s="369"/>
      <c r="BK167" s="369"/>
      <c r="BL167" s="369"/>
      <c r="BM167" s="369"/>
      <c r="BN167" s="369"/>
      <c r="BO167" s="369"/>
      <c r="BP167" s="369"/>
      <c r="BQ167" s="369"/>
      <c r="BR167" s="369"/>
      <c r="BS167" s="369"/>
      <c r="BT167" s="369"/>
      <c r="BU167" s="369"/>
      <c r="BV167" s="369"/>
      <c r="BW167" s="369"/>
      <c r="BX167" s="369"/>
      <c r="BY167" s="369"/>
      <c r="BZ167" s="369"/>
      <c r="CH167" s="369"/>
      <c r="CI167" s="524"/>
    </row>
    <row r="168" spans="1:87" s="747" customFormat="1" ht="13.9" hidden="1" customHeight="1" outlineLevel="1">
      <c r="A168" s="804"/>
      <c r="B168" s="805" t="str">
        <f>"Orifice Assy : Fan Guard OD "&amp;E160</f>
        <v>Orifice Assy : Fan Guard OD 630</v>
      </c>
      <c r="C168" s="806" t="str">
        <f>+G$4</f>
        <v>GI</v>
      </c>
      <c r="D168" s="807"/>
      <c r="E168" s="808">
        <f>+E160</f>
        <v>630</v>
      </c>
      <c r="F168" s="809">
        <f>+E160</f>
        <v>630</v>
      </c>
      <c r="G168" s="809">
        <v>30</v>
      </c>
      <c r="H168" s="457" t="s">
        <v>54</v>
      </c>
      <c r="I168" s="810"/>
      <c r="J168" s="811"/>
      <c r="K168" s="808">
        <f>+E168+G168</f>
        <v>660</v>
      </c>
      <c r="L168" s="809">
        <f>+F168+G168</f>
        <v>660</v>
      </c>
      <c r="M168" s="812">
        <v>1</v>
      </c>
      <c r="N168" s="813">
        <f t="shared" si="131"/>
        <v>0.43560000000000004</v>
      </c>
      <c r="O168" s="814">
        <v>1</v>
      </c>
      <c r="P168" s="811">
        <f t="shared" si="132"/>
        <v>0.43560000000000004</v>
      </c>
      <c r="Q168" s="815">
        <v>1.2</v>
      </c>
      <c r="R168" s="841">
        <f t="shared" si="133"/>
        <v>0</v>
      </c>
      <c r="S168" s="815">
        <f t="shared" si="82"/>
        <v>0</v>
      </c>
      <c r="T168" s="817" t="s">
        <v>115</v>
      </c>
      <c r="U168" s="946">
        <v>2000000</v>
      </c>
      <c r="V168" s="819">
        <f t="shared" si="134"/>
        <v>6.8240753377917299E-5</v>
      </c>
      <c r="W168" s="811">
        <v>1</v>
      </c>
      <c r="X168" s="820">
        <f>2/1000*1*1*7860*0.3</f>
        <v>4.7160000000000002</v>
      </c>
      <c r="Y168" s="821">
        <f t="shared" si="135"/>
        <v>0</v>
      </c>
      <c r="Z168" s="822">
        <f t="shared" si="136"/>
        <v>0</v>
      </c>
      <c r="AA168" s="823">
        <v>1</v>
      </c>
      <c r="AB168" s="824"/>
      <c r="AC168" s="825">
        <v>1</v>
      </c>
      <c r="AD168" s="825">
        <v>1</v>
      </c>
      <c r="AE168" s="825">
        <v>1</v>
      </c>
      <c r="AF168" s="825">
        <v>1</v>
      </c>
      <c r="AG168" s="826"/>
      <c r="AH168" s="827"/>
      <c r="AJ168" s="828">
        <f t="shared" si="137"/>
        <v>0</v>
      </c>
      <c r="AK168" s="862"/>
      <c r="AL168" s="828">
        <f t="shared" si="138"/>
        <v>0</v>
      </c>
      <c r="AM168" s="828"/>
      <c r="AO168" s="827"/>
      <c r="AQ168" s="930"/>
      <c r="AT168" s="964"/>
      <c r="AV168" s="827"/>
      <c r="AX168" s="930"/>
      <c r="BD168" s="964"/>
      <c r="BF168" s="830"/>
      <c r="CI168" s="830"/>
    </row>
    <row r="169" spans="1:87" s="418" customFormat="1" ht="13.9" hidden="1" customHeight="1" outlineLevel="1">
      <c r="B169" s="463" t="s">
        <v>1311</v>
      </c>
      <c r="C169" s="842" t="str">
        <f>IF(N$4=1,"Powder Coating", "No Coating")</f>
        <v>Powder Coating</v>
      </c>
      <c r="D169" s="843"/>
      <c r="E169" s="465"/>
      <c r="F169" s="844"/>
      <c r="G169" s="844"/>
      <c r="H169" s="485" t="s">
        <v>54</v>
      </c>
      <c r="I169" s="845"/>
      <c r="J169" s="464"/>
      <c r="K169" s="465">
        <f>+K168</f>
        <v>660</v>
      </c>
      <c r="L169" s="466">
        <f>+L168</f>
        <v>660</v>
      </c>
      <c r="M169" s="467">
        <v>2</v>
      </c>
      <c r="N169" s="846">
        <f t="shared" si="131"/>
        <v>0.43560000000000004</v>
      </c>
      <c r="O169" s="469">
        <f>+O168</f>
        <v>1</v>
      </c>
      <c r="P169" s="464">
        <f t="shared" si="132"/>
        <v>0.87120000000000009</v>
      </c>
      <c r="Q169" s="470">
        <v>1.1000000000000001</v>
      </c>
      <c r="R169" s="471">
        <f t="shared" si="133"/>
        <v>0</v>
      </c>
      <c r="S169" s="470">
        <f t="shared" si="82"/>
        <v>0</v>
      </c>
      <c r="T169" s="472" t="s">
        <v>115</v>
      </c>
      <c r="U169" s="847">
        <f>+Q$11</f>
        <v>65000</v>
      </c>
      <c r="V169" s="848">
        <f t="shared" si="134"/>
        <v>6.8240753377917299E-5</v>
      </c>
      <c r="W169" s="464">
        <v>1</v>
      </c>
      <c r="X169" s="849">
        <f>+P$11</f>
        <v>0.25</v>
      </c>
      <c r="Y169" s="850">
        <f t="shared" si="135"/>
        <v>0</v>
      </c>
      <c r="Z169" s="851">
        <f t="shared" si="136"/>
        <v>0</v>
      </c>
      <c r="AA169" s="473">
        <f>+AA168</f>
        <v>1</v>
      </c>
      <c r="AC169" s="383">
        <f>+AC168</f>
        <v>1</v>
      </c>
      <c r="AD169" s="383">
        <f t="shared" ref="AD169:AF169" si="143">+AD168</f>
        <v>1</v>
      </c>
      <c r="AE169" s="383">
        <f t="shared" si="143"/>
        <v>1</v>
      </c>
      <c r="AF169" s="383">
        <f t="shared" si="143"/>
        <v>1</v>
      </c>
      <c r="AG169" s="479"/>
      <c r="AH169" s="721"/>
      <c r="AI169" s="479"/>
      <c r="AJ169" s="483">
        <f t="shared" si="137"/>
        <v>0</v>
      </c>
      <c r="AK169" s="522"/>
      <c r="AL169" s="401">
        <f t="shared" si="138"/>
        <v>0</v>
      </c>
      <c r="AM169" s="523"/>
      <c r="AN169" s="479"/>
      <c r="AO169" s="521"/>
      <c r="AP169" s="479"/>
      <c r="AQ169" s="967"/>
      <c r="AR169" s="479"/>
      <c r="AS169" s="479"/>
      <c r="AT169" s="968"/>
      <c r="AU169" s="479"/>
      <c r="AV169" s="521"/>
      <c r="AW169" s="479"/>
      <c r="AX169" s="967"/>
      <c r="AY169" s="370"/>
      <c r="AZ169" s="370"/>
      <c r="BA169" s="370"/>
      <c r="BB169" s="370"/>
      <c r="BC169" s="370"/>
      <c r="BD169" s="969"/>
      <c r="BE169" s="370"/>
      <c r="BF169" s="524"/>
      <c r="BG169" s="370"/>
      <c r="BH169" s="370"/>
      <c r="BI169" s="395"/>
      <c r="BJ169" s="369"/>
      <c r="BK169" s="369"/>
      <c r="BL169" s="369"/>
      <c r="BM169" s="369"/>
      <c r="BN169" s="369"/>
      <c r="BO169" s="369"/>
      <c r="BP169" s="369"/>
      <c r="BQ169" s="369"/>
      <c r="BR169" s="369"/>
      <c r="BS169" s="369"/>
      <c r="BT169" s="369"/>
      <c r="BU169" s="369"/>
      <c r="BV169" s="369"/>
      <c r="BW169" s="369"/>
      <c r="BX169" s="369"/>
      <c r="BY169" s="369"/>
      <c r="BZ169" s="369"/>
      <c r="CH169" s="369"/>
      <c r="CI169" s="524"/>
    </row>
    <row r="170" spans="1:87" s="370" customFormat="1" ht="15" collapsed="1">
      <c r="B170" s="852" t="s">
        <v>1379</v>
      </c>
      <c r="C170" s="784"/>
      <c r="D170" s="785"/>
      <c r="E170" s="786"/>
      <c r="F170" s="787"/>
      <c r="G170" s="787"/>
      <c r="H170" s="788" t="s">
        <v>30</v>
      </c>
      <c r="I170" s="789" t="s">
        <v>1162</v>
      </c>
      <c r="J170" s="790" t="s">
        <v>1071</v>
      </c>
      <c r="K170" s="786" t="s">
        <v>1072</v>
      </c>
      <c r="L170" s="787" t="s">
        <v>21</v>
      </c>
      <c r="M170" s="791" t="s">
        <v>82</v>
      </c>
      <c r="N170" s="839" t="s">
        <v>1163</v>
      </c>
      <c r="O170" s="786" t="s">
        <v>1154</v>
      </c>
      <c r="P170" s="790" t="s">
        <v>1164</v>
      </c>
      <c r="Q170" s="793" t="s">
        <v>34</v>
      </c>
      <c r="R170" s="894">
        <f>IF(F$8="MW-PAGAS",1,0)</f>
        <v>0</v>
      </c>
      <c r="S170" s="793" t="s">
        <v>13</v>
      </c>
      <c r="T170" s="794" t="s">
        <v>128</v>
      </c>
      <c r="U170" s="794" t="s">
        <v>111</v>
      </c>
      <c r="V170" s="795" t="s">
        <v>32</v>
      </c>
      <c r="W170" s="796" t="s">
        <v>33</v>
      </c>
      <c r="X170" s="797"/>
      <c r="Y170" s="798"/>
      <c r="Z170" s="799"/>
      <c r="AA170" s="800" t="str">
        <f>+AA$2</f>
        <v>SCU75M1</v>
      </c>
      <c r="AB170" s="747"/>
      <c r="AC170" s="801" t="str">
        <f>+AC$2</f>
        <v>SCU75M1</v>
      </c>
      <c r="AD170" s="801" t="str">
        <f>+AD$2</f>
        <v>SCU100M1</v>
      </c>
      <c r="AE170" s="801" t="str">
        <f>+AE$2</f>
        <v>SCU125M1</v>
      </c>
      <c r="AF170" s="802" t="str">
        <f>+AF$2</f>
        <v>SCU150M1</v>
      </c>
      <c r="AH170" s="521"/>
      <c r="AJ170" s="483"/>
      <c r="AK170" s="522"/>
      <c r="AL170" s="401"/>
      <c r="AM170" s="523"/>
      <c r="AO170" s="521"/>
      <c r="AQ170" s="2143" t="str">
        <f>+B170</f>
        <v>AIR EXCHANGE: MultiWing Fan Assy-ExNa</v>
      </c>
      <c r="AR170" s="2144"/>
      <c r="AS170" s="2144"/>
      <c r="AT170" s="2145"/>
      <c r="AV170" s="521"/>
      <c r="AX170" s="2143" t="str">
        <f>+AQ170</f>
        <v>AIR EXCHANGE: MultiWing Fan Assy-ExNa</v>
      </c>
      <c r="AY170" s="2144"/>
      <c r="AZ170" s="2144"/>
      <c r="BA170" s="2144"/>
      <c r="BB170" s="2144"/>
      <c r="BC170" s="2144"/>
      <c r="BD170" s="2145"/>
      <c r="BE170" s="369"/>
      <c r="BF170" s="524"/>
      <c r="BG170" s="395"/>
      <c r="BH170" s="395"/>
      <c r="BI170" s="369"/>
      <c r="BJ170" s="395"/>
      <c r="BK170" s="395"/>
      <c r="BL170" s="395"/>
      <c r="BM170" s="395"/>
      <c r="BN170" s="395"/>
      <c r="BO170" s="395"/>
      <c r="BP170" s="395"/>
      <c r="BQ170" s="369"/>
      <c r="BR170" s="369"/>
      <c r="BS170" s="395"/>
      <c r="BT170" s="369"/>
      <c r="BU170" s="369"/>
      <c r="BV170" s="369"/>
      <c r="BW170" s="369"/>
      <c r="BX170" s="369"/>
      <c r="BY170" s="369"/>
      <c r="CH170" s="395"/>
      <c r="CI170" s="511"/>
    </row>
    <row r="171" spans="1:87" s="370" customFormat="1" ht="15">
      <c r="B171" s="895" t="s">
        <v>1380</v>
      </c>
      <c r="C171" s="896"/>
      <c r="D171" s="897"/>
      <c r="E171" s="898"/>
      <c r="F171" s="899"/>
      <c r="G171" s="899"/>
      <c r="H171" s="900"/>
      <c r="I171" s="901"/>
      <c r="J171" s="902"/>
      <c r="K171" s="898"/>
      <c r="L171" s="899"/>
      <c r="M171" s="903"/>
      <c r="N171" s="904"/>
      <c r="O171" s="898"/>
      <c r="P171" s="902"/>
      <c r="Q171" s="905"/>
      <c r="R171" s="903"/>
      <c r="S171" s="905"/>
      <c r="T171" s="906"/>
      <c r="U171" s="906"/>
      <c r="V171" s="907"/>
      <c r="W171" s="908"/>
      <c r="X171" s="909"/>
      <c r="Y171" s="910">
        <f>SUM(Y172:Y173)</f>
        <v>0</v>
      </c>
      <c r="Z171" s="910">
        <f>SUM(Z172:Z173)</f>
        <v>0</v>
      </c>
      <c r="AA171" s="911"/>
      <c r="AB171" s="747"/>
      <c r="AC171" s="912"/>
      <c r="AD171" s="912"/>
      <c r="AE171" s="912"/>
      <c r="AF171" s="913"/>
      <c r="AH171" s="521"/>
      <c r="AJ171" s="483"/>
      <c r="AK171" s="522">
        <f>SUM(AJ172:AJ173)</f>
        <v>0</v>
      </c>
      <c r="AL171" s="401"/>
      <c r="AM171" s="523">
        <f>SUM(AL172:AL173)</f>
        <v>0</v>
      </c>
      <c r="AO171" s="521"/>
      <c r="AQ171" s="914" t="str">
        <f>+B171</f>
        <v>- Fan Blade ExNa</v>
      </c>
      <c r="AR171" s="915" t="s">
        <v>724</v>
      </c>
      <c r="AS171" s="970" t="s">
        <v>97</v>
      </c>
      <c r="AT171" s="917" t="s">
        <v>1345</v>
      </c>
      <c r="AV171" s="521"/>
      <c r="AX171" s="918" t="s">
        <v>1346</v>
      </c>
      <c r="AY171" s="919" t="s">
        <v>1347</v>
      </c>
      <c r="AZ171" s="919" t="s">
        <v>1348</v>
      </c>
      <c r="BA171" s="919" t="s">
        <v>1349</v>
      </c>
      <c r="BB171" s="919" t="s">
        <v>1350</v>
      </c>
      <c r="BC171" s="919" t="s">
        <v>1351</v>
      </c>
      <c r="BD171" s="945" t="s">
        <v>1352</v>
      </c>
      <c r="BE171" s="369"/>
      <c r="BF171" s="524"/>
      <c r="BG171" s="395"/>
      <c r="BH171" s="395"/>
      <c r="BI171" s="395"/>
      <c r="BJ171" s="395"/>
      <c r="BK171" s="369"/>
      <c r="BL171" s="395"/>
      <c r="BM171" s="395"/>
      <c r="BN171" s="395"/>
      <c r="BO171" s="395"/>
      <c r="BP171" s="395"/>
      <c r="BQ171" s="395"/>
      <c r="BR171" s="369"/>
      <c r="BS171" s="369"/>
      <c r="BT171" s="369"/>
      <c r="BU171" s="395"/>
      <c r="BV171" s="369"/>
      <c r="BW171" s="369"/>
      <c r="BX171" s="369"/>
      <c r="BY171" s="395"/>
      <c r="BZ171" s="369"/>
      <c r="CA171" s="369"/>
      <c r="CH171" s="395"/>
      <c r="CI171" s="511"/>
    </row>
    <row r="172" spans="1:87" s="747" customFormat="1" ht="13.9" hidden="1" customHeight="1" outlineLevel="1">
      <c r="B172" s="921" t="str">
        <f t="shared" ref="B172:B173" si="144">+AQ172</f>
        <v>630/3-6/28.5/PAGAS/4ZR; 0.75kW/4P</v>
      </c>
      <c r="C172" s="922"/>
      <c r="D172" s="923"/>
      <c r="E172" s="808"/>
      <c r="F172" s="809"/>
      <c r="G172" s="809"/>
      <c r="H172" s="924" t="s">
        <v>100</v>
      </c>
      <c r="I172" s="947"/>
      <c r="J172" s="828"/>
      <c r="K172" s="808"/>
      <c r="L172" s="809"/>
      <c r="M172" s="860">
        <v>1</v>
      </c>
      <c r="N172" s="813">
        <f t="shared" ref="N172:N173" si="145">IF(I172&gt;0,22/28*((I172/1000)^2-(I172/1000-2*J172/1000)^2)*K172/1000,IF(J172&gt;0,J172/1000*K172/1000*L172/1000, IF(K172&gt;0,K172/1000*L172/1000, IF(L172=0,1,L172/1000))))</f>
        <v>1</v>
      </c>
      <c r="O172" s="814">
        <v>1</v>
      </c>
      <c r="P172" s="811">
        <f t="shared" ref="P172:P173" si="146">M172*N172*O172</f>
        <v>1</v>
      </c>
      <c r="Q172" s="815">
        <v>1</v>
      </c>
      <c r="R172" s="505">
        <f t="shared" ref="R172:R173" si="147">+R$170</f>
        <v>0</v>
      </c>
      <c r="S172" s="815">
        <f t="shared" ref="S172:S187" si="148">P172*AA172*Q172*R172</f>
        <v>0</v>
      </c>
      <c r="T172" s="925" t="s">
        <v>115</v>
      </c>
      <c r="U172" s="946">
        <v>2300000</v>
      </c>
      <c r="V172" s="927">
        <f t="shared" ref="V172:V176" si="149">1/VLOOKUP(T172,Y$12:Z$18,2,FALSE)</f>
        <v>6.8240753377917299E-5</v>
      </c>
      <c r="W172" s="926">
        <v>1</v>
      </c>
      <c r="X172" s="820">
        <v>1.696</v>
      </c>
      <c r="Y172" s="928">
        <f t="shared" ref="Y172:Y173" si="150">+P172*R172*AA172*X172</f>
        <v>0</v>
      </c>
      <c r="Z172" s="929">
        <f t="shared" ref="Z172:Z173" si="151">S172*U172*V172*W172</f>
        <v>0</v>
      </c>
      <c r="AA172" s="823">
        <v>1</v>
      </c>
      <c r="AC172" s="825">
        <v>1</v>
      </c>
      <c r="AD172" s="825">
        <v>1</v>
      </c>
      <c r="AE172" s="825"/>
      <c r="AF172" s="825"/>
      <c r="AG172" s="824"/>
      <c r="AH172" s="827"/>
      <c r="AI172" s="824"/>
      <c r="AJ172" s="828">
        <f t="shared" ref="AJ172:AJ173" si="152">+Y172</f>
        <v>0</v>
      </c>
      <c r="AK172" s="862"/>
      <c r="AL172" s="828">
        <f t="shared" ref="AL172:AL173" si="153">+Z172</f>
        <v>0</v>
      </c>
      <c r="AM172" s="862"/>
      <c r="AN172" s="824"/>
      <c r="AO172" s="827"/>
      <c r="AP172" s="824"/>
      <c r="AQ172" s="923" t="s">
        <v>1381</v>
      </c>
      <c r="AR172" s="931" t="s">
        <v>1366</v>
      </c>
      <c r="AS172" s="948">
        <v>1.696</v>
      </c>
      <c r="AT172" s="949">
        <v>2300000</v>
      </c>
      <c r="AU172" s="824"/>
      <c r="AV172" s="827"/>
      <c r="AW172" s="824"/>
      <c r="AX172" s="934">
        <v>567</v>
      </c>
      <c r="AY172" s="936">
        <v>1.99</v>
      </c>
      <c r="AZ172" s="936">
        <v>13500</v>
      </c>
      <c r="BA172" s="936">
        <v>12000</v>
      </c>
      <c r="BB172" s="936">
        <v>12000</v>
      </c>
      <c r="BC172" s="936">
        <v>11000</v>
      </c>
      <c r="BD172" s="950">
        <v>57.2</v>
      </c>
      <c r="BF172" s="830"/>
      <c r="BG172" s="936"/>
      <c r="BH172" s="936"/>
      <c r="BJ172" s="936"/>
      <c r="BK172" s="936"/>
      <c r="BL172" s="936"/>
      <c r="BM172" s="936"/>
      <c r="BN172" s="936"/>
      <c r="BO172" s="936"/>
      <c r="BP172" s="936"/>
      <c r="BS172" s="936"/>
      <c r="CH172" s="936"/>
      <c r="CI172" s="938"/>
    </row>
    <row r="173" spans="1:87" s="747" customFormat="1" ht="13.9" hidden="1" customHeight="1" outlineLevel="1">
      <c r="B173" s="921" t="str">
        <f t="shared" si="144"/>
        <v>710/6-6/36/PAGAS/4ZR; 1.10kW/6P</v>
      </c>
      <c r="C173" s="922"/>
      <c r="D173" s="923"/>
      <c r="E173" s="808"/>
      <c r="F173" s="809"/>
      <c r="G173" s="809"/>
      <c r="H173" s="924" t="s">
        <v>100</v>
      </c>
      <c r="I173" s="947"/>
      <c r="J173" s="828"/>
      <c r="K173" s="808"/>
      <c r="L173" s="809"/>
      <c r="M173" s="860">
        <v>1</v>
      </c>
      <c r="N173" s="813">
        <f t="shared" si="145"/>
        <v>1</v>
      </c>
      <c r="O173" s="814">
        <v>1</v>
      </c>
      <c r="P173" s="811">
        <f t="shared" si="146"/>
        <v>1</v>
      </c>
      <c r="Q173" s="815">
        <v>1</v>
      </c>
      <c r="R173" s="505">
        <f t="shared" si="147"/>
        <v>0</v>
      </c>
      <c r="S173" s="815">
        <f t="shared" si="148"/>
        <v>0</v>
      </c>
      <c r="T173" s="925" t="s">
        <v>115</v>
      </c>
      <c r="U173" s="946">
        <v>3000000</v>
      </c>
      <c r="V173" s="927">
        <f t="shared" si="149"/>
        <v>6.8240753377917299E-5</v>
      </c>
      <c r="W173" s="926">
        <v>1</v>
      </c>
      <c r="X173" s="820">
        <v>2.2999999999999998</v>
      </c>
      <c r="Y173" s="928">
        <f t="shared" si="150"/>
        <v>0</v>
      </c>
      <c r="Z173" s="929">
        <f t="shared" si="151"/>
        <v>0</v>
      </c>
      <c r="AA173" s="823"/>
      <c r="AC173" s="457"/>
      <c r="AD173" s="457"/>
      <c r="AE173" s="457">
        <v>1</v>
      </c>
      <c r="AF173" s="457">
        <v>1</v>
      </c>
      <c r="AG173" s="824"/>
      <c r="AH173" s="827"/>
      <c r="AI173" s="824"/>
      <c r="AJ173" s="828">
        <f t="shared" si="152"/>
        <v>0</v>
      </c>
      <c r="AK173" s="862"/>
      <c r="AL173" s="828">
        <f t="shared" si="153"/>
        <v>0</v>
      </c>
      <c r="AM173" s="862"/>
      <c r="AN173" s="824"/>
      <c r="AO173" s="827"/>
      <c r="AP173" s="824"/>
      <c r="AQ173" s="923" t="s">
        <v>1382</v>
      </c>
      <c r="AR173" s="931" t="s">
        <v>1368</v>
      </c>
      <c r="AS173" s="948">
        <v>2.2999999999999998</v>
      </c>
      <c r="AT173" s="949">
        <v>3000000</v>
      </c>
      <c r="AU173" s="824"/>
      <c r="AV173" s="827"/>
      <c r="AW173" s="824"/>
      <c r="AX173" s="934">
        <v>663</v>
      </c>
      <c r="AY173" s="936">
        <v>3.31</v>
      </c>
      <c r="AZ173" s="936">
        <v>16700</v>
      </c>
      <c r="BA173" s="936">
        <v>15475</v>
      </c>
      <c r="BB173" s="936">
        <v>15200</v>
      </c>
      <c r="BC173" s="936">
        <v>14500</v>
      </c>
      <c r="BD173" s="950">
        <v>56.5</v>
      </c>
      <c r="BF173" s="830"/>
      <c r="BG173" s="936"/>
      <c r="BH173" s="936"/>
      <c r="BJ173" s="936"/>
      <c r="BK173" s="936"/>
      <c r="BL173" s="936"/>
      <c r="BM173" s="936"/>
      <c r="BN173" s="936"/>
      <c r="BO173" s="936"/>
      <c r="BP173" s="936"/>
      <c r="BS173" s="936"/>
      <c r="CH173" s="936"/>
      <c r="CI173" s="938"/>
    </row>
    <row r="174" spans="1:87" s="370" customFormat="1" ht="18.75" collapsed="1">
      <c r="B174" s="895" t="s">
        <v>1383</v>
      </c>
      <c r="C174" s="896"/>
      <c r="D174" s="897"/>
      <c r="E174" s="898"/>
      <c r="F174" s="899"/>
      <c r="G174" s="899"/>
      <c r="H174" s="900"/>
      <c r="I174" s="901"/>
      <c r="J174" s="902"/>
      <c r="K174" s="898"/>
      <c r="L174" s="899"/>
      <c r="M174" s="903"/>
      <c r="N174" s="904"/>
      <c r="O174" s="898"/>
      <c r="P174" s="902"/>
      <c r="Q174" s="905"/>
      <c r="R174" s="903"/>
      <c r="S174" s="905"/>
      <c r="T174" s="906"/>
      <c r="U174" s="906"/>
      <c r="V174" s="907"/>
      <c r="W174" s="908"/>
      <c r="X174" s="909"/>
      <c r="Y174" s="910">
        <f>SUM(Y175:Y176)</f>
        <v>0</v>
      </c>
      <c r="Z174" s="910">
        <f>SUM(Z175:Z176)</f>
        <v>0</v>
      </c>
      <c r="AA174" s="911"/>
      <c r="AB174" s="747"/>
      <c r="AC174" s="912"/>
      <c r="AD174" s="912"/>
      <c r="AE174" s="912"/>
      <c r="AF174" s="913"/>
      <c r="AH174" s="521"/>
      <c r="AJ174" s="483"/>
      <c r="AK174" s="522">
        <f>SUM(AJ175:AJ176)</f>
        <v>0</v>
      </c>
      <c r="AL174" s="401"/>
      <c r="AM174" s="523">
        <f>SUM(AL175:AL176)</f>
        <v>0</v>
      </c>
      <c r="AO174" s="521"/>
      <c r="AQ174" s="914" t="str">
        <f>+B174</f>
        <v>- Fan Motor ExNa</v>
      </c>
      <c r="AR174" s="971" t="s">
        <v>1384</v>
      </c>
      <c r="AS174" s="970" t="s">
        <v>97</v>
      </c>
      <c r="AT174" s="917" t="s">
        <v>1345</v>
      </c>
      <c r="AV174" s="521"/>
      <c r="AX174" s="951" t="s">
        <v>1124</v>
      </c>
      <c r="AY174" s="952" t="s">
        <v>1371</v>
      </c>
      <c r="AZ174" s="952" t="s">
        <v>1372</v>
      </c>
      <c r="BA174" s="952" t="s">
        <v>1373</v>
      </c>
      <c r="BB174" s="952" t="s">
        <v>1126</v>
      </c>
      <c r="BC174" s="952" t="s">
        <v>1374</v>
      </c>
      <c r="BD174" s="945"/>
      <c r="BE174" s="369"/>
      <c r="BF174" s="524"/>
      <c r="BG174" s="395"/>
      <c r="BH174" s="395"/>
      <c r="BI174" s="395"/>
      <c r="BJ174" s="395"/>
      <c r="BK174" s="369"/>
      <c r="BL174" s="395"/>
      <c r="BM174" s="395"/>
      <c r="BN174" s="395"/>
      <c r="BO174" s="395"/>
      <c r="BP174" s="395"/>
      <c r="BQ174" s="395"/>
      <c r="BR174" s="369"/>
      <c r="BS174" s="369"/>
      <c r="BT174" s="369"/>
      <c r="BU174" s="395"/>
      <c r="BV174" s="369"/>
      <c r="BW174" s="369"/>
      <c r="BX174" s="369"/>
      <c r="BY174" s="395"/>
      <c r="BZ174" s="369"/>
      <c r="CA174" s="369"/>
      <c r="CH174" s="395"/>
      <c r="CI174" s="511"/>
    </row>
    <row r="175" spans="1:87" s="747" customFormat="1" ht="13.9" hidden="1" customHeight="1" outlineLevel="1">
      <c r="B175" s="931" t="str">
        <f t="shared" ref="B175:B176" si="154">AQ175</f>
        <v>0.75kW-4P ExNa</v>
      </c>
      <c r="D175" s="930"/>
      <c r="E175" s="808"/>
      <c r="F175" s="809"/>
      <c r="G175" s="809"/>
      <c r="H175" s="924" t="s">
        <v>100</v>
      </c>
      <c r="I175" s="816"/>
      <c r="J175" s="811"/>
      <c r="K175" s="808"/>
      <c r="L175" s="809"/>
      <c r="M175" s="860">
        <v>1</v>
      </c>
      <c r="N175" s="939">
        <f t="shared" ref="N175:N176" si="155">IF(I175&gt;0,22/28*((I175/1000)^2-(I175/1000-2*J175/1000)^2)*K175/1000,IF(J175&gt;0,J175/1000*K175/1000*L175/1000, IF(K175&gt;0,K175/1000*L175/1000, IF(L175=0,1,L175/1000))))</f>
        <v>1</v>
      </c>
      <c r="O175" s="814">
        <v>1</v>
      </c>
      <c r="P175" s="811">
        <f t="shared" ref="P175:P176" si="156">M175*N175*O175</f>
        <v>1</v>
      </c>
      <c r="Q175" s="815">
        <v>1</v>
      </c>
      <c r="R175" s="505">
        <f t="shared" ref="R175:R176" si="157">+R$170</f>
        <v>0</v>
      </c>
      <c r="S175" s="815">
        <f t="shared" si="148"/>
        <v>0</v>
      </c>
      <c r="T175" s="925" t="s">
        <v>46</v>
      </c>
      <c r="U175" s="811">
        <v>411.94</v>
      </c>
      <c r="V175" s="927">
        <f t="shared" si="149"/>
        <v>1</v>
      </c>
      <c r="W175" s="926">
        <v>1</v>
      </c>
      <c r="X175" s="820">
        <v>16</v>
      </c>
      <c r="Y175" s="928">
        <f t="shared" ref="Y175:Y176" si="158">+P175*R175*AA175*X175</f>
        <v>0</v>
      </c>
      <c r="Z175" s="929">
        <f t="shared" ref="Z175:Z176" si="159">S175*U175*V175*W175</f>
        <v>0</v>
      </c>
      <c r="AA175" s="823">
        <v>1</v>
      </c>
      <c r="AC175" s="825">
        <v>1</v>
      </c>
      <c r="AD175" s="825">
        <v>1</v>
      </c>
      <c r="AE175" s="825"/>
      <c r="AF175" s="825"/>
      <c r="AG175" s="824"/>
      <c r="AH175" s="827"/>
      <c r="AI175" s="824"/>
      <c r="AJ175" s="828">
        <f t="shared" ref="AJ175:AJ176" si="160">+Y175</f>
        <v>0</v>
      </c>
      <c r="AK175" s="862"/>
      <c r="AL175" s="828">
        <f t="shared" ref="AL175:AL176" si="161">+Z175</f>
        <v>0</v>
      </c>
      <c r="AM175" s="862"/>
      <c r="AN175" s="824"/>
      <c r="AO175" s="827"/>
      <c r="AP175" s="824"/>
      <c r="AQ175" s="930" t="s">
        <v>1385</v>
      </c>
      <c r="AR175" s="923" t="s">
        <v>1386</v>
      </c>
      <c r="AS175" s="932">
        <v>16</v>
      </c>
      <c r="AT175" s="972">
        <v>411.94</v>
      </c>
      <c r="AU175" s="824"/>
      <c r="AV175" s="827"/>
      <c r="AW175" s="824"/>
      <c r="AX175" s="954">
        <v>1400</v>
      </c>
      <c r="AY175" s="955">
        <v>74</v>
      </c>
      <c r="AZ175" s="955">
        <v>77</v>
      </c>
      <c r="BA175" s="956">
        <v>1.99</v>
      </c>
      <c r="BB175" s="955">
        <v>11</v>
      </c>
      <c r="BC175" s="956">
        <v>1.01</v>
      </c>
      <c r="BD175" s="950"/>
      <c r="BF175" s="830"/>
      <c r="BG175" s="936"/>
      <c r="BJ175" s="936"/>
      <c r="BK175" s="936"/>
      <c r="BL175" s="936"/>
      <c r="BM175" s="936"/>
      <c r="BN175" s="936"/>
      <c r="BO175" s="936"/>
      <c r="BP175" s="936"/>
      <c r="BS175" s="936"/>
      <c r="CH175" s="936"/>
      <c r="CI175" s="938"/>
    </row>
    <row r="176" spans="1:87" s="747" customFormat="1" ht="13.9" hidden="1" customHeight="1" outlineLevel="1">
      <c r="B176" s="931" t="str">
        <f t="shared" si="154"/>
        <v>1.10kW-6P ExNa</v>
      </c>
      <c r="D176" s="930"/>
      <c r="E176" s="808"/>
      <c r="F176" s="809"/>
      <c r="G176" s="809"/>
      <c r="H176" s="924" t="s">
        <v>100</v>
      </c>
      <c r="I176" s="816"/>
      <c r="J176" s="811"/>
      <c r="K176" s="808"/>
      <c r="L176" s="809"/>
      <c r="M176" s="860">
        <v>1</v>
      </c>
      <c r="N176" s="939">
        <f t="shared" si="155"/>
        <v>1</v>
      </c>
      <c r="O176" s="814">
        <v>1</v>
      </c>
      <c r="P176" s="811">
        <f t="shared" si="156"/>
        <v>1</v>
      </c>
      <c r="Q176" s="815">
        <v>1</v>
      </c>
      <c r="R176" s="505">
        <f t="shared" si="157"/>
        <v>0</v>
      </c>
      <c r="S176" s="815">
        <f t="shared" si="148"/>
        <v>0</v>
      </c>
      <c r="T176" s="925" t="s">
        <v>46</v>
      </c>
      <c r="U176" s="811">
        <v>441</v>
      </c>
      <c r="V176" s="927">
        <f t="shared" si="149"/>
        <v>1</v>
      </c>
      <c r="W176" s="926">
        <v>1</v>
      </c>
      <c r="X176" s="820">
        <v>25</v>
      </c>
      <c r="Y176" s="928">
        <f t="shared" si="158"/>
        <v>0</v>
      </c>
      <c r="Z176" s="929">
        <f t="shared" si="159"/>
        <v>0</v>
      </c>
      <c r="AA176" s="823"/>
      <c r="AC176" s="457"/>
      <c r="AD176" s="457"/>
      <c r="AE176" s="457">
        <v>1</v>
      </c>
      <c r="AF176" s="457">
        <v>1</v>
      </c>
      <c r="AG176" s="824"/>
      <c r="AH176" s="827"/>
      <c r="AI176" s="824"/>
      <c r="AJ176" s="828">
        <f t="shared" si="160"/>
        <v>0</v>
      </c>
      <c r="AK176" s="862"/>
      <c r="AL176" s="828">
        <f t="shared" si="161"/>
        <v>0</v>
      </c>
      <c r="AM176" s="862"/>
      <c r="AN176" s="824"/>
      <c r="AO176" s="827"/>
      <c r="AP176" s="824"/>
      <c r="AQ176" s="930" t="s">
        <v>1387</v>
      </c>
      <c r="AR176" s="923" t="s">
        <v>1388</v>
      </c>
      <c r="AS176" s="932">
        <v>25</v>
      </c>
      <c r="AT176" s="972">
        <v>441</v>
      </c>
      <c r="AU176" s="824"/>
      <c r="AV176" s="827"/>
      <c r="AW176" s="824"/>
      <c r="AX176" s="954">
        <v>935</v>
      </c>
      <c r="AY176" s="955">
        <v>75</v>
      </c>
      <c r="AZ176" s="955">
        <v>68.5</v>
      </c>
      <c r="BA176" s="957">
        <v>3.31</v>
      </c>
      <c r="BB176" s="955">
        <v>17</v>
      </c>
      <c r="BC176" s="957">
        <v>1.49</v>
      </c>
      <c r="BD176" s="950"/>
      <c r="BF176" s="830"/>
      <c r="BG176" s="936"/>
      <c r="BJ176" s="936"/>
      <c r="BK176" s="936"/>
      <c r="BL176" s="936"/>
      <c r="BM176" s="936"/>
      <c r="BN176" s="936"/>
      <c r="BO176" s="936"/>
      <c r="BP176" s="936"/>
      <c r="BS176" s="936"/>
      <c r="CH176" s="936"/>
      <c r="CI176" s="938"/>
    </row>
    <row r="177" spans="1:87" s="370" customFormat="1" ht="15" collapsed="1">
      <c r="B177" s="895" t="s">
        <v>1378</v>
      </c>
      <c r="C177" s="896" t="s">
        <v>1358</v>
      </c>
      <c r="D177" s="897"/>
      <c r="E177" s="898">
        <f>+N$73</f>
        <v>630</v>
      </c>
      <c r="F177" s="899">
        <v>150</v>
      </c>
      <c r="G177" s="899"/>
      <c r="H177" s="900"/>
      <c r="I177" s="901"/>
      <c r="J177" s="902"/>
      <c r="K177" s="898"/>
      <c r="L177" s="899"/>
      <c r="M177" s="903"/>
      <c r="N177" s="904"/>
      <c r="O177" s="898"/>
      <c r="P177" s="902"/>
      <c r="Q177" s="905"/>
      <c r="R177" s="903"/>
      <c r="S177" s="905"/>
      <c r="T177" s="906"/>
      <c r="U177" s="906"/>
      <c r="V177" s="907"/>
      <c r="W177" s="908"/>
      <c r="X177" s="909"/>
      <c r="Y177" s="910">
        <f>SUM(Y178:Y187)</f>
        <v>0</v>
      </c>
      <c r="Z177" s="910">
        <f>SUM(Z178:Z187)</f>
        <v>0</v>
      </c>
      <c r="AA177" s="911"/>
      <c r="AB177" s="747"/>
      <c r="AC177" s="912"/>
      <c r="AD177" s="912"/>
      <c r="AE177" s="912"/>
      <c r="AF177" s="913"/>
      <c r="AH177" s="521"/>
      <c r="AJ177" s="483"/>
      <c r="AK177" s="522">
        <f>SUM(AJ178:AJ187)</f>
        <v>0</v>
      </c>
      <c r="AL177" s="401"/>
      <c r="AM177" s="523">
        <f>SUM(AL178:AL187)</f>
        <v>0</v>
      </c>
      <c r="AO177" s="521"/>
      <c r="AQ177" s="897"/>
      <c r="AR177" s="958"/>
      <c r="AS177" s="958"/>
      <c r="AT177" s="959"/>
      <c r="AV177" s="521"/>
      <c r="AX177" s="897"/>
      <c r="AY177" s="960"/>
      <c r="AZ177" s="960"/>
      <c r="BA177" s="960"/>
      <c r="BB177" s="960"/>
      <c r="BC177" s="960"/>
      <c r="BD177" s="961"/>
      <c r="BF177" s="524"/>
      <c r="CI177" s="521"/>
    </row>
    <row r="178" spans="1:87" s="747" customFormat="1" ht="13.9" hidden="1" customHeight="1" outlineLevel="1">
      <c r="A178" s="804"/>
      <c r="B178" s="805" t="str">
        <f>"Orifice Assy : Funnel  OD "&amp;E178</f>
        <v>Orifice Assy : Funnel  OD 630</v>
      </c>
      <c r="C178" s="806" t="str">
        <f>+G$4</f>
        <v>GI</v>
      </c>
      <c r="D178" s="807"/>
      <c r="E178" s="962">
        <f>+E177</f>
        <v>630</v>
      </c>
      <c r="F178" s="963">
        <f>+F177</f>
        <v>150</v>
      </c>
      <c r="G178" s="809">
        <v>10</v>
      </c>
      <c r="H178" s="457" t="s">
        <v>97</v>
      </c>
      <c r="I178" s="810"/>
      <c r="J178" s="811">
        <v>2</v>
      </c>
      <c r="K178" s="808">
        <f>22/7*(E178+10)+20</f>
        <v>2031.4285714285713</v>
      </c>
      <c r="L178" s="809">
        <f>+F178</f>
        <v>150</v>
      </c>
      <c r="M178" s="812">
        <f>+S$43</f>
        <v>8030</v>
      </c>
      <c r="N178" s="813">
        <f t="shared" ref="N178:N187" si="162">IF(I178&gt;0,22/28*((I178/1000)^2-(I178/1000-2*J178/1000)^2)*K178/1000,IF(J178&gt;0,J178/1000*K178/1000*L178/1000, IF(K178&gt;0,K178/1000*L178/1000, IF(L178=0,1,L178/1000))))</f>
        <v>6.0942857142857142E-4</v>
      </c>
      <c r="O178" s="814">
        <v>1</v>
      </c>
      <c r="P178" s="811">
        <f t="shared" ref="P178:P187" si="163">M178*N178*O178</f>
        <v>4.8937114285714287</v>
      </c>
      <c r="Q178" s="815">
        <v>1.2</v>
      </c>
      <c r="R178" s="841">
        <f t="shared" ref="R178:R187" si="164">+R$170</f>
        <v>0</v>
      </c>
      <c r="S178" s="815">
        <f t="shared" si="148"/>
        <v>0</v>
      </c>
      <c r="T178" s="817" t="s">
        <v>115</v>
      </c>
      <c r="U178" s="818">
        <f>+T$43</f>
        <v>22500</v>
      </c>
      <c r="V178" s="819">
        <f t="shared" ref="V178:V187" si="165">1/VLOOKUP(T178,Y$12:Z$18,2,FALSE)</f>
        <v>6.8240753377917299E-5</v>
      </c>
      <c r="W178" s="811">
        <v>1</v>
      </c>
      <c r="X178" s="820">
        <v>1</v>
      </c>
      <c r="Y178" s="821">
        <f t="shared" ref="Y178:Y187" si="166">+P178*R178*AA178*X178</f>
        <v>0</v>
      </c>
      <c r="Z178" s="822">
        <f t="shared" ref="Z178:Z187" si="167">S178*U178*V178*W178</f>
        <v>0</v>
      </c>
      <c r="AA178" s="823">
        <v>1</v>
      </c>
      <c r="AB178" s="824"/>
      <c r="AC178" s="825">
        <v>1</v>
      </c>
      <c r="AD178" s="825">
        <v>1</v>
      </c>
      <c r="AE178" s="825">
        <v>1</v>
      </c>
      <c r="AF178" s="825">
        <v>1</v>
      </c>
      <c r="AG178" s="826"/>
      <c r="AH178" s="827"/>
      <c r="AJ178" s="828">
        <f t="shared" ref="AJ178:AJ187" si="168">+Y178</f>
        <v>0</v>
      </c>
      <c r="AK178" s="862"/>
      <c r="AL178" s="828">
        <f t="shared" ref="AL178:AL187" si="169">+Z178</f>
        <v>0</v>
      </c>
      <c r="AM178" s="828"/>
      <c r="AO178" s="827"/>
      <c r="AQ178" s="930"/>
      <c r="AT178" s="964"/>
      <c r="AV178" s="827"/>
      <c r="AX178" s="965"/>
      <c r="AY178" s="966"/>
      <c r="AZ178" s="966"/>
      <c r="BA178" s="966"/>
      <c r="BB178" s="966"/>
      <c r="BC178" s="966"/>
      <c r="BD178" s="943"/>
      <c r="BF178" s="830"/>
      <c r="CI178" s="830"/>
    </row>
    <row r="179" spans="1:87" s="418" customFormat="1" ht="13.9" hidden="1" customHeight="1" outlineLevel="1">
      <c r="B179" s="445" t="s">
        <v>1311</v>
      </c>
      <c r="C179" s="418" t="str">
        <f>IF(N$4=1,"Powder Coating", "No Coating")</f>
        <v>Powder Coating</v>
      </c>
      <c r="D179" s="504"/>
      <c r="E179" s="447"/>
      <c r="F179" s="831"/>
      <c r="G179" s="831"/>
      <c r="H179" s="459" t="s">
        <v>54</v>
      </c>
      <c r="I179" s="832"/>
      <c r="J179" s="446"/>
      <c r="K179" s="447">
        <f>+K178</f>
        <v>2031.4285714285713</v>
      </c>
      <c r="L179" s="448">
        <f>+L178</f>
        <v>150</v>
      </c>
      <c r="M179" s="449">
        <v>2</v>
      </c>
      <c r="N179" s="833">
        <f t="shared" si="162"/>
        <v>0.30471428571428566</v>
      </c>
      <c r="O179" s="451">
        <f>+O178</f>
        <v>1</v>
      </c>
      <c r="P179" s="446">
        <f t="shared" si="163"/>
        <v>0.60942857142857132</v>
      </c>
      <c r="Q179" s="452">
        <v>1.1000000000000001</v>
      </c>
      <c r="R179" s="458">
        <f t="shared" si="164"/>
        <v>0</v>
      </c>
      <c r="S179" s="452">
        <f t="shared" si="148"/>
        <v>0</v>
      </c>
      <c r="T179" s="426" t="s">
        <v>115</v>
      </c>
      <c r="U179" s="427">
        <f>+Q$11</f>
        <v>65000</v>
      </c>
      <c r="V179" s="835">
        <f t="shared" si="165"/>
        <v>6.8240753377917299E-5</v>
      </c>
      <c r="W179" s="446">
        <v>1</v>
      </c>
      <c r="X179" s="477">
        <f>+P$11</f>
        <v>0.25</v>
      </c>
      <c r="Y179" s="837">
        <f t="shared" si="166"/>
        <v>0</v>
      </c>
      <c r="Z179" s="838">
        <f t="shared" si="167"/>
        <v>0</v>
      </c>
      <c r="AA179" s="456">
        <f>+AA178</f>
        <v>1</v>
      </c>
      <c r="AC179" s="378">
        <f>+AC178</f>
        <v>1</v>
      </c>
      <c r="AD179" s="378">
        <f t="shared" ref="AD179:AF179" si="170">+AD178</f>
        <v>1</v>
      </c>
      <c r="AE179" s="378">
        <f t="shared" si="170"/>
        <v>1</v>
      </c>
      <c r="AF179" s="378">
        <f t="shared" si="170"/>
        <v>1</v>
      </c>
      <c r="AG179" s="479"/>
      <c r="AH179" s="521"/>
      <c r="AI179" s="479"/>
      <c r="AJ179" s="483">
        <f t="shared" si="168"/>
        <v>0</v>
      </c>
      <c r="AK179" s="522"/>
      <c r="AL179" s="401">
        <f t="shared" si="169"/>
        <v>0</v>
      </c>
      <c r="AM179" s="523"/>
      <c r="AN179" s="479"/>
      <c r="AO179" s="521"/>
      <c r="AP179" s="369"/>
      <c r="AQ179" s="967"/>
      <c r="AR179" s="479"/>
      <c r="AS179" s="479"/>
      <c r="AT179" s="968"/>
      <c r="AU179" s="479"/>
      <c r="AV179" s="521"/>
      <c r="AW179" s="479"/>
      <c r="AX179" s="967"/>
      <c r="AY179" s="370"/>
      <c r="AZ179" s="370"/>
      <c r="BA179" s="370"/>
      <c r="BB179" s="370"/>
      <c r="BC179" s="370"/>
      <c r="BD179" s="969"/>
      <c r="BE179" s="370"/>
      <c r="BF179" s="524"/>
      <c r="BG179" s="370"/>
      <c r="BH179" s="370"/>
      <c r="BI179" s="369"/>
      <c r="BJ179" s="369"/>
      <c r="BK179" s="369"/>
      <c r="BL179" s="369"/>
      <c r="BM179" s="369"/>
      <c r="BN179" s="369"/>
      <c r="BO179" s="369"/>
      <c r="CI179" s="973"/>
    </row>
    <row r="180" spans="1:87" s="747" customFormat="1" ht="13.9" hidden="1" customHeight="1" outlineLevel="1">
      <c r="A180" s="804"/>
      <c r="B180" s="805" t="str">
        <f>"Orifice Assy : L Flange OD "&amp;E178</f>
        <v>Orifice Assy : L Flange OD 630</v>
      </c>
      <c r="C180" s="806" t="str">
        <f>+G$4</f>
        <v>GI</v>
      </c>
      <c r="D180" s="807"/>
      <c r="E180" s="808">
        <f>+E178</f>
        <v>630</v>
      </c>
      <c r="F180" s="809">
        <v>25</v>
      </c>
      <c r="G180" s="809">
        <v>10</v>
      </c>
      <c r="H180" s="457" t="s">
        <v>97</v>
      </c>
      <c r="I180" s="810"/>
      <c r="J180" s="811">
        <v>2</v>
      </c>
      <c r="K180" s="808">
        <f>22/7*(E180+10)+20</f>
        <v>2031.4285714285713</v>
      </c>
      <c r="L180" s="809">
        <f>+F179:F180+25</f>
        <v>50</v>
      </c>
      <c r="M180" s="812">
        <f>+S$43</f>
        <v>8030</v>
      </c>
      <c r="N180" s="813">
        <f t="shared" si="162"/>
        <v>2.0314285714285714E-4</v>
      </c>
      <c r="O180" s="814">
        <v>2</v>
      </c>
      <c r="P180" s="811">
        <f t="shared" si="163"/>
        <v>3.2624742857142857</v>
      </c>
      <c r="Q180" s="815">
        <v>1.2</v>
      </c>
      <c r="R180" s="841">
        <f t="shared" si="164"/>
        <v>0</v>
      </c>
      <c r="S180" s="815">
        <f t="shared" si="148"/>
        <v>0</v>
      </c>
      <c r="T180" s="817" t="s">
        <v>115</v>
      </c>
      <c r="U180" s="818">
        <f>+T$43</f>
        <v>22500</v>
      </c>
      <c r="V180" s="819">
        <f t="shared" si="165"/>
        <v>6.8240753377917299E-5</v>
      </c>
      <c r="W180" s="811">
        <v>1</v>
      </c>
      <c r="X180" s="820">
        <v>1</v>
      </c>
      <c r="Y180" s="821">
        <f t="shared" si="166"/>
        <v>0</v>
      </c>
      <c r="Z180" s="822">
        <f t="shared" si="167"/>
        <v>0</v>
      </c>
      <c r="AA180" s="823">
        <v>1</v>
      </c>
      <c r="AB180" s="824"/>
      <c r="AC180" s="825">
        <v>1</v>
      </c>
      <c r="AD180" s="825">
        <v>1</v>
      </c>
      <c r="AE180" s="825">
        <v>1</v>
      </c>
      <c r="AF180" s="825">
        <v>1</v>
      </c>
      <c r="AG180" s="826"/>
      <c r="AH180" s="827"/>
      <c r="AJ180" s="828">
        <f t="shared" si="168"/>
        <v>0</v>
      </c>
      <c r="AK180" s="862"/>
      <c r="AL180" s="828">
        <f t="shared" si="169"/>
        <v>0</v>
      </c>
      <c r="AM180" s="828"/>
      <c r="AO180" s="827"/>
      <c r="AQ180" s="930"/>
      <c r="AT180" s="964"/>
      <c r="AV180" s="827"/>
      <c r="AX180" s="930"/>
      <c r="BD180" s="964"/>
      <c r="BF180" s="830"/>
      <c r="CI180" s="830"/>
    </row>
    <row r="181" spans="1:87" s="418" customFormat="1" ht="13.9" hidden="1" customHeight="1" outlineLevel="1">
      <c r="B181" s="445" t="s">
        <v>1311</v>
      </c>
      <c r="C181" s="418" t="str">
        <f>IF(N$4=1,"Powder Coating", "No Coating")</f>
        <v>Powder Coating</v>
      </c>
      <c r="D181" s="504"/>
      <c r="E181" s="447"/>
      <c r="F181" s="831"/>
      <c r="G181" s="831"/>
      <c r="H181" s="459" t="s">
        <v>54</v>
      </c>
      <c r="I181" s="832"/>
      <c r="J181" s="446"/>
      <c r="K181" s="447">
        <f>+K180</f>
        <v>2031.4285714285713</v>
      </c>
      <c r="L181" s="448">
        <f>+L180</f>
        <v>50</v>
      </c>
      <c r="M181" s="449">
        <v>2</v>
      </c>
      <c r="N181" s="833">
        <f t="shared" si="162"/>
        <v>0.10157142857142855</v>
      </c>
      <c r="O181" s="451">
        <f>+O180</f>
        <v>2</v>
      </c>
      <c r="P181" s="446">
        <f t="shared" si="163"/>
        <v>0.40628571428571419</v>
      </c>
      <c r="Q181" s="452">
        <v>1.1000000000000001</v>
      </c>
      <c r="R181" s="458">
        <f t="shared" si="164"/>
        <v>0</v>
      </c>
      <c r="S181" s="452">
        <f t="shared" si="148"/>
        <v>0</v>
      </c>
      <c r="T181" s="426" t="s">
        <v>115</v>
      </c>
      <c r="U181" s="427">
        <f>+Q$11</f>
        <v>65000</v>
      </c>
      <c r="V181" s="835">
        <f t="shared" si="165"/>
        <v>6.8240753377917299E-5</v>
      </c>
      <c r="W181" s="446">
        <v>1</v>
      </c>
      <c r="X181" s="477">
        <f>+P$11</f>
        <v>0.25</v>
      </c>
      <c r="Y181" s="837">
        <f t="shared" si="166"/>
        <v>0</v>
      </c>
      <c r="Z181" s="838">
        <f t="shared" si="167"/>
        <v>0</v>
      </c>
      <c r="AA181" s="456">
        <f>+AA180</f>
        <v>1</v>
      </c>
      <c r="AC181" s="378">
        <f>+AC180</f>
        <v>1</v>
      </c>
      <c r="AD181" s="378">
        <f t="shared" ref="AD181:AF181" si="171">+AD180</f>
        <v>1</v>
      </c>
      <c r="AE181" s="378">
        <f t="shared" si="171"/>
        <v>1</v>
      </c>
      <c r="AF181" s="378">
        <f t="shared" si="171"/>
        <v>1</v>
      </c>
      <c r="AG181" s="479"/>
      <c r="AH181" s="521"/>
      <c r="AI181" s="479"/>
      <c r="AJ181" s="483">
        <f t="shared" si="168"/>
        <v>0</v>
      </c>
      <c r="AK181" s="522"/>
      <c r="AL181" s="401">
        <f t="shared" si="169"/>
        <v>0</v>
      </c>
      <c r="AM181" s="523"/>
      <c r="AN181" s="479"/>
      <c r="AO181" s="521"/>
      <c r="AP181" s="369"/>
      <c r="AQ181" s="967"/>
      <c r="AR181" s="479"/>
      <c r="AS181" s="479"/>
      <c r="AT181" s="968"/>
      <c r="AU181" s="479"/>
      <c r="AV181" s="521"/>
      <c r="AW181" s="479"/>
      <c r="AX181" s="967"/>
      <c r="AY181" s="370"/>
      <c r="AZ181" s="370"/>
      <c r="BA181" s="370"/>
      <c r="BB181" s="370"/>
      <c r="BC181" s="370"/>
      <c r="BD181" s="969"/>
      <c r="BE181" s="370"/>
      <c r="BF181" s="524"/>
      <c r="BG181" s="370"/>
      <c r="BH181" s="370"/>
      <c r="BI181" s="369"/>
      <c r="BJ181" s="369"/>
      <c r="BK181" s="369"/>
      <c r="BL181" s="369"/>
      <c r="BM181" s="369"/>
      <c r="BN181" s="369"/>
      <c r="BO181" s="369"/>
      <c r="CI181" s="973"/>
    </row>
    <row r="182" spans="1:87" s="747" customFormat="1" ht="13.9" hidden="1" customHeight="1" outlineLevel="1">
      <c r="A182" s="804"/>
      <c r="B182" s="805" t="str">
        <f>"Orifice Assy : Motor Base OD "&amp;E178</f>
        <v>Orifice Assy : Motor Base OD 630</v>
      </c>
      <c r="C182" s="806" t="str">
        <f>+G$4</f>
        <v>GI</v>
      </c>
      <c r="D182" s="807"/>
      <c r="E182" s="808">
        <f>+E178*0.7</f>
        <v>441</v>
      </c>
      <c r="F182" s="809">
        <v>350</v>
      </c>
      <c r="G182" s="809"/>
      <c r="H182" s="457" t="s">
        <v>97</v>
      </c>
      <c r="I182" s="810"/>
      <c r="J182" s="811">
        <v>3</v>
      </c>
      <c r="K182" s="808">
        <f>+E182</f>
        <v>441</v>
      </c>
      <c r="L182" s="809">
        <f>+F182</f>
        <v>350</v>
      </c>
      <c r="M182" s="812">
        <f>+S$43</f>
        <v>8030</v>
      </c>
      <c r="N182" s="813">
        <f t="shared" si="162"/>
        <v>4.6304999999999995E-4</v>
      </c>
      <c r="O182" s="814">
        <v>1</v>
      </c>
      <c r="P182" s="811">
        <f t="shared" si="163"/>
        <v>3.7182914999999994</v>
      </c>
      <c r="Q182" s="815">
        <v>1.2</v>
      </c>
      <c r="R182" s="841">
        <f t="shared" si="164"/>
        <v>0</v>
      </c>
      <c r="S182" s="815">
        <f t="shared" si="148"/>
        <v>0</v>
      </c>
      <c r="T182" s="817" t="s">
        <v>115</v>
      </c>
      <c r="U182" s="818">
        <f>+T$43</f>
        <v>22500</v>
      </c>
      <c r="V182" s="819">
        <f t="shared" si="165"/>
        <v>6.8240753377917299E-5</v>
      </c>
      <c r="W182" s="811">
        <v>1</v>
      </c>
      <c r="X182" s="820">
        <v>1</v>
      </c>
      <c r="Y182" s="821">
        <f t="shared" si="166"/>
        <v>0</v>
      </c>
      <c r="Z182" s="822">
        <f t="shared" si="167"/>
        <v>0</v>
      </c>
      <c r="AA182" s="823">
        <v>1</v>
      </c>
      <c r="AB182" s="824"/>
      <c r="AC182" s="825">
        <v>1</v>
      </c>
      <c r="AD182" s="825">
        <v>1</v>
      </c>
      <c r="AE182" s="825">
        <v>1</v>
      </c>
      <c r="AF182" s="825">
        <v>1</v>
      </c>
      <c r="AG182" s="826"/>
      <c r="AH182" s="827"/>
      <c r="AJ182" s="828">
        <f t="shared" si="168"/>
        <v>0</v>
      </c>
      <c r="AK182" s="862"/>
      <c r="AL182" s="828">
        <f t="shared" si="169"/>
        <v>0</v>
      </c>
      <c r="AM182" s="828"/>
      <c r="AO182" s="827"/>
      <c r="AQ182" s="930"/>
      <c r="AT182" s="964"/>
      <c r="AV182" s="827"/>
      <c r="AX182" s="930"/>
      <c r="BD182" s="964"/>
      <c r="BF182" s="830"/>
      <c r="CI182" s="830"/>
    </row>
    <row r="183" spans="1:87" s="418" customFormat="1" ht="13.9" hidden="1" customHeight="1" outlineLevel="1">
      <c r="B183" s="445" t="s">
        <v>1311</v>
      </c>
      <c r="C183" s="418" t="str">
        <f>IF(N$4=1,"Powder Coating", "No Coating")</f>
        <v>Powder Coating</v>
      </c>
      <c r="D183" s="504"/>
      <c r="E183" s="447"/>
      <c r="F183" s="831"/>
      <c r="G183" s="831"/>
      <c r="H183" s="459" t="s">
        <v>54</v>
      </c>
      <c r="I183" s="832"/>
      <c r="J183" s="446"/>
      <c r="K183" s="447">
        <f>+K182</f>
        <v>441</v>
      </c>
      <c r="L183" s="448">
        <f>+L182</f>
        <v>350</v>
      </c>
      <c r="M183" s="449">
        <v>2</v>
      </c>
      <c r="N183" s="833">
        <f t="shared" si="162"/>
        <v>0.15434999999999999</v>
      </c>
      <c r="O183" s="451">
        <f>+O182</f>
        <v>1</v>
      </c>
      <c r="P183" s="446">
        <f t="shared" si="163"/>
        <v>0.30869999999999997</v>
      </c>
      <c r="Q183" s="452">
        <v>1.1000000000000001</v>
      </c>
      <c r="R183" s="458">
        <f t="shared" si="164"/>
        <v>0</v>
      </c>
      <c r="S183" s="452">
        <f t="shared" si="148"/>
        <v>0</v>
      </c>
      <c r="T183" s="426" t="s">
        <v>115</v>
      </c>
      <c r="U183" s="427">
        <f>+Q$11</f>
        <v>65000</v>
      </c>
      <c r="V183" s="835">
        <f t="shared" si="165"/>
        <v>6.8240753377917299E-5</v>
      </c>
      <c r="W183" s="446">
        <v>1</v>
      </c>
      <c r="X183" s="477">
        <f>+P$11</f>
        <v>0.25</v>
      </c>
      <c r="Y183" s="837">
        <f t="shared" si="166"/>
        <v>0</v>
      </c>
      <c r="Z183" s="838">
        <f t="shared" si="167"/>
        <v>0</v>
      </c>
      <c r="AA183" s="456">
        <f>+AA182</f>
        <v>1</v>
      </c>
      <c r="AC183" s="378">
        <f>+AC182</f>
        <v>1</v>
      </c>
      <c r="AD183" s="378">
        <f t="shared" ref="AD183:AF183" si="172">+AD182</f>
        <v>1</v>
      </c>
      <c r="AE183" s="378">
        <f t="shared" si="172"/>
        <v>1</v>
      </c>
      <c r="AF183" s="378">
        <f t="shared" si="172"/>
        <v>1</v>
      </c>
      <c r="AG183" s="479"/>
      <c r="AH183" s="521"/>
      <c r="AI183" s="479"/>
      <c r="AJ183" s="483">
        <f t="shared" si="168"/>
        <v>0</v>
      </c>
      <c r="AK183" s="522"/>
      <c r="AL183" s="401">
        <f t="shared" si="169"/>
        <v>0</v>
      </c>
      <c r="AM183" s="523"/>
      <c r="AN183" s="479"/>
      <c r="AO183" s="521"/>
      <c r="AP183" s="369"/>
      <c r="AQ183" s="967"/>
      <c r="AR183" s="479"/>
      <c r="AS183" s="479"/>
      <c r="AT183" s="968"/>
      <c r="AU183" s="479"/>
      <c r="AV183" s="521"/>
      <c r="AW183" s="479"/>
      <c r="AX183" s="967"/>
      <c r="AY183" s="370"/>
      <c r="AZ183" s="370"/>
      <c r="BA183" s="370"/>
      <c r="BB183" s="370"/>
      <c r="BC183" s="370"/>
      <c r="BD183" s="969"/>
      <c r="BE183" s="370"/>
      <c r="BF183" s="524"/>
      <c r="BG183" s="370"/>
      <c r="BH183" s="370"/>
      <c r="BI183" s="369"/>
      <c r="BJ183" s="369"/>
      <c r="BK183" s="369"/>
      <c r="BL183" s="369"/>
      <c r="BM183" s="369"/>
      <c r="BN183" s="369"/>
      <c r="BO183" s="369"/>
      <c r="CI183" s="973"/>
    </row>
    <row r="184" spans="1:87" s="747" customFormat="1" ht="13.9" hidden="1" customHeight="1" outlineLevel="1">
      <c r="A184" s="804"/>
      <c r="B184" s="805" t="str">
        <f>"'Orifice Assy : Motor Base T Support OD "&amp;E178</f>
        <v>'Orifice Assy : Motor Base T Support OD 630</v>
      </c>
      <c r="C184" s="806" t="str">
        <f>+G$4</f>
        <v>GI</v>
      </c>
      <c r="D184" s="807"/>
      <c r="E184" s="808">
        <f>+E178*0.3</f>
        <v>189</v>
      </c>
      <c r="F184" s="809">
        <v>350</v>
      </c>
      <c r="G184" s="809"/>
      <c r="H184" s="457" t="s">
        <v>97</v>
      </c>
      <c r="I184" s="810"/>
      <c r="J184" s="811">
        <v>3</v>
      </c>
      <c r="K184" s="808">
        <v>925</v>
      </c>
      <c r="L184" s="809">
        <v>880</v>
      </c>
      <c r="M184" s="812">
        <f>+S$43</f>
        <v>8030</v>
      </c>
      <c r="N184" s="813">
        <f t="shared" si="162"/>
        <v>2.4420000000000002E-3</v>
      </c>
      <c r="O184" s="814">
        <v>2</v>
      </c>
      <c r="P184" s="811">
        <f t="shared" si="163"/>
        <v>39.218520000000005</v>
      </c>
      <c r="Q184" s="815">
        <v>1.2</v>
      </c>
      <c r="R184" s="841">
        <f t="shared" si="164"/>
        <v>0</v>
      </c>
      <c r="S184" s="815">
        <f t="shared" si="148"/>
        <v>0</v>
      </c>
      <c r="T184" s="817" t="s">
        <v>115</v>
      </c>
      <c r="U184" s="818">
        <f>+T$43</f>
        <v>22500</v>
      </c>
      <c r="V184" s="819">
        <f t="shared" si="165"/>
        <v>6.8240753377917299E-5</v>
      </c>
      <c r="W184" s="811">
        <v>1</v>
      </c>
      <c r="X184" s="820">
        <v>1</v>
      </c>
      <c r="Y184" s="821">
        <f t="shared" si="166"/>
        <v>0</v>
      </c>
      <c r="Z184" s="822">
        <f t="shared" si="167"/>
        <v>0</v>
      </c>
      <c r="AA184" s="823">
        <v>1</v>
      </c>
      <c r="AB184" s="824"/>
      <c r="AC184" s="825">
        <v>1</v>
      </c>
      <c r="AD184" s="825">
        <v>1</v>
      </c>
      <c r="AE184" s="825">
        <v>1</v>
      </c>
      <c r="AF184" s="825">
        <v>1</v>
      </c>
      <c r="AG184" s="826"/>
      <c r="AH184" s="827"/>
      <c r="AJ184" s="828">
        <f t="shared" si="168"/>
        <v>0</v>
      </c>
      <c r="AK184" s="862"/>
      <c r="AL184" s="828">
        <f t="shared" si="169"/>
        <v>0</v>
      </c>
      <c r="AM184" s="828"/>
      <c r="AO184" s="827"/>
      <c r="AQ184" s="930"/>
      <c r="AT184" s="964"/>
      <c r="AV184" s="827"/>
      <c r="AX184" s="930"/>
      <c r="BD184" s="964"/>
      <c r="BF184" s="830"/>
      <c r="CI184" s="830"/>
    </row>
    <row r="185" spans="1:87" s="418" customFormat="1" ht="13.9" hidden="1" customHeight="1" outlineLevel="1">
      <c r="B185" s="445" t="s">
        <v>1311</v>
      </c>
      <c r="C185" s="418" t="str">
        <f>IF(N$4=1,"Powder Coating", "No Coating")</f>
        <v>Powder Coating</v>
      </c>
      <c r="D185" s="504"/>
      <c r="E185" s="447"/>
      <c r="F185" s="831"/>
      <c r="G185" s="831"/>
      <c r="H185" s="459" t="s">
        <v>54</v>
      </c>
      <c r="I185" s="832"/>
      <c r="J185" s="446"/>
      <c r="K185" s="447">
        <f>+K184</f>
        <v>925</v>
      </c>
      <c r="L185" s="448">
        <f>+L184</f>
        <v>880</v>
      </c>
      <c r="M185" s="449">
        <v>2</v>
      </c>
      <c r="N185" s="833">
        <f t="shared" si="162"/>
        <v>0.81399999999999995</v>
      </c>
      <c r="O185" s="451">
        <f>+O184</f>
        <v>2</v>
      </c>
      <c r="P185" s="446">
        <f t="shared" si="163"/>
        <v>3.2559999999999998</v>
      </c>
      <c r="Q185" s="452">
        <v>1.1000000000000001</v>
      </c>
      <c r="R185" s="458">
        <f t="shared" si="164"/>
        <v>0</v>
      </c>
      <c r="S185" s="452">
        <f t="shared" si="148"/>
        <v>0</v>
      </c>
      <c r="T185" s="426" t="s">
        <v>115</v>
      </c>
      <c r="U185" s="427">
        <f>+Q$11</f>
        <v>65000</v>
      </c>
      <c r="V185" s="835">
        <f t="shared" si="165"/>
        <v>6.8240753377917299E-5</v>
      </c>
      <c r="W185" s="446">
        <v>1</v>
      </c>
      <c r="X185" s="477">
        <f>+P$11</f>
        <v>0.25</v>
      </c>
      <c r="Y185" s="837">
        <f t="shared" si="166"/>
        <v>0</v>
      </c>
      <c r="Z185" s="838">
        <f t="shared" si="167"/>
        <v>0</v>
      </c>
      <c r="AA185" s="456">
        <f>+AA184</f>
        <v>1</v>
      </c>
      <c r="AC185" s="378">
        <f>+AC184</f>
        <v>1</v>
      </c>
      <c r="AD185" s="378">
        <f t="shared" ref="AD185:AF185" si="173">+AD184</f>
        <v>1</v>
      </c>
      <c r="AE185" s="378">
        <f t="shared" si="173"/>
        <v>1</v>
      </c>
      <c r="AF185" s="378">
        <f t="shared" si="173"/>
        <v>1</v>
      </c>
      <c r="AG185" s="479"/>
      <c r="AH185" s="521"/>
      <c r="AI185" s="479"/>
      <c r="AJ185" s="483">
        <f t="shared" si="168"/>
        <v>0</v>
      </c>
      <c r="AK185" s="522"/>
      <c r="AL185" s="401">
        <f t="shared" si="169"/>
        <v>0</v>
      </c>
      <c r="AM185" s="523"/>
      <c r="AN185" s="479"/>
      <c r="AO185" s="521"/>
      <c r="AP185" s="369"/>
      <c r="AQ185" s="967"/>
      <c r="AR185" s="479"/>
      <c r="AS185" s="479"/>
      <c r="AT185" s="968"/>
      <c r="AU185" s="479"/>
      <c r="AV185" s="521"/>
      <c r="AW185" s="479"/>
      <c r="AX185" s="967"/>
      <c r="AY185" s="370"/>
      <c r="AZ185" s="370"/>
      <c r="BA185" s="370"/>
      <c r="BB185" s="370"/>
      <c r="BC185" s="370"/>
      <c r="BD185" s="969"/>
      <c r="BE185" s="370"/>
      <c r="BF185" s="524"/>
      <c r="BG185" s="370"/>
      <c r="BH185" s="370"/>
      <c r="BI185" s="369"/>
      <c r="BJ185" s="369"/>
      <c r="BK185" s="369"/>
      <c r="BL185" s="369"/>
      <c r="BM185" s="369"/>
      <c r="BN185" s="369"/>
      <c r="BO185" s="369"/>
      <c r="CI185" s="973"/>
    </row>
    <row r="186" spans="1:87" s="747" customFormat="1" ht="13.9" hidden="1" customHeight="1" outlineLevel="1">
      <c r="A186" s="804"/>
      <c r="B186" s="805" t="str">
        <f>"Orifice Assy : Fan Guard OD "&amp;E178</f>
        <v>Orifice Assy : Fan Guard OD 630</v>
      </c>
      <c r="C186" s="806" t="str">
        <f>+G$4</f>
        <v>GI</v>
      </c>
      <c r="D186" s="807"/>
      <c r="E186" s="808">
        <f>+E178</f>
        <v>630</v>
      </c>
      <c r="F186" s="809">
        <f>+E178</f>
        <v>630</v>
      </c>
      <c r="G186" s="809">
        <v>30</v>
      </c>
      <c r="H186" s="457" t="s">
        <v>54</v>
      </c>
      <c r="I186" s="810"/>
      <c r="J186" s="811"/>
      <c r="K186" s="808">
        <f>+E186+G186</f>
        <v>660</v>
      </c>
      <c r="L186" s="809">
        <f>+F186+G186</f>
        <v>660</v>
      </c>
      <c r="M186" s="812">
        <v>1</v>
      </c>
      <c r="N186" s="813">
        <f t="shared" si="162"/>
        <v>0.43560000000000004</v>
      </c>
      <c r="O186" s="814">
        <v>1</v>
      </c>
      <c r="P186" s="811">
        <f t="shared" si="163"/>
        <v>0.43560000000000004</v>
      </c>
      <c r="Q186" s="815">
        <v>1.2</v>
      </c>
      <c r="R186" s="841">
        <f t="shared" si="164"/>
        <v>0</v>
      </c>
      <c r="S186" s="815">
        <f t="shared" si="148"/>
        <v>0</v>
      </c>
      <c r="T186" s="817" t="s">
        <v>115</v>
      </c>
      <c r="U186" s="946">
        <v>2000000</v>
      </c>
      <c r="V186" s="819">
        <f t="shared" si="165"/>
        <v>6.8240753377917299E-5</v>
      </c>
      <c r="W186" s="811">
        <v>1</v>
      </c>
      <c r="X186" s="820">
        <f>2/1000*1*1*7860*0.3</f>
        <v>4.7160000000000002</v>
      </c>
      <c r="Y186" s="821">
        <f t="shared" si="166"/>
        <v>0</v>
      </c>
      <c r="Z186" s="822">
        <f t="shared" si="167"/>
        <v>0</v>
      </c>
      <c r="AA186" s="823">
        <v>1</v>
      </c>
      <c r="AB186" s="824"/>
      <c r="AC186" s="825">
        <v>1</v>
      </c>
      <c r="AD186" s="825">
        <v>1</v>
      </c>
      <c r="AE186" s="825">
        <v>1</v>
      </c>
      <c r="AF186" s="825">
        <v>1</v>
      </c>
      <c r="AG186" s="826"/>
      <c r="AH186" s="827"/>
      <c r="AJ186" s="828">
        <f t="shared" si="168"/>
        <v>0</v>
      </c>
      <c r="AK186" s="862"/>
      <c r="AL186" s="828">
        <f t="shared" si="169"/>
        <v>0</v>
      </c>
      <c r="AM186" s="828"/>
      <c r="AO186" s="827"/>
      <c r="AQ186" s="930"/>
      <c r="AT186" s="964"/>
      <c r="AV186" s="827"/>
      <c r="AX186" s="930"/>
      <c r="BD186" s="964"/>
      <c r="BF186" s="830"/>
      <c r="CI186" s="830"/>
    </row>
    <row r="187" spans="1:87" s="418" customFormat="1" ht="13.9" hidden="1" customHeight="1" outlineLevel="1">
      <c r="B187" s="463" t="s">
        <v>1311</v>
      </c>
      <c r="C187" s="842" t="str">
        <f>IF(N$4=1,"Powder Coating", "No Coating")</f>
        <v>Powder Coating</v>
      </c>
      <c r="D187" s="843"/>
      <c r="E187" s="465"/>
      <c r="F187" s="844"/>
      <c r="G187" s="844"/>
      <c r="H187" s="485" t="s">
        <v>54</v>
      </c>
      <c r="I187" s="845"/>
      <c r="J187" s="464"/>
      <c r="K187" s="465">
        <f>+K186</f>
        <v>660</v>
      </c>
      <c r="L187" s="466">
        <f>+L186</f>
        <v>660</v>
      </c>
      <c r="M187" s="467">
        <v>2</v>
      </c>
      <c r="N187" s="846">
        <f t="shared" si="162"/>
        <v>0.43560000000000004</v>
      </c>
      <c r="O187" s="469">
        <f>+O186</f>
        <v>1</v>
      </c>
      <c r="P187" s="464">
        <f t="shared" si="163"/>
        <v>0.87120000000000009</v>
      </c>
      <c r="Q187" s="470">
        <v>1.1000000000000001</v>
      </c>
      <c r="R187" s="471">
        <f t="shared" si="164"/>
        <v>0</v>
      </c>
      <c r="S187" s="470">
        <f t="shared" si="148"/>
        <v>0</v>
      </c>
      <c r="T187" s="472" t="s">
        <v>115</v>
      </c>
      <c r="U187" s="430">
        <f>+Q$11</f>
        <v>65000</v>
      </c>
      <c r="V187" s="848">
        <f t="shared" si="165"/>
        <v>6.8240753377917299E-5</v>
      </c>
      <c r="W187" s="464">
        <v>1</v>
      </c>
      <c r="X187" s="478">
        <f>+P$11</f>
        <v>0.25</v>
      </c>
      <c r="Y187" s="850">
        <f t="shared" si="166"/>
        <v>0</v>
      </c>
      <c r="Z187" s="851">
        <f t="shared" si="167"/>
        <v>0</v>
      </c>
      <c r="AA187" s="473">
        <f>+AA186</f>
        <v>1</v>
      </c>
      <c r="AC187" s="383">
        <f>+AC186</f>
        <v>1</v>
      </c>
      <c r="AD187" s="383">
        <f t="shared" ref="AD187:AF187" si="174">+AD186</f>
        <v>1</v>
      </c>
      <c r="AE187" s="383">
        <f t="shared" si="174"/>
        <v>1</v>
      </c>
      <c r="AF187" s="383">
        <f t="shared" si="174"/>
        <v>1</v>
      </c>
      <c r="AG187" s="479"/>
      <c r="AH187" s="521"/>
      <c r="AI187" s="479"/>
      <c r="AJ187" s="483">
        <f t="shared" si="168"/>
        <v>0</v>
      </c>
      <c r="AK187" s="522"/>
      <c r="AL187" s="401">
        <f t="shared" si="169"/>
        <v>0</v>
      </c>
      <c r="AM187" s="523"/>
      <c r="AN187" s="479"/>
      <c r="AO187" s="521"/>
      <c r="AP187" s="369"/>
      <c r="AQ187" s="967"/>
      <c r="AR187" s="479"/>
      <c r="AS187" s="479"/>
      <c r="AT187" s="968"/>
      <c r="AU187" s="479"/>
      <c r="AV187" s="521"/>
      <c r="AW187" s="479"/>
      <c r="AX187" s="967"/>
      <c r="AY187" s="370"/>
      <c r="AZ187" s="370"/>
      <c r="BA187" s="370"/>
      <c r="BB187" s="370"/>
      <c r="BC187" s="370"/>
      <c r="BD187" s="969"/>
      <c r="BE187" s="370"/>
      <c r="BF187" s="524"/>
      <c r="BG187" s="370"/>
      <c r="BH187" s="370"/>
      <c r="BI187" s="369"/>
      <c r="BJ187" s="369"/>
      <c r="BK187" s="369"/>
      <c r="BL187" s="369"/>
      <c r="BM187" s="369"/>
      <c r="BN187" s="369"/>
      <c r="BO187" s="369"/>
      <c r="CI187" s="973"/>
    </row>
    <row r="188" spans="1:87" s="370" customFormat="1" ht="15" collapsed="1">
      <c r="B188" s="783" t="s">
        <v>1389</v>
      </c>
      <c r="C188" s="974"/>
      <c r="D188" s="785"/>
      <c r="E188" s="786"/>
      <c r="F188" s="787"/>
      <c r="G188" s="787"/>
      <c r="H188" s="788" t="s">
        <v>1085</v>
      </c>
      <c r="I188" s="789" t="s">
        <v>1162</v>
      </c>
      <c r="J188" s="790" t="s">
        <v>1071</v>
      </c>
      <c r="K188" s="786" t="s">
        <v>1072</v>
      </c>
      <c r="L188" s="787" t="s">
        <v>21</v>
      </c>
      <c r="M188" s="791" t="s">
        <v>82</v>
      </c>
      <c r="N188" s="839" t="s">
        <v>1163</v>
      </c>
      <c r="O188" s="786" t="s">
        <v>1154</v>
      </c>
      <c r="P188" s="790" t="s">
        <v>1164</v>
      </c>
      <c r="Q188" s="793" t="s">
        <v>34</v>
      </c>
      <c r="R188" s="791">
        <v>1</v>
      </c>
      <c r="S188" s="793" t="s">
        <v>13</v>
      </c>
      <c r="T188" s="794" t="s">
        <v>128</v>
      </c>
      <c r="U188" s="794" t="s">
        <v>111</v>
      </c>
      <c r="V188" s="795" t="s">
        <v>32</v>
      </c>
      <c r="W188" s="796" t="s">
        <v>33</v>
      </c>
      <c r="X188" s="797"/>
      <c r="Y188" s="798"/>
      <c r="Z188" s="799"/>
      <c r="AA188" s="800" t="str">
        <f>+AA$2</f>
        <v>SCU75M1</v>
      </c>
      <c r="AB188" s="747"/>
      <c r="AC188" s="801" t="str">
        <f>+AC$2</f>
        <v>SCU75M1</v>
      </c>
      <c r="AD188" s="801" t="str">
        <f>+AD$2</f>
        <v>SCU100M1</v>
      </c>
      <c r="AE188" s="801" t="str">
        <f>+AE$2</f>
        <v>SCU125M1</v>
      </c>
      <c r="AF188" s="802" t="str">
        <f>+AF$2</f>
        <v>SCU150M1</v>
      </c>
      <c r="AH188" s="521"/>
      <c r="AJ188" s="483"/>
      <c r="AK188" s="522"/>
      <c r="AL188" s="401"/>
      <c r="AM188" s="523"/>
      <c r="AO188" s="521"/>
      <c r="AP188" s="395"/>
      <c r="AQ188" s="395"/>
      <c r="AR188" s="395"/>
      <c r="AS188" s="369"/>
      <c r="AT188" s="395"/>
      <c r="AU188" s="395"/>
      <c r="AV188" s="521"/>
      <c r="AW188" s="395"/>
      <c r="AX188" s="395"/>
      <c r="AY188" s="395"/>
      <c r="AZ188" s="395"/>
      <c r="BA188" s="395"/>
      <c r="BB188" s="395"/>
      <c r="BC188" s="395"/>
      <c r="BD188" s="395"/>
      <c r="BE188" s="369"/>
      <c r="BF188" s="524"/>
      <c r="BG188" s="369"/>
      <c r="BH188" s="395"/>
      <c r="BI188" s="369"/>
      <c r="BJ188" s="369"/>
      <c r="BK188" s="369"/>
      <c r="BL188" s="369"/>
      <c r="BM188" s="369"/>
      <c r="BN188" s="369"/>
      <c r="CI188" s="521"/>
    </row>
    <row r="189" spans="1:87" s="370" customFormat="1" ht="15">
      <c r="B189" s="895" t="s">
        <v>1390</v>
      </c>
      <c r="C189" s="896"/>
      <c r="D189" s="897"/>
      <c r="E189" s="898"/>
      <c r="F189" s="899"/>
      <c r="G189" s="899"/>
      <c r="H189" s="900"/>
      <c r="I189" s="901"/>
      <c r="J189" s="902"/>
      <c r="K189" s="898"/>
      <c r="L189" s="899"/>
      <c r="M189" s="903"/>
      <c r="N189" s="904"/>
      <c r="O189" s="898"/>
      <c r="P189" s="902"/>
      <c r="Q189" s="905"/>
      <c r="R189" s="903"/>
      <c r="S189" s="905"/>
      <c r="T189" s="906"/>
      <c r="U189" s="906"/>
      <c r="V189" s="907"/>
      <c r="W189" s="908"/>
      <c r="X189" s="909"/>
      <c r="Y189" s="910">
        <f>SUM(Y190:Y195)</f>
        <v>29.721959954018555</v>
      </c>
      <c r="Z189" s="910">
        <f>SUM(Z190:Z195)</f>
        <v>90.546059536384178</v>
      </c>
      <c r="AA189" s="911"/>
      <c r="AB189" s="747"/>
      <c r="AC189" s="912"/>
      <c r="AD189" s="912"/>
      <c r="AE189" s="912"/>
      <c r="AF189" s="913"/>
      <c r="AH189" s="521"/>
      <c r="AJ189" s="483"/>
      <c r="AK189" s="522">
        <f>SUM(AJ190:AJ195)</f>
        <v>29.721959954018555</v>
      </c>
      <c r="AL189" s="401"/>
      <c r="AM189" s="523">
        <f>SUM(AL190:AL195)</f>
        <v>90.546059536384178</v>
      </c>
      <c r="AO189" s="521"/>
      <c r="AP189" s="369"/>
      <c r="AQ189" s="395"/>
      <c r="AR189" s="395"/>
      <c r="AS189" s="395"/>
      <c r="AT189" s="395"/>
      <c r="AU189" s="369"/>
      <c r="AV189" s="521"/>
      <c r="AW189" s="369"/>
      <c r="AX189" s="369"/>
      <c r="AY189" s="395"/>
      <c r="AZ189" s="395"/>
      <c r="BA189" s="395"/>
      <c r="BB189" s="395"/>
      <c r="BC189" s="395"/>
      <c r="BD189" s="395"/>
      <c r="BE189" s="395"/>
      <c r="BF189" s="524"/>
      <c r="BG189" s="369"/>
      <c r="BH189" s="369"/>
      <c r="BI189" s="369"/>
      <c r="BJ189" s="395"/>
      <c r="BK189" s="369"/>
      <c r="BL189" s="369"/>
      <c r="BM189" s="369"/>
      <c r="BN189" s="369"/>
      <c r="BO189" s="369"/>
      <c r="BP189" s="369"/>
      <c r="CH189" s="369"/>
      <c r="CI189" s="521"/>
    </row>
    <row r="190" spans="1:87" s="747" customFormat="1" ht="13.9" customHeight="1" outlineLevel="1">
      <c r="A190" s="824"/>
      <c r="B190" s="805" t="s">
        <v>1391</v>
      </c>
      <c r="C190" s="975" t="str">
        <f>+K$65</f>
        <v>Al1100</v>
      </c>
      <c r="D190" s="930"/>
      <c r="E190" s="976"/>
      <c r="F190" s="977"/>
      <c r="G190" s="977"/>
      <c r="H190" s="457" t="s">
        <v>97</v>
      </c>
      <c r="I190" s="817"/>
      <c r="J190" s="811">
        <f>+E$6</f>
        <v>0.11</v>
      </c>
      <c r="K190" s="808">
        <f>+$P$79</f>
        <v>900</v>
      </c>
      <c r="L190" s="809">
        <f>+$O$79</f>
        <v>43.3</v>
      </c>
      <c r="M190" s="860">
        <f>+L$65</f>
        <v>2700</v>
      </c>
      <c r="N190" s="813">
        <f t="shared" ref="N190:N217" si="175">IF(I190&gt;0,22/28*((I190/1000)^2-(I190/1000-2*J190/1000)^2)*K190/1000,IF(J190&gt;0,J190/1000*K190/1000*L190/1000, IF(K190&gt;0,K190/1000*L190/1000, IF(L190=0,1,L190/1000))))</f>
        <v>4.2867E-6</v>
      </c>
      <c r="O190" s="814">
        <f>ROUNDUP($M$79/25.4*$K$79,0)</f>
        <v>380</v>
      </c>
      <c r="P190" s="811">
        <f t="shared" ref="P190:P217" si="176">M190*N190*O190</f>
        <v>4.3981542000000005</v>
      </c>
      <c r="Q190" s="978">
        <v>1.05</v>
      </c>
      <c r="R190" s="505">
        <f>+R$188</f>
        <v>1</v>
      </c>
      <c r="S190" s="815">
        <f t="shared" ref="S190:S212" si="177">P190*AA190*Q190*R190</f>
        <v>9.2361238200000013</v>
      </c>
      <c r="T190" s="817" t="s">
        <v>115</v>
      </c>
      <c r="U190" s="946">
        <f>+M$65</f>
        <v>70500</v>
      </c>
      <c r="V190" s="927">
        <f t="shared" ref="V190:V217" si="178">1/VLOOKUP(T190,Y$12:Z$18,2,FALSE)</f>
        <v>6.8240753377917299E-5</v>
      </c>
      <c r="W190" s="811">
        <v>1</v>
      </c>
      <c r="X190" s="820">
        <v>1</v>
      </c>
      <c r="Y190" s="821">
        <f t="shared" ref="Y190:Y217" si="179">+P190*R190*AA190*X190</f>
        <v>8.7963084000000009</v>
      </c>
      <c r="Z190" s="822">
        <f>S190*U190*V190*W190*0.35</f>
        <v>15.552160178688414</v>
      </c>
      <c r="AA190" s="823">
        <v>2</v>
      </c>
      <c r="AC190" s="825">
        <v>2</v>
      </c>
      <c r="AD190" s="825">
        <v>2</v>
      </c>
      <c r="AE190" s="825">
        <v>2</v>
      </c>
      <c r="AF190" s="825">
        <v>2</v>
      </c>
      <c r="AG190" s="824"/>
      <c r="AH190" s="827"/>
      <c r="AI190" s="824"/>
      <c r="AJ190" s="828">
        <f t="shared" ref="AJ190:AJ217" si="180">+Y190</f>
        <v>8.7963084000000009</v>
      </c>
      <c r="AK190" s="862"/>
      <c r="AL190" s="828">
        <f t="shared" ref="AL190:AL217" si="181">+Z190</f>
        <v>15.552160178688414</v>
      </c>
      <c r="AM190" s="862"/>
      <c r="AN190" s="824"/>
      <c r="AO190" s="827"/>
      <c r="AP190" s="936"/>
      <c r="AQ190" s="936"/>
      <c r="AR190" s="936"/>
      <c r="AT190" s="936"/>
      <c r="AU190" s="936"/>
      <c r="AV190" s="827"/>
      <c r="AW190" s="936"/>
      <c r="AX190" s="936"/>
      <c r="AY190" s="936"/>
      <c r="AZ190" s="936"/>
      <c r="BA190" s="936"/>
      <c r="BB190" s="936"/>
      <c r="BC190" s="936"/>
      <c r="BD190" s="936"/>
      <c r="BF190" s="830"/>
      <c r="BH190" s="936"/>
      <c r="CI190" s="830"/>
    </row>
    <row r="191" spans="1:87" s="747" customFormat="1" ht="13.9" customHeight="1" outlineLevel="1">
      <c r="A191" s="824"/>
      <c r="B191" s="931" t="s">
        <v>1392</v>
      </c>
      <c r="C191" s="931" t="str">
        <f>+F6</f>
        <v>Cu</v>
      </c>
      <c r="D191" s="930"/>
      <c r="E191" s="979"/>
      <c r="F191" s="809"/>
      <c r="G191" s="809"/>
      <c r="H191" s="457" t="s">
        <v>97</v>
      </c>
      <c r="I191" s="925">
        <f>+$I$79</f>
        <v>9.5249999999999986</v>
      </c>
      <c r="J191" s="811">
        <f>+G$6</f>
        <v>0.33</v>
      </c>
      <c r="K191" s="808">
        <f>$M$79*1.01+(20+IF(K6=1,30,20))</f>
        <v>1024.6500000000001</v>
      </c>
      <c r="L191" s="809"/>
      <c r="M191" s="860">
        <f>+O$65</f>
        <v>8900</v>
      </c>
      <c r="N191" s="813">
        <f t="shared" si="175"/>
        <v>9.7716040007142951E-6</v>
      </c>
      <c r="O191" s="814">
        <f>$J$79*$L$79</f>
        <v>72</v>
      </c>
      <c r="P191" s="811">
        <f t="shared" si="176"/>
        <v>6.26164384365772</v>
      </c>
      <c r="Q191" s="978">
        <v>1.02</v>
      </c>
      <c r="R191" s="505">
        <f t="shared" ref="R191:R217" si="182">+R$188</f>
        <v>1</v>
      </c>
      <c r="S191" s="980">
        <f t="shared" si="177"/>
        <v>12.773753441061748</v>
      </c>
      <c r="T191" s="817" t="s">
        <v>115</v>
      </c>
      <c r="U191" s="946">
        <f>+P$65</f>
        <v>207000</v>
      </c>
      <c r="V191" s="927">
        <f t="shared" si="178"/>
        <v>6.8240753377917299E-5</v>
      </c>
      <c r="W191" s="811">
        <v>1</v>
      </c>
      <c r="X191" s="981">
        <v>1</v>
      </c>
      <c r="Y191" s="982">
        <f t="shared" si="179"/>
        <v>12.52328768731544</v>
      </c>
      <c r="Z191" s="822">
        <f>S191*U191*V191*W191*0.35</f>
        <v>63.153980947517653</v>
      </c>
      <c r="AA191" s="823">
        <v>2</v>
      </c>
      <c r="AC191" s="825">
        <v>2</v>
      </c>
      <c r="AD191" s="825">
        <v>2</v>
      </c>
      <c r="AE191" s="825">
        <v>2</v>
      </c>
      <c r="AF191" s="825">
        <v>2</v>
      </c>
      <c r="AG191" s="824"/>
      <c r="AH191" s="827"/>
      <c r="AI191" s="824"/>
      <c r="AJ191" s="828">
        <f t="shared" si="180"/>
        <v>12.52328768731544</v>
      </c>
      <c r="AK191" s="862"/>
      <c r="AL191" s="828">
        <f t="shared" si="181"/>
        <v>63.153980947517653</v>
      </c>
      <c r="AM191" s="862"/>
      <c r="AN191" s="824"/>
      <c r="AO191" s="827"/>
      <c r="AP191" s="936"/>
      <c r="AQ191" s="936"/>
      <c r="AR191" s="936"/>
      <c r="AT191" s="936"/>
      <c r="AU191" s="936"/>
      <c r="AV191" s="827"/>
      <c r="AW191" s="936"/>
      <c r="AX191" s="936"/>
      <c r="AY191" s="936"/>
      <c r="AZ191" s="936"/>
      <c r="BA191" s="936"/>
      <c r="BB191" s="936"/>
      <c r="BC191" s="936"/>
      <c r="BD191" s="936"/>
      <c r="BF191" s="830"/>
      <c r="BH191" s="936"/>
      <c r="CI191" s="830"/>
    </row>
    <row r="192" spans="1:87" s="747" customFormat="1" ht="13.9" customHeight="1" outlineLevel="1">
      <c r="A192" s="824"/>
      <c r="B192" s="983" t="s">
        <v>1393</v>
      </c>
      <c r="C192" s="984" t="str">
        <f>+D$65</f>
        <v>3/8</v>
      </c>
      <c r="D192" s="985"/>
      <c r="E192" s="986"/>
      <c r="F192" s="987"/>
      <c r="G192" s="987"/>
      <c r="H192" s="988" t="s">
        <v>97</v>
      </c>
      <c r="I192" s="989"/>
      <c r="J192" s="989"/>
      <c r="K192" s="990"/>
      <c r="L192" s="991"/>
      <c r="M192" s="992">
        <v>1</v>
      </c>
      <c r="N192" s="993">
        <f t="shared" si="175"/>
        <v>1</v>
      </c>
      <c r="O192" s="994">
        <f>($J$79*$L$79)/2+($J$79*$L$79-$N$79*2)/2</f>
        <v>69</v>
      </c>
      <c r="P192" s="989">
        <f t="shared" si="176"/>
        <v>69</v>
      </c>
      <c r="Q192" s="995">
        <v>1</v>
      </c>
      <c r="R192" s="996">
        <f t="shared" si="182"/>
        <v>1</v>
      </c>
      <c r="S192" s="997">
        <f t="shared" si="177"/>
        <v>138</v>
      </c>
      <c r="T192" s="998" t="s">
        <v>115</v>
      </c>
      <c r="U192" s="999">
        <f>+H$65</f>
        <v>2250</v>
      </c>
      <c r="V192" s="1000">
        <f t="shared" si="178"/>
        <v>6.8240753377917299E-5</v>
      </c>
      <c r="W192" s="989">
        <v>1</v>
      </c>
      <c r="X192" s="1001">
        <f>+G$65</f>
        <v>6.6573081645153057E-3</v>
      </c>
      <c r="Y192" s="1002">
        <f t="shared" si="179"/>
        <v>0.9187085267031122</v>
      </c>
      <c r="Z192" s="1003">
        <f>S192*U192*V192*W192*0.35</f>
        <v>7.4160638733451618</v>
      </c>
      <c r="AA192" s="1004">
        <v>2</v>
      </c>
      <c r="AC192" s="1005">
        <v>2</v>
      </c>
      <c r="AD192" s="1005">
        <v>2</v>
      </c>
      <c r="AE192" s="1005">
        <v>2</v>
      </c>
      <c r="AF192" s="1005">
        <v>2</v>
      </c>
      <c r="AG192" s="824"/>
      <c r="AH192" s="827"/>
      <c r="AI192" s="824"/>
      <c r="AJ192" s="828">
        <f t="shared" si="180"/>
        <v>0.9187085267031122</v>
      </c>
      <c r="AK192" s="862"/>
      <c r="AL192" s="828">
        <f t="shared" si="181"/>
        <v>7.4160638733451618</v>
      </c>
      <c r="AM192" s="862"/>
      <c r="AN192" s="824"/>
      <c r="AO192" s="827"/>
      <c r="AP192" s="936"/>
      <c r="AQ192" s="936"/>
      <c r="AR192" s="936"/>
      <c r="AT192" s="936"/>
      <c r="AU192" s="936"/>
      <c r="AV192" s="827"/>
      <c r="AW192" s="936"/>
      <c r="AX192" s="936"/>
      <c r="AY192" s="936"/>
      <c r="AZ192" s="936"/>
      <c r="BA192" s="936"/>
      <c r="BB192" s="936"/>
      <c r="BC192" s="936"/>
      <c r="BD192" s="936"/>
      <c r="BF192" s="830"/>
      <c r="BH192" s="936"/>
      <c r="CI192" s="830"/>
    </row>
    <row r="193" spans="1:87" s="747" customFormat="1" ht="13.9" customHeight="1" outlineLevel="1">
      <c r="A193" s="824"/>
      <c r="B193" s="931" t="s">
        <v>1394</v>
      </c>
      <c r="C193" s="931" t="str">
        <f>+H$6</f>
        <v>SGCC</v>
      </c>
      <c r="D193" s="930"/>
      <c r="E193" s="979"/>
      <c r="F193" s="809"/>
      <c r="G193" s="809"/>
      <c r="H193" s="457" t="s">
        <v>97</v>
      </c>
      <c r="I193" s="817"/>
      <c r="J193" s="811">
        <f>+I$6</f>
        <v>1.5</v>
      </c>
      <c r="K193" s="808">
        <f>$P$79+20*2</f>
        <v>940</v>
      </c>
      <c r="L193" s="809">
        <f>$O$79+20*2</f>
        <v>83.3</v>
      </c>
      <c r="M193" s="860">
        <f>+R$65</f>
        <v>7860</v>
      </c>
      <c r="N193" s="813">
        <f t="shared" si="175"/>
        <v>1.17453E-4</v>
      </c>
      <c r="O193" s="814">
        <v>2</v>
      </c>
      <c r="P193" s="811">
        <f t="shared" si="176"/>
        <v>1.8463611600000001</v>
      </c>
      <c r="Q193" s="978">
        <v>1.1000000000000001</v>
      </c>
      <c r="R193" s="505">
        <f t="shared" si="182"/>
        <v>1</v>
      </c>
      <c r="S193" s="815">
        <f t="shared" si="177"/>
        <v>4.0619945520000007</v>
      </c>
      <c r="T193" s="817" t="s">
        <v>115</v>
      </c>
      <c r="U193" s="946">
        <f>+S$65</f>
        <v>22500</v>
      </c>
      <c r="V193" s="927">
        <f t="shared" si="178"/>
        <v>6.8240753377917299E-5</v>
      </c>
      <c r="W193" s="811">
        <v>1</v>
      </c>
      <c r="X193" s="820">
        <v>1</v>
      </c>
      <c r="Y193" s="821">
        <f t="shared" si="179"/>
        <v>3.6927223200000001</v>
      </c>
      <c r="Z193" s="822">
        <f>S193*U193*V193*W193*0.35</f>
        <v>2.1828993515081212</v>
      </c>
      <c r="AA193" s="823">
        <v>2</v>
      </c>
      <c r="AC193" s="825">
        <v>2</v>
      </c>
      <c r="AD193" s="825">
        <v>2</v>
      </c>
      <c r="AE193" s="825">
        <v>2</v>
      </c>
      <c r="AF193" s="825">
        <v>2</v>
      </c>
      <c r="AG193" s="824"/>
      <c r="AH193" s="827"/>
      <c r="AI193" s="824"/>
      <c r="AJ193" s="828">
        <f t="shared" si="180"/>
        <v>3.6927223200000001</v>
      </c>
      <c r="AK193" s="862"/>
      <c r="AL193" s="828">
        <f t="shared" si="181"/>
        <v>2.1828993515081212</v>
      </c>
      <c r="AM193" s="862"/>
      <c r="AN193" s="824"/>
      <c r="AO193" s="827"/>
      <c r="AP193" s="936"/>
      <c r="AQ193" s="936"/>
      <c r="AR193" s="936"/>
      <c r="AT193" s="936"/>
      <c r="AU193" s="936"/>
      <c r="AV193" s="827"/>
      <c r="AW193" s="936"/>
      <c r="AX193" s="936"/>
      <c r="AY193" s="936"/>
      <c r="AZ193" s="936"/>
      <c r="BA193" s="936"/>
      <c r="BB193" s="936"/>
      <c r="BC193" s="936"/>
      <c r="BD193" s="936"/>
      <c r="BF193" s="830"/>
      <c r="BH193" s="936"/>
      <c r="CI193" s="830"/>
    </row>
    <row r="194" spans="1:87" s="747" customFormat="1" ht="13.9" customHeight="1" outlineLevel="1">
      <c r="A194" s="824"/>
      <c r="B194" s="931" t="s">
        <v>1395</v>
      </c>
      <c r="C194" s="931" t="str">
        <f>+H$6</f>
        <v>SGCC</v>
      </c>
      <c r="D194" s="930"/>
      <c r="E194" s="979"/>
      <c r="F194" s="809"/>
      <c r="G194" s="809"/>
      <c r="H194" s="457" t="s">
        <v>97</v>
      </c>
      <c r="I194" s="817"/>
      <c r="J194" s="811">
        <f>+I$6</f>
        <v>1.5</v>
      </c>
      <c r="K194" s="808">
        <f>+$M$79</f>
        <v>965</v>
      </c>
      <c r="L194" s="809">
        <f>L193</f>
        <v>83.3</v>
      </c>
      <c r="M194" s="860">
        <f>+R$65</f>
        <v>7860</v>
      </c>
      <c r="N194" s="813">
        <f t="shared" si="175"/>
        <v>1.2057674999999999E-4</v>
      </c>
      <c r="O194" s="814">
        <v>2</v>
      </c>
      <c r="P194" s="811">
        <f t="shared" si="176"/>
        <v>1.8954665099999999</v>
      </c>
      <c r="Q194" s="978">
        <v>1.1000000000000001</v>
      </c>
      <c r="R194" s="505">
        <f t="shared" si="182"/>
        <v>1</v>
      </c>
      <c r="S194" s="815">
        <f t="shared" si="177"/>
        <v>4.170026322</v>
      </c>
      <c r="T194" s="817" t="s">
        <v>115</v>
      </c>
      <c r="U194" s="946">
        <f>+S$65</f>
        <v>22500</v>
      </c>
      <c r="V194" s="927">
        <f t="shared" si="178"/>
        <v>6.8240753377917299E-5</v>
      </c>
      <c r="W194" s="811">
        <v>1</v>
      </c>
      <c r="X194" s="820">
        <v>1</v>
      </c>
      <c r="Y194" s="821">
        <f t="shared" si="179"/>
        <v>3.7909330199999998</v>
      </c>
      <c r="Z194" s="822">
        <f>S194*U194*V194*W194*0.35</f>
        <v>2.2409551853248262</v>
      </c>
      <c r="AA194" s="823">
        <v>2</v>
      </c>
      <c r="AC194" s="825">
        <v>2</v>
      </c>
      <c r="AD194" s="825">
        <v>2</v>
      </c>
      <c r="AE194" s="825">
        <v>2</v>
      </c>
      <c r="AF194" s="825">
        <v>2</v>
      </c>
      <c r="AG194" s="824"/>
      <c r="AH194" s="827"/>
      <c r="AI194" s="824"/>
      <c r="AJ194" s="828">
        <f t="shared" si="180"/>
        <v>3.7909330199999998</v>
      </c>
      <c r="AK194" s="862"/>
      <c r="AL194" s="828">
        <f t="shared" si="181"/>
        <v>2.2409551853248262</v>
      </c>
      <c r="AM194" s="862"/>
      <c r="AN194" s="824"/>
      <c r="AO194" s="827"/>
      <c r="AP194" s="936"/>
      <c r="AQ194" s="936"/>
      <c r="AR194" s="936"/>
      <c r="AT194" s="936"/>
      <c r="AU194" s="936"/>
      <c r="AV194" s="827"/>
      <c r="AW194" s="936"/>
      <c r="AX194" s="936"/>
      <c r="AY194" s="936"/>
      <c r="AZ194" s="936"/>
      <c r="BA194" s="936"/>
      <c r="BB194" s="936"/>
      <c r="BC194" s="936"/>
      <c r="BD194" s="936"/>
      <c r="BF194" s="830"/>
      <c r="BH194" s="936"/>
      <c r="CI194" s="830"/>
    </row>
    <row r="195" spans="1:87" s="747" customFormat="1" ht="13.9" customHeight="1" outlineLevel="1">
      <c r="A195" s="824"/>
      <c r="B195" s="983" t="s">
        <v>1396</v>
      </c>
      <c r="C195" s="983" t="str">
        <f>+H$6</f>
        <v>SGCC</v>
      </c>
      <c r="D195" s="985"/>
      <c r="E195" s="1006"/>
      <c r="F195" s="987"/>
      <c r="G195" s="987"/>
      <c r="H195" s="988" t="s">
        <v>97</v>
      </c>
      <c r="I195" s="998"/>
      <c r="J195" s="989">
        <f>+I$6</f>
        <v>1.5</v>
      </c>
      <c r="K195" s="990">
        <f>+K193</f>
        <v>940</v>
      </c>
      <c r="L195" s="987">
        <f>L193</f>
        <v>83.3</v>
      </c>
      <c r="M195" s="992">
        <f>+R$65</f>
        <v>7860</v>
      </c>
      <c r="N195" s="993">
        <f t="shared" si="175"/>
        <v>1.17453E-4</v>
      </c>
      <c r="O195" s="994">
        <f>IF(INT($M$79/1000-1)&lt;0,0,INT($M$79/1000-1))</f>
        <v>0</v>
      </c>
      <c r="P195" s="989">
        <f t="shared" si="176"/>
        <v>0</v>
      </c>
      <c r="Q195" s="995">
        <v>1.1000000000000001</v>
      </c>
      <c r="R195" s="996">
        <f t="shared" si="182"/>
        <v>1</v>
      </c>
      <c r="S195" s="1007">
        <f t="shared" si="177"/>
        <v>0</v>
      </c>
      <c r="T195" s="998" t="s">
        <v>115</v>
      </c>
      <c r="U195" s="999">
        <f>+S$65</f>
        <v>22500</v>
      </c>
      <c r="V195" s="1000">
        <f t="shared" si="178"/>
        <v>6.8240753377917299E-5</v>
      </c>
      <c r="W195" s="989">
        <v>1</v>
      </c>
      <c r="X195" s="1008">
        <v>1</v>
      </c>
      <c r="Y195" s="1009">
        <f t="shared" si="179"/>
        <v>0</v>
      </c>
      <c r="Z195" s="1003">
        <f t="shared" ref="Z195:Z217" si="183">S195*U195*V195*W195</f>
        <v>0</v>
      </c>
      <c r="AA195" s="1004">
        <v>2</v>
      </c>
      <c r="AC195" s="1005">
        <v>2</v>
      </c>
      <c r="AD195" s="1005">
        <v>2</v>
      </c>
      <c r="AE195" s="1005">
        <v>2</v>
      </c>
      <c r="AF195" s="1005">
        <v>2</v>
      </c>
      <c r="AG195" s="824"/>
      <c r="AH195" s="827"/>
      <c r="AI195" s="824"/>
      <c r="AJ195" s="828">
        <f t="shared" si="180"/>
        <v>0</v>
      </c>
      <c r="AK195" s="862"/>
      <c r="AL195" s="828">
        <f t="shared" si="181"/>
        <v>0</v>
      </c>
      <c r="AM195" s="862"/>
      <c r="AN195" s="824"/>
      <c r="AO195" s="827"/>
      <c r="AP195" s="936"/>
      <c r="AQ195" s="936"/>
      <c r="AR195" s="936"/>
      <c r="AT195" s="936"/>
      <c r="AU195" s="936"/>
      <c r="AV195" s="827"/>
      <c r="AW195" s="936"/>
      <c r="AX195" s="936"/>
      <c r="AY195" s="936"/>
      <c r="AZ195" s="936"/>
      <c r="BA195" s="936"/>
      <c r="BB195" s="936"/>
      <c r="BC195" s="936"/>
      <c r="BD195" s="936"/>
      <c r="BF195" s="830"/>
      <c r="BH195" s="936"/>
      <c r="CI195" s="830"/>
    </row>
    <row r="196" spans="1:87" s="370" customFormat="1" ht="15">
      <c r="B196" s="895" t="s">
        <v>1397</v>
      </c>
      <c r="C196" s="896"/>
      <c r="D196" s="897"/>
      <c r="E196" s="898"/>
      <c r="F196" s="899"/>
      <c r="G196" s="899"/>
      <c r="H196" s="900"/>
      <c r="I196" s="901"/>
      <c r="J196" s="902"/>
      <c r="K196" s="898"/>
      <c r="L196" s="899"/>
      <c r="M196" s="903"/>
      <c r="N196" s="904"/>
      <c r="O196" s="898"/>
      <c r="P196" s="902"/>
      <c r="Q196" s="905"/>
      <c r="R196" s="903"/>
      <c r="S196" s="905"/>
      <c r="T196" s="906"/>
      <c r="U196" s="906"/>
      <c r="V196" s="907"/>
      <c r="W196" s="908"/>
      <c r="X196" s="909"/>
      <c r="Y196" s="910">
        <f>SUM(Y197:Y199)</f>
        <v>0.23760000000000001</v>
      </c>
      <c r="Z196" s="910">
        <f>SUM(Z197:Z199)</f>
        <v>8.1015422410263405</v>
      </c>
      <c r="AA196" s="911"/>
      <c r="AB196" s="747"/>
      <c r="AC196" s="912"/>
      <c r="AD196" s="912"/>
      <c r="AE196" s="912"/>
      <c r="AF196" s="913"/>
      <c r="AH196" s="521"/>
      <c r="AJ196" s="483"/>
      <c r="AK196" s="522">
        <f>SUM(AJ197:AJ199)</f>
        <v>0.23760000000000001</v>
      </c>
      <c r="AL196" s="401"/>
      <c r="AM196" s="523">
        <f>SUM(AL197:AL199)</f>
        <v>8.1015422410263405</v>
      </c>
      <c r="AO196" s="521"/>
      <c r="AP196" s="369"/>
      <c r="AQ196" s="395"/>
      <c r="AR196" s="395"/>
      <c r="AS196" s="395"/>
      <c r="AT196" s="395"/>
      <c r="AU196" s="369"/>
      <c r="AV196" s="521"/>
      <c r="AW196" s="369"/>
      <c r="AX196" s="369"/>
      <c r="AY196" s="395"/>
      <c r="AZ196" s="395"/>
      <c r="BA196" s="395"/>
      <c r="BB196" s="395"/>
      <c r="BC196" s="395"/>
      <c r="BD196" s="395"/>
      <c r="BE196" s="395"/>
      <c r="BF196" s="524"/>
      <c r="BG196" s="369"/>
      <c r="BH196" s="369"/>
      <c r="BI196" s="369"/>
      <c r="BJ196" s="395"/>
      <c r="BK196" s="369"/>
      <c r="BL196" s="369"/>
      <c r="BM196" s="369"/>
      <c r="BN196" s="369"/>
      <c r="BO196" s="369"/>
      <c r="BP196" s="369"/>
      <c r="CH196" s="369"/>
      <c r="CI196" s="521"/>
    </row>
    <row r="197" spans="1:87" s="747" customFormat="1" ht="13.9" customHeight="1" outlineLevel="1">
      <c r="A197" s="824"/>
      <c r="B197" s="931" t="s">
        <v>1398</v>
      </c>
      <c r="C197" s="931" t="s">
        <v>1399</v>
      </c>
      <c r="D197" s="930"/>
      <c r="E197" s="841"/>
      <c r="F197" s="809"/>
      <c r="G197" s="809"/>
      <c r="H197" s="457" t="s">
        <v>103</v>
      </c>
      <c r="I197" s="817"/>
      <c r="J197" s="811"/>
      <c r="K197" s="808"/>
      <c r="L197" s="809"/>
      <c r="M197" s="860">
        <v>1</v>
      </c>
      <c r="N197" s="813">
        <f t="shared" si="175"/>
        <v>1</v>
      </c>
      <c r="O197" s="814">
        <f>($J$79*$L$79+8)*(O193+O195)</f>
        <v>160</v>
      </c>
      <c r="P197" s="811">
        <f t="shared" si="176"/>
        <v>160</v>
      </c>
      <c r="Q197" s="978">
        <v>1</v>
      </c>
      <c r="R197" s="505">
        <f t="shared" si="182"/>
        <v>1</v>
      </c>
      <c r="S197" s="815">
        <f t="shared" si="177"/>
        <v>320</v>
      </c>
      <c r="T197" s="817" t="s">
        <v>115</v>
      </c>
      <c r="U197" s="946">
        <v>150</v>
      </c>
      <c r="V197" s="927">
        <f t="shared" si="178"/>
        <v>6.8240753377917299E-5</v>
      </c>
      <c r="W197" s="811">
        <v>1</v>
      </c>
      <c r="X197" s="820">
        <v>0</v>
      </c>
      <c r="Y197" s="821">
        <f t="shared" si="179"/>
        <v>0</v>
      </c>
      <c r="Z197" s="822">
        <f>S197*U197*V197*W197*0.35</f>
        <v>1.1464446567490105</v>
      </c>
      <c r="AA197" s="823">
        <v>2</v>
      </c>
      <c r="AC197" s="825">
        <v>2</v>
      </c>
      <c r="AD197" s="825">
        <v>2</v>
      </c>
      <c r="AE197" s="825">
        <v>2</v>
      </c>
      <c r="AF197" s="825">
        <v>2</v>
      </c>
      <c r="AG197" s="824"/>
      <c r="AH197" s="827"/>
      <c r="AI197" s="824"/>
      <c r="AJ197" s="828">
        <f t="shared" si="180"/>
        <v>0</v>
      </c>
      <c r="AK197" s="862"/>
      <c r="AL197" s="828">
        <f t="shared" si="181"/>
        <v>1.1464446567490105</v>
      </c>
      <c r="AM197" s="862"/>
      <c r="AN197" s="824"/>
      <c r="AO197" s="827"/>
      <c r="AP197" s="936"/>
      <c r="AQ197" s="936"/>
      <c r="AR197" s="936"/>
      <c r="AT197" s="936"/>
      <c r="AU197" s="936"/>
      <c r="AV197" s="827"/>
      <c r="AW197" s="936"/>
      <c r="AX197" s="936"/>
      <c r="AY197" s="936"/>
      <c r="AZ197" s="936"/>
      <c r="BA197" s="936"/>
      <c r="BB197" s="936"/>
      <c r="BC197" s="936"/>
      <c r="BD197" s="936"/>
      <c r="BF197" s="830"/>
      <c r="BH197" s="936"/>
      <c r="CI197" s="830"/>
    </row>
    <row r="198" spans="1:87" s="747" customFormat="1" ht="13.9" customHeight="1" outlineLevel="1">
      <c r="A198" s="824"/>
      <c r="B198" s="931" t="s">
        <v>1400</v>
      </c>
      <c r="C198" s="931" t="s">
        <v>1401</v>
      </c>
      <c r="D198" s="930"/>
      <c r="E198" s="841"/>
      <c r="F198" s="809"/>
      <c r="G198" s="809"/>
      <c r="H198" s="457" t="s">
        <v>103</v>
      </c>
      <c r="I198" s="817"/>
      <c r="J198" s="811"/>
      <c r="K198" s="808"/>
      <c r="L198" s="809"/>
      <c r="M198" s="860">
        <v>1</v>
      </c>
      <c r="N198" s="813">
        <f t="shared" si="175"/>
        <v>1</v>
      </c>
      <c r="O198" s="814">
        <f>(4*O193+4*O194+2*O195)</f>
        <v>16</v>
      </c>
      <c r="P198" s="811">
        <f t="shared" si="176"/>
        <v>16</v>
      </c>
      <c r="Q198" s="978">
        <v>1</v>
      </c>
      <c r="R198" s="505">
        <f t="shared" si="182"/>
        <v>1</v>
      </c>
      <c r="S198" s="815">
        <f t="shared" si="177"/>
        <v>32</v>
      </c>
      <c r="T198" s="817" t="s">
        <v>115</v>
      </c>
      <c r="U198" s="946">
        <v>1000</v>
      </c>
      <c r="V198" s="927">
        <f t="shared" si="178"/>
        <v>6.8240753377917299E-5</v>
      </c>
      <c r="W198" s="811">
        <v>1</v>
      </c>
      <c r="X198" s="820">
        <v>0</v>
      </c>
      <c r="Y198" s="821">
        <f t="shared" si="179"/>
        <v>0</v>
      </c>
      <c r="Z198" s="822">
        <f>S198*U198*V198*W198*0.35</f>
        <v>0.76429643783267365</v>
      </c>
      <c r="AA198" s="823">
        <v>2</v>
      </c>
      <c r="AC198" s="825">
        <v>2</v>
      </c>
      <c r="AD198" s="825">
        <v>2</v>
      </c>
      <c r="AE198" s="825">
        <v>2</v>
      </c>
      <c r="AF198" s="825">
        <v>2</v>
      </c>
      <c r="AG198" s="824"/>
      <c r="AH198" s="827"/>
      <c r="AI198" s="824"/>
      <c r="AJ198" s="828">
        <f t="shared" si="180"/>
        <v>0</v>
      </c>
      <c r="AK198" s="862"/>
      <c r="AL198" s="828">
        <f t="shared" si="181"/>
        <v>0.76429643783267365</v>
      </c>
      <c r="AM198" s="862"/>
      <c r="AN198" s="824"/>
      <c r="AO198" s="827"/>
      <c r="AP198" s="936"/>
      <c r="AQ198" s="936"/>
      <c r="AR198" s="936"/>
      <c r="AT198" s="936"/>
      <c r="AU198" s="936"/>
      <c r="AV198" s="827"/>
      <c r="AW198" s="936"/>
      <c r="AX198" s="936"/>
      <c r="AY198" s="936"/>
      <c r="AZ198" s="936"/>
      <c r="BA198" s="936"/>
      <c r="BB198" s="936"/>
      <c r="BC198" s="936"/>
      <c r="BD198" s="936"/>
      <c r="BF198" s="830"/>
      <c r="BH198" s="936"/>
      <c r="CI198" s="830"/>
    </row>
    <row r="199" spans="1:87" s="747" customFormat="1" ht="13.9" customHeight="1" outlineLevel="1">
      <c r="B199" s="983" t="s">
        <v>1402</v>
      </c>
      <c r="C199" s="984" t="str">
        <f>+D$65</f>
        <v>3/8</v>
      </c>
      <c r="D199" s="985"/>
      <c r="E199" s="1010"/>
      <c r="F199" s="987"/>
      <c r="G199" s="987"/>
      <c r="H199" s="988" t="s">
        <v>100</v>
      </c>
      <c r="I199" s="998"/>
      <c r="J199" s="989"/>
      <c r="K199" s="990"/>
      <c r="L199" s="987"/>
      <c r="M199" s="992">
        <f>+L$6</f>
        <v>1</v>
      </c>
      <c r="N199" s="993">
        <f t="shared" si="175"/>
        <v>1</v>
      </c>
      <c r="O199" s="994">
        <f>($J$79*$L$79)*(O193+O195)</f>
        <v>144</v>
      </c>
      <c r="P199" s="989">
        <f t="shared" si="176"/>
        <v>144</v>
      </c>
      <c r="Q199" s="995">
        <v>1</v>
      </c>
      <c r="R199" s="996">
        <f t="shared" si="182"/>
        <v>1</v>
      </c>
      <c r="S199" s="1007">
        <f t="shared" si="177"/>
        <v>288</v>
      </c>
      <c r="T199" s="998" t="s">
        <v>115</v>
      </c>
      <c r="U199" s="999">
        <f>+J$65</f>
        <v>900</v>
      </c>
      <c r="V199" s="1000">
        <f t="shared" si="178"/>
        <v>6.8240753377917299E-5</v>
      </c>
      <c r="W199" s="989">
        <v>1</v>
      </c>
      <c r="X199" s="1008">
        <f>+I$65</f>
        <v>8.25E-4</v>
      </c>
      <c r="Y199" s="1009">
        <f t="shared" si="179"/>
        <v>0.23760000000000001</v>
      </c>
      <c r="Z199" s="1003">
        <f>S199*U199*V199*W199*0.35</f>
        <v>6.1908011464446568</v>
      </c>
      <c r="AA199" s="1004">
        <v>2</v>
      </c>
      <c r="AC199" s="1005">
        <v>2</v>
      </c>
      <c r="AD199" s="1005">
        <v>2</v>
      </c>
      <c r="AE199" s="1005">
        <v>2</v>
      </c>
      <c r="AF199" s="1005">
        <v>2</v>
      </c>
      <c r="AG199" s="824"/>
      <c r="AH199" s="827"/>
      <c r="AI199" s="824"/>
      <c r="AJ199" s="828">
        <f t="shared" si="180"/>
        <v>0.23760000000000001</v>
      </c>
      <c r="AK199" s="862"/>
      <c r="AL199" s="828">
        <f t="shared" si="181"/>
        <v>6.1908011464446568</v>
      </c>
      <c r="AM199" s="862"/>
      <c r="AN199" s="824"/>
      <c r="AO199" s="827"/>
      <c r="AP199" s="936"/>
      <c r="AQ199" s="936"/>
      <c r="AR199" s="936"/>
      <c r="AT199" s="936"/>
      <c r="AU199" s="936"/>
      <c r="AV199" s="827"/>
      <c r="AW199" s="936"/>
      <c r="AX199" s="936"/>
      <c r="AY199" s="936"/>
      <c r="AZ199" s="936"/>
      <c r="BA199" s="936"/>
      <c r="BB199" s="936"/>
      <c r="BC199" s="936"/>
      <c r="BD199" s="936"/>
      <c r="BF199" s="830"/>
      <c r="BH199" s="936"/>
      <c r="CI199" s="830"/>
    </row>
    <row r="200" spans="1:87" s="370" customFormat="1" ht="15">
      <c r="B200" s="895" t="s">
        <v>1403</v>
      </c>
      <c r="C200" s="896"/>
      <c r="D200" s="897"/>
      <c r="E200" s="898"/>
      <c r="F200" s="899"/>
      <c r="G200" s="899"/>
      <c r="H200" s="900"/>
      <c r="I200" s="901"/>
      <c r="J200" s="902"/>
      <c r="K200" s="898"/>
      <c r="L200" s="899"/>
      <c r="M200" s="903"/>
      <c r="N200" s="904"/>
      <c r="O200" s="898"/>
      <c r="P200" s="902"/>
      <c r="Q200" s="905"/>
      <c r="R200" s="903"/>
      <c r="S200" s="905"/>
      <c r="T200" s="906"/>
      <c r="U200" s="906"/>
      <c r="V200" s="907"/>
      <c r="W200" s="908"/>
      <c r="X200" s="909"/>
      <c r="Y200" s="910">
        <f>SUM(Y201:Y203)</f>
        <v>3.1047446571428563</v>
      </c>
      <c r="Z200" s="910">
        <f>SUM(Z201:Z203)</f>
        <v>16.117489281458987</v>
      </c>
      <c r="AA200" s="911"/>
      <c r="AB200" s="747"/>
      <c r="AC200" s="912"/>
      <c r="AD200" s="912"/>
      <c r="AE200" s="912"/>
      <c r="AF200" s="913"/>
      <c r="AH200" s="521"/>
      <c r="AJ200" s="483"/>
      <c r="AK200" s="522">
        <f>SUM(AJ201:AJ203)</f>
        <v>3.1047446571428563</v>
      </c>
      <c r="AL200" s="401"/>
      <c r="AM200" s="523">
        <f>SUM(AL201:AL203)</f>
        <v>16.117489281458987</v>
      </c>
      <c r="AO200" s="521"/>
      <c r="AP200" s="369"/>
      <c r="AQ200" s="395"/>
      <c r="AR200" s="395"/>
      <c r="AS200" s="395"/>
      <c r="AT200" s="395"/>
      <c r="AU200" s="369"/>
      <c r="AV200" s="521"/>
      <c r="AW200" s="369"/>
      <c r="AX200" s="369"/>
      <c r="AY200" s="395"/>
      <c r="AZ200" s="395"/>
      <c r="BA200" s="395"/>
      <c r="BB200" s="395"/>
      <c r="BC200" s="395"/>
      <c r="BD200" s="395"/>
      <c r="BE200" s="395"/>
      <c r="BF200" s="524"/>
      <c r="BG200" s="369"/>
      <c r="BH200" s="369"/>
      <c r="BI200" s="369"/>
      <c r="BJ200" s="395"/>
      <c r="BK200" s="369"/>
      <c r="BL200" s="369"/>
      <c r="BM200" s="369"/>
      <c r="BN200" s="369"/>
      <c r="BO200" s="369"/>
      <c r="BP200" s="369"/>
      <c r="CH200" s="369"/>
      <c r="CI200" s="521"/>
    </row>
    <row r="201" spans="1:87" s="747" customFormat="1" ht="13.9" customHeight="1" outlineLevel="1">
      <c r="B201" s="805" t="s">
        <v>1404</v>
      </c>
      <c r="C201" s="1011">
        <f>+Q$79</f>
        <v>0.625</v>
      </c>
      <c r="D201" s="930"/>
      <c r="E201" s="1012">
        <f>+$Q$79</f>
        <v>0.625</v>
      </c>
      <c r="F201" s="1013">
        <f>+$R$79</f>
        <v>0.8</v>
      </c>
      <c r="G201" s="1013"/>
      <c r="H201" s="457" t="s">
        <v>97</v>
      </c>
      <c r="I201" s="926">
        <f>+E201*25.4</f>
        <v>15.875</v>
      </c>
      <c r="J201" s="811">
        <f>F201</f>
        <v>0.8</v>
      </c>
      <c r="K201" s="808">
        <f>$P$79+300</f>
        <v>1200</v>
      </c>
      <c r="L201" s="809"/>
      <c r="M201" s="860">
        <f>+U$65</f>
        <v>8900</v>
      </c>
      <c r="N201" s="813">
        <f t="shared" si="175"/>
        <v>4.5483428571428608E-5</v>
      </c>
      <c r="O201" s="814">
        <f>1</f>
        <v>1</v>
      </c>
      <c r="P201" s="811">
        <f t="shared" si="176"/>
        <v>0.40480251428571462</v>
      </c>
      <c r="Q201" s="815">
        <v>1.05</v>
      </c>
      <c r="R201" s="505">
        <f t="shared" si="182"/>
        <v>1</v>
      </c>
      <c r="S201" s="815">
        <f t="shared" si="177"/>
        <v>0.85008528000000072</v>
      </c>
      <c r="T201" s="1014" t="s">
        <v>115</v>
      </c>
      <c r="U201" s="946">
        <f>+V$65</f>
        <v>207000</v>
      </c>
      <c r="V201" s="927">
        <f t="shared" si="178"/>
        <v>6.8240753377917299E-5</v>
      </c>
      <c r="W201" s="811">
        <v>1</v>
      </c>
      <c r="X201" s="820">
        <v>1</v>
      </c>
      <c r="Y201" s="821">
        <f t="shared" si="179"/>
        <v>0.80960502857142924</v>
      </c>
      <c r="Z201" s="822">
        <f>S201*U201*V201*W201*0.35</f>
        <v>4.2028578228470082</v>
      </c>
      <c r="AA201" s="823">
        <v>2</v>
      </c>
      <c r="AC201" s="825">
        <v>2</v>
      </c>
      <c r="AD201" s="825">
        <v>2</v>
      </c>
      <c r="AE201" s="825">
        <v>2</v>
      </c>
      <c r="AF201" s="825">
        <v>2</v>
      </c>
      <c r="AG201" s="824"/>
      <c r="AH201" s="827"/>
      <c r="AI201" s="824"/>
      <c r="AJ201" s="828">
        <f t="shared" si="180"/>
        <v>0.80960502857142924</v>
      </c>
      <c r="AK201" s="862"/>
      <c r="AL201" s="828">
        <f t="shared" si="181"/>
        <v>4.2028578228470082</v>
      </c>
      <c r="AM201" s="862"/>
      <c r="AN201" s="824"/>
      <c r="AO201" s="827"/>
      <c r="AP201" s="936"/>
      <c r="AQ201" s="936"/>
      <c r="AR201" s="936"/>
      <c r="AT201" s="936"/>
      <c r="AU201" s="936"/>
      <c r="AV201" s="827"/>
      <c r="AW201" s="936"/>
      <c r="AX201" s="936"/>
      <c r="AY201" s="936"/>
      <c r="AZ201" s="936"/>
      <c r="BA201" s="936"/>
      <c r="BB201" s="936"/>
      <c r="BC201" s="936"/>
      <c r="BD201" s="936"/>
      <c r="BF201" s="830"/>
      <c r="BH201" s="936"/>
      <c r="CI201" s="830"/>
    </row>
    <row r="202" spans="1:87" s="747" customFormat="1" ht="13.9" customHeight="1" outlineLevel="1">
      <c r="B202" s="805" t="s">
        <v>1405</v>
      </c>
      <c r="C202" s="1011">
        <f>Q$79</f>
        <v>0.625</v>
      </c>
      <c r="D202" s="930"/>
      <c r="E202" s="1012">
        <f>+$S$79</f>
        <v>1.125</v>
      </c>
      <c r="F202" s="1013">
        <f>+$T$79</f>
        <v>1.2</v>
      </c>
      <c r="G202" s="1013"/>
      <c r="H202" s="457" t="s">
        <v>97</v>
      </c>
      <c r="I202" s="926">
        <f>+E202*25.4</f>
        <v>28.574999999999999</v>
      </c>
      <c r="J202" s="811">
        <f>F202</f>
        <v>1.2</v>
      </c>
      <c r="K202" s="808">
        <f>$P$79+300</f>
        <v>1200</v>
      </c>
      <c r="L202" s="809"/>
      <c r="M202" s="860">
        <f>+U$65</f>
        <v>8900</v>
      </c>
      <c r="N202" s="813">
        <f t="shared" si="175"/>
        <v>1.2389142857142851E-4</v>
      </c>
      <c r="O202" s="814">
        <f>1</f>
        <v>1</v>
      </c>
      <c r="P202" s="811">
        <f t="shared" si="176"/>
        <v>1.1026337142857137</v>
      </c>
      <c r="Q202" s="815">
        <v>1.05</v>
      </c>
      <c r="R202" s="505">
        <f t="shared" si="182"/>
        <v>1</v>
      </c>
      <c r="S202" s="815">
        <f t="shared" si="177"/>
        <v>2.315530799999999</v>
      </c>
      <c r="T202" s="1014" t="str">
        <f>T190</f>
        <v>Rp</v>
      </c>
      <c r="U202" s="946">
        <f>+V$65</f>
        <v>207000</v>
      </c>
      <c r="V202" s="927">
        <f t="shared" si="178"/>
        <v>6.8240753377917299E-5</v>
      </c>
      <c r="W202" s="811">
        <v>1</v>
      </c>
      <c r="X202" s="820">
        <v>1</v>
      </c>
      <c r="Y202" s="821">
        <f t="shared" si="179"/>
        <v>2.2052674285714273</v>
      </c>
      <c r="Z202" s="822">
        <f>S202*U202*V202*W202*0.35</f>
        <v>11.448082875665342</v>
      </c>
      <c r="AA202" s="823">
        <v>2</v>
      </c>
      <c r="AC202" s="825">
        <v>2</v>
      </c>
      <c r="AD202" s="825">
        <v>2</v>
      </c>
      <c r="AE202" s="825">
        <v>2</v>
      </c>
      <c r="AF202" s="825">
        <v>2</v>
      </c>
      <c r="AG202" s="824"/>
      <c r="AH202" s="827"/>
      <c r="AI202" s="824"/>
      <c r="AJ202" s="828">
        <f t="shared" si="180"/>
        <v>2.2052674285714273</v>
      </c>
      <c r="AK202" s="862"/>
      <c r="AL202" s="828">
        <f t="shared" si="181"/>
        <v>11.448082875665342</v>
      </c>
      <c r="AM202" s="862"/>
      <c r="AN202" s="824"/>
      <c r="AO202" s="827"/>
      <c r="AP202" s="936"/>
      <c r="AQ202" s="936"/>
      <c r="AR202" s="936"/>
      <c r="AT202" s="936"/>
      <c r="AU202" s="936"/>
      <c r="AV202" s="827"/>
      <c r="AW202" s="936"/>
      <c r="AX202" s="936"/>
      <c r="AY202" s="936"/>
      <c r="AZ202" s="936"/>
      <c r="BA202" s="936"/>
      <c r="BB202" s="936"/>
      <c r="BC202" s="936"/>
      <c r="BD202" s="936"/>
      <c r="BF202" s="830"/>
      <c r="BH202" s="936"/>
      <c r="CI202" s="830"/>
    </row>
    <row r="203" spans="1:87" s="747" customFormat="1" ht="13.9" customHeight="1" outlineLevel="1">
      <c r="B203" s="1015" t="s">
        <v>1406</v>
      </c>
      <c r="C203" s="1016" t="str">
        <f>+D65</f>
        <v>3/8</v>
      </c>
      <c r="D203" s="985"/>
      <c r="E203" s="1017">
        <f>+$I$79/25.4</f>
        <v>0.37499999999999994</v>
      </c>
      <c r="F203" s="1018">
        <v>0.6</v>
      </c>
      <c r="G203" s="1018"/>
      <c r="H203" s="988" t="s">
        <v>97</v>
      </c>
      <c r="I203" s="1019">
        <f>+E203*25.4</f>
        <v>9.5249999999999986</v>
      </c>
      <c r="J203" s="989">
        <f>F203</f>
        <v>0.6</v>
      </c>
      <c r="K203" s="990">
        <v>50</v>
      </c>
      <c r="L203" s="987"/>
      <c r="M203" s="992">
        <f>+O$65</f>
        <v>8900</v>
      </c>
      <c r="N203" s="993">
        <f t="shared" si="175"/>
        <v>8.414999999999998E-7</v>
      </c>
      <c r="O203" s="994">
        <f>$N$79*2</f>
        <v>6</v>
      </c>
      <c r="P203" s="989">
        <f t="shared" si="176"/>
        <v>4.4936099999999986E-2</v>
      </c>
      <c r="Q203" s="1007">
        <v>1.05</v>
      </c>
      <c r="R203" s="996">
        <f t="shared" si="182"/>
        <v>1</v>
      </c>
      <c r="S203" s="1007">
        <f t="shared" si="177"/>
        <v>9.4365809999999981E-2</v>
      </c>
      <c r="T203" s="1020" t="str">
        <f>T191</f>
        <v>Rp</v>
      </c>
      <c r="U203" s="999">
        <f>+P$65</f>
        <v>207000</v>
      </c>
      <c r="V203" s="1000">
        <f t="shared" si="178"/>
        <v>6.8240753377917299E-5</v>
      </c>
      <c r="W203" s="989">
        <v>1</v>
      </c>
      <c r="X203" s="1008">
        <v>1</v>
      </c>
      <c r="Y203" s="1009">
        <f t="shared" si="179"/>
        <v>8.9872199999999972E-2</v>
      </c>
      <c r="Z203" s="1003">
        <f>S203*U203*V203*W203*0.35</f>
        <v>0.46654858294663559</v>
      </c>
      <c r="AA203" s="1004">
        <v>2</v>
      </c>
      <c r="AC203" s="1005">
        <v>2</v>
      </c>
      <c r="AD203" s="1005">
        <v>2</v>
      </c>
      <c r="AE203" s="1005">
        <v>2</v>
      </c>
      <c r="AF203" s="1005">
        <v>2</v>
      </c>
      <c r="AG203" s="824"/>
      <c r="AH203" s="827"/>
      <c r="AI203" s="824"/>
      <c r="AJ203" s="828">
        <f t="shared" si="180"/>
        <v>8.9872199999999972E-2</v>
      </c>
      <c r="AK203" s="862"/>
      <c r="AL203" s="828">
        <f t="shared" si="181"/>
        <v>0.46654858294663559</v>
      </c>
      <c r="AM203" s="862"/>
      <c r="AN203" s="824"/>
      <c r="AO203" s="827"/>
      <c r="AP203" s="936"/>
      <c r="AQ203" s="936"/>
      <c r="AR203" s="936"/>
      <c r="AT203" s="936"/>
      <c r="AU203" s="936"/>
      <c r="AV203" s="827"/>
      <c r="AW203" s="936"/>
      <c r="AX203" s="936"/>
      <c r="AY203" s="936"/>
      <c r="AZ203" s="936"/>
      <c r="BA203" s="936"/>
      <c r="BB203" s="936"/>
      <c r="BC203" s="936"/>
      <c r="BD203" s="936"/>
      <c r="BF203" s="830"/>
      <c r="BH203" s="936"/>
      <c r="CI203" s="830"/>
    </row>
    <row r="204" spans="1:87" s="370" customFormat="1" ht="15">
      <c r="B204" s="895" t="s">
        <v>1407</v>
      </c>
      <c r="C204" s="896"/>
      <c r="D204" s="897"/>
      <c r="E204" s="898"/>
      <c r="F204" s="899"/>
      <c r="G204" s="899"/>
      <c r="H204" s="900"/>
      <c r="I204" s="901"/>
      <c r="J204" s="902"/>
      <c r="K204" s="898"/>
      <c r="L204" s="899"/>
      <c r="M204" s="903"/>
      <c r="N204" s="904"/>
      <c r="O204" s="898"/>
      <c r="P204" s="902"/>
      <c r="Q204" s="905"/>
      <c r="R204" s="903"/>
      <c r="S204" s="905"/>
      <c r="T204" s="906"/>
      <c r="U204" s="906"/>
      <c r="V204" s="907"/>
      <c r="W204" s="908"/>
      <c r="X204" s="909"/>
      <c r="Y204" s="910">
        <f>SUM(Y205:Y212)</f>
        <v>0.33587204220291206</v>
      </c>
      <c r="Z204" s="910">
        <f>SUM(Z205:Z212)</f>
        <v>11.918446329222386</v>
      </c>
      <c r="AA204" s="911"/>
      <c r="AB204" s="747"/>
      <c r="AC204" s="912"/>
      <c r="AD204" s="912"/>
      <c r="AE204" s="912"/>
      <c r="AF204" s="913"/>
      <c r="AH204" s="521"/>
      <c r="AJ204" s="483"/>
      <c r="AK204" s="522">
        <f>SUM(AJ205:AJ212)</f>
        <v>0.33587204220291206</v>
      </c>
      <c r="AL204" s="401"/>
      <c r="AM204" s="523">
        <f>SUM(AL205:AL212)</f>
        <v>11.918446329222386</v>
      </c>
      <c r="AO204" s="521"/>
      <c r="AP204" s="369"/>
      <c r="AQ204" s="395"/>
      <c r="AR204" s="395"/>
      <c r="AS204" s="395"/>
      <c r="AT204" s="395"/>
      <c r="AU204" s="369"/>
      <c r="AV204" s="521"/>
      <c r="AW204" s="369"/>
      <c r="AX204" s="369"/>
      <c r="AY204" s="395"/>
      <c r="AZ204" s="395"/>
      <c r="BA204" s="395"/>
      <c r="BB204" s="395"/>
      <c r="BC204" s="395"/>
      <c r="BD204" s="395"/>
      <c r="BE204" s="395"/>
      <c r="BF204" s="524"/>
      <c r="BG204" s="369"/>
      <c r="BH204" s="369"/>
      <c r="BI204" s="369"/>
      <c r="BJ204" s="395"/>
      <c r="BK204" s="369"/>
      <c r="BL204" s="369"/>
      <c r="BM204" s="369"/>
      <c r="BN204" s="369"/>
      <c r="BO204" s="369"/>
      <c r="BP204" s="369"/>
      <c r="CH204" s="369"/>
      <c r="CI204" s="521"/>
    </row>
    <row r="205" spans="1:87" s="747" customFormat="1" ht="13.9" customHeight="1" outlineLevel="1">
      <c r="B205" s="805" t="s">
        <v>1408</v>
      </c>
      <c r="C205" s="805" t="s">
        <v>1409</v>
      </c>
      <c r="D205" s="1021"/>
      <c r="E205" s="1012">
        <v>0.25</v>
      </c>
      <c r="F205" s="977"/>
      <c r="G205" s="977"/>
      <c r="H205" s="457" t="s">
        <v>732</v>
      </c>
      <c r="I205" s="1022"/>
      <c r="J205" s="811"/>
      <c r="K205" s="808"/>
      <c r="L205" s="809">
        <f>22/7*E205*25.4</f>
        <v>19.957142857142856</v>
      </c>
      <c r="M205" s="1023">
        <f>0.000151332913885579*1000</f>
        <v>0.15133291388557901</v>
      </c>
      <c r="N205" s="813">
        <f t="shared" si="175"/>
        <v>1.9957142857142854E-2</v>
      </c>
      <c r="O205" s="814">
        <v>0</v>
      </c>
      <c r="P205" s="1024">
        <f t="shared" si="176"/>
        <v>0</v>
      </c>
      <c r="Q205" s="815">
        <v>1</v>
      </c>
      <c r="R205" s="505">
        <f t="shared" si="182"/>
        <v>1</v>
      </c>
      <c r="S205" s="815">
        <f t="shared" si="177"/>
        <v>0</v>
      </c>
      <c r="T205" s="1014" t="s">
        <v>115</v>
      </c>
      <c r="U205" s="946">
        <v>6250000</v>
      </c>
      <c r="V205" s="927">
        <f t="shared" si="178"/>
        <v>6.8240753377917299E-5</v>
      </c>
      <c r="W205" s="811">
        <v>1</v>
      </c>
      <c r="X205" s="820">
        <v>1</v>
      </c>
      <c r="Y205" s="821">
        <f t="shared" si="179"/>
        <v>0</v>
      </c>
      <c r="Z205" s="822">
        <f t="shared" ref="Z205:Z212" si="184">S205*U205*V205*W205*0.35</f>
        <v>0</v>
      </c>
      <c r="AA205" s="823">
        <v>2</v>
      </c>
      <c r="AC205" s="825">
        <v>2</v>
      </c>
      <c r="AD205" s="825">
        <v>2</v>
      </c>
      <c r="AE205" s="825">
        <v>2</v>
      </c>
      <c r="AF205" s="825">
        <v>2</v>
      </c>
      <c r="AG205" s="824"/>
      <c r="AH205" s="827"/>
      <c r="AI205" s="824"/>
      <c r="AJ205" s="828">
        <f t="shared" si="180"/>
        <v>0</v>
      </c>
      <c r="AK205" s="862"/>
      <c r="AL205" s="828">
        <f t="shared" si="181"/>
        <v>0</v>
      </c>
      <c r="AM205" s="862"/>
      <c r="AN205" s="824"/>
      <c r="AO205" s="827"/>
      <c r="AP205" s="936"/>
      <c r="AQ205" s="936"/>
      <c r="AR205" s="936"/>
      <c r="AT205" s="936"/>
      <c r="AU205" s="936"/>
      <c r="AV205" s="827"/>
      <c r="AW205" s="936"/>
      <c r="AX205" s="936"/>
      <c r="AY205" s="936"/>
      <c r="AZ205" s="936"/>
      <c r="BA205" s="936"/>
      <c r="BB205" s="936"/>
      <c r="BC205" s="936"/>
      <c r="BD205" s="936"/>
      <c r="BF205" s="830"/>
      <c r="BH205" s="936"/>
      <c r="CI205" s="830"/>
    </row>
    <row r="206" spans="1:87" s="747" customFormat="1" ht="13.9" customHeight="1" outlineLevel="1">
      <c r="B206" s="805" t="s">
        <v>1410</v>
      </c>
      <c r="C206" s="805" t="s">
        <v>1411</v>
      </c>
      <c r="D206" s="1021"/>
      <c r="E206" s="1012">
        <f>+$I$79/25.4</f>
        <v>0.37499999999999994</v>
      </c>
      <c r="F206" s="977"/>
      <c r="G206" s="977"/>
      <c r="H206" s="457" t="s">
        <v>732</v>
      </c>
      <c r="I206" s="1022"/>
      <c r="J206" s="811"/>
      <c r="K206" s="808"/>
      <c r="L206" s="809">
        <f>22/7*E206*25.4</f>
        <v>29.93571428571428</v>
      </c>
      <c r="M206" s="1023">
        <f>0.0000598920486813478*1000</f>
        <v>5.9892048681347801E-2</v>
      </c>
      <c r="N206" s="813">
        <f t="shared" si="175"/>
        <v>2.9935714285714281E-2</v>
      </c>
      <c r="O206" s="814">
        <f>O192</f>
        <v>69</v>
      </c>
      <c r="P206" s="1024">
        <f t="shared" si="176"/>
        <v>0.12371087675445339</v>
      </c>
      <c r="Q206" s="815">
        <v>1</v>
      </c>
      <c r="R206" s="505">
        <f t="shared" si="182"/>
        <v>1</v>
      </c>
      <c r="S206" s="815">
        <f t="shared" si="177"/>
        <v>0.24742175350890677</v>
      </c>
      <c r="T206" s="1014" t="s">
        <v>115</v>
      </c>
      <c r="U206" s="946">
        <v>875000</v>
      </c>
      <c r="V206" s="927">
        <f t="shared" si="178"/>
        <v>6.8240753377917299E-5</v>
      </c>
      <c r="W206" s="811">
        <v>1</v>
      </c>
      <c r="X206" s="820">
        <v>1</v>
      </c>
      <c r="Y206" s="821">
        <f t="shared" si="179"/>
        <v>0.24742175350890677</v>
      </c>
      <c r="Z206" s="822">
        <f t="shared" si="184"/>
        <v>5.1708006013445269</v>
      </c>
      <c r="AA206" s="823">
        <v>2</v>
      </c>
      <c r="AC206" s="825">
        <v>2</v>
      </c>
      <c r="AD206" s="825">
        <v>2</v>
      </c>
      <c r="AE206" s="825">
        <v>2</v>
      </c>
      <c r="AF206" s="825">
        <v>2</v>
      </c>
      <c r="AG206" s="824"/>
      <c r="AH206" s="827"/>
      <c r="AI206" s="824"/>
      <c r="AJ206" s="828">
        <f t="shared" si="180"/>
        <v>0.24742175350890677</v>
      </c>
      <c r="AK206" s="862"/>
      <c r="AL206" s="828">
        <f t="shared" si="181"/>
        <v>5.1708006013445269</v>
      </c>
      <c r="AM206" s="862"/>
      <c r="AN206" s="824"/>
      <c r="AO206" s="827"/>
      <c r="AP206" s="936"/>
      <c r="AQ206" s="936"/>
      <c r="AR206" s="936"/>
      <c r="AT206" s="936"/>
      <c r="AU206" s="936"/>
      <c r="AV206" s="827"/>
      <c r="AW206" s="936"/>
      <c r="AX206" s="936"/>
      <c r="AY206" s="936"/>
      <c r="AZ206" s="936"/>
      <c r="BA206" s="936"/>
      <c r="BB206" s="936"/>
      <c r="BC206" s="936"/>
      <c r="BD206" s="936"/>
      <c r="BF206" s="830"/>
      <c r="BH206" s="936"/>
      <c r="CI206" s="830"/>
    </row>
    <row r="207" spans="1:87" s="747" customFormat="1" ht="13.9" customHeight="1" outlineLevel="1">
      <c r="B207" s="805" t="s">
        <v>1412</v>
      </c>
      <c r="C207" s="805" t="s">
        <v>1411</v>
      </c>
      <c r="D207" s="1021"/>
      <c r="E207" s="1012">
        <f>+$I$79/25.4</f>
        <v>0.37499999999999994</v>
      </c>
      <c r="F207" s="977"/>
      <c r="G207" s="977"/>
      <c r="H207" s="457" t="s">
        <v>732</v>
      </c>
      <c r="I207" s="1022"/>
      <c r="J207" s="811"/>
      <c r="K207" s="808"/>
      <c r="L207" s="809">
        <f>22/7*E207*25.4</f>
        <v>29.93571428571428</v>
      </c>
      <c r="M207" s="1023">
        <f>0.0000598920486813478*1000</f>
        <v>5.9892048681347801E-2</v>
      </c>
      <c r="N207" s="813">
        <f t="shared" si="175"/>
        <v>2.9935714285714281E-2</v>
      </c>
      <c r="O207" s="814">
        <f>+$N$79*2</f>
        <v>6</v>
      </c>
      <c r="P207" s="1024">
        <f t="shared" si="176"/>
        <v>1.0757467543865511E-2</v>
      </c>
      <c r="Q207" s="815">
        <v>1</v>
      </c>
      <c r="R207" s="505">
        <f t="shared" si="182"/>
        <v>1</v>
      </c>
      <c r="S207" s="815">
        <f t="shared" si="177"/>
        <v>2.1514935087731023E-2</v>
      </c>
      <c r="T207" s="1014" t="s">
        <v>115</v>
      </c>
      <c r="U207" s="946">
        <v>875000</v>
      </c>
      <c r="V207" s="927">
        <f t="shared" si="178"/>
        <v>6.8240753377917299E-5</v>
      </c>
      <c r="W207" s="811">
        <v>1</v>
      </c>
      <c r="X207" s="820">
        <v>1</v>
      </c>
      <c r="Y207" s="821">
        <f t="shared" si="179"/>
        <v>2.1514935087731023E-2</v>
      </c>
      <c r="Z207" s="822">
        <f t="shared" si="184"/>
        <v>0.44963483489952405</v>
      </c>
      <c r="AA207" s="823">
        <v>2</v>
      </c>
      <c r="AC207" s="825">
        <v>2</v>
      </c>
      <c r="AD207" s="825">
        <v>2</v>
      </c>
      <c r="AE207" s="825">
        <v>2</v>
      </c>
      <c r="AF207" s="825">
        <v>2</v>
      </c>
      <c r="AG207" s="824"/>
      <c r="AH207" s="827"/>
      <c r="AI207" s="824"/>
      <c r="AJ207" s="828">
        <f t="shared" si="180"/>
        <v>2.1514935087731023E-2</v>
      </c>
      <c r="AK207" s="862"/>
      <c r="AL207" s="828">
        <f t="shared" si="181"/>
        <v>0.44963483489952405</v>
      </c>
      <c r="AM207" s="862"/>
      <c r="AN207" s="824"/>
      <c r="AO207" s="827"/>
      <c r="AP207" s="936"/>
      <c r="AQ207" s="936"/>
      <c r="AR207" s="936"/>
      <c r="AT207" s="936"/>
      <c r="AU207" s="936"/>
      <c r="AV207" s="827"/>
      <c r="AW207" s="936"/>
      <c r="AX207" s="936"/>
      <c r="AY207" s="936"/>
      <c r="AZ207" s="936"/>
      <c r="BA207" s="936"/>
      <c r="BB207" s="936"/>
      <c r="BC207" s="936"/>
      <c r="BD207" s="936"/>
      <c r="BF207" s="830"/>
      <c r="BH207" s="936"/>
      <c r="CI207" s="830"/>
    </row>
    <row r="208" spans="1:87" s="747" customFormat="1" ht="13.9" customHeight="1" outlineLevel="1">
      <c r="B208" s="805" t="s">
        <v>1413</v>
      </c>
      <c r="C208" s="805" t="s">
        <v>1411</v>
      </c>
      <c r="D208" s="1021"/>
      <c r="E208" s="1012">
        <f>+E201</f>
        <v>0.625</v>
      </c>
      <c r="F208" s="977"/>
      <c r="G208" s="977"/>
      <c r="H208" s="457" t="s">
        <v>732</v>
      </c>
      <c r="I208" s="1022"/>
      <c r="J208" s="811"/>
      <c r="K208" s="808"/>
      <c r="L208" s="809">
        <f>22/7*E208*25.4</f>
        <v>49.892857142857139</v>
      </c>
      <c r="M208" s="1023">
        <f>0.0000598920486813478*1000</f>
        <v>5.9892048681347801E-2</v>
      </c>
      <c r="N208" s="813">
        <f t="shared" si="175"/>
        <v>4.9892857142857142E-2</v>
      </c>
      <c r="O208" s="814">
        <f>4</f>
        <v>4</v>
      </c>
      <c r="P208" s="1024">
        <f t="shared" si="176"/>
        <v>1.1952741715406124E-2</v>
      </c>
      <c r="Q208" s="815">
        <v>1</v>
      </c>
      <c r="R208" s="505">
        <f t="shared" si="182"/>
        <v>1</v>
      </c>
      <c r="S208" s="815">
        <f t="shared" si="177"/>
        <v>2.3905483430812249E-2</v>
      </c>
      <c r="T208" s="1014" t="s">
        <v>115</v>
      </c>
      <c r="U208" s="946">
        <v>875000</v>
      </c>
      <c r="V208" s="927">
        <f t="shared" si="178"/>
        <v>6.8240753377917299E-5</v>
      </c>
      <c r="W208" s="811">
        <v>1</v>
      </c>
      <c r="X208" s="820">
        <v>1</v>
      </c>
      <c r="Y208" s="821">
        <f t="shared" si="179"/>
        <v>2.3905483430812249E-2</v>
      </c>
      <c r="Z208" s="822">
        <f t="shared" si="184"/>
        <v>0.49959426099947124</v>
      </c>
      <c r="AA208" s="823">
        <v>2</v>
      </c>
      <c r="AC208" s="825">
        <v>2</v>
      </c>
      <c r="AD208" s="825">
        <v>2</v>
      </c>
      <c r="AE208" s="825">
        <v>2</v>
      </c>
      <c r="AF208" s="825">
        <v>2</v>
      </c>
      <c r="AG208" s="824"/>
      <c r="AH208" s="827"/>
      <c r="AI208" s="824"/>
      <c r="AJ208" s="828">
        <f t="shared" si="180"/>
        <v>2.3905483430812249E-2</v>
      </c>
      <c r="AK208" s="862"/>
      <c r="AL208" s="828">
        <f t="shared" si="181"/>
        <v>0.49959426099947124</v>
      </c>
      <c r="AM208" s="862"/>
      <c r="AN208" s="824"/>
      <c r="AO208" s="827"/>
      <c r="AP208" s="936"/>
      <c r="AQ208" s="936"/>
      <c r="AR208" s="936"/>
      <c r="AT208" s="936"/>
      <c r="AU208" s="936"/>
      <c r="AV208" s="827"/>
      <c r="AW208" s="936"/>
      <c r="AX208" s="936"/>
      <c r="AY208" s="936"/>
      <c r="AZ208" s="936"/>
      <c r="BA208" s="936"/>
      <c r="BB208" s="936"/>
      <c r="BC208" s="936"/>
      <c r="BD208" s="936"/>
      <c r="BF208" s="830"/>
      <c r="BH208" s="936"/>
      <c r="CI208" s="830"/>
    </row>
    <row r="209" spans="2:87" s="747" customFormat="1" ht="13.9" customHeight="1" outlineLevel="1">
      <c r="B209" s="805" t="s">
        <v>1414</v>
      </c>
      <c r="C209" s="805" t="s">
        <v>1411</v>
      </c>
      <c r="D209" s="1021"/>
      <c r="E209" s="1012">
        <f>+E202</f>
        <v>1.125</v>
      </c>
      <c r="F209" s="977"/>
      <c r="G209" s="977"/>
      <c r="H209" s="457" t="s">
        <v>732</v>
      </c>
      <c r="I209" s="1022"/>
      <c r="J209" s="811"/>
      <c r="K209" s="808"/>
      <c r="L209" s="809">
        <f>22/7*E209*25.4</f>
        <v>89.80714285714285</v>
      </c>
      <c r="M209" s="1023">
        <f>0.0000598920486813478*1000</f>
        <v>5.9892048681347801E-2</v>
      </c>
      <c r="N209" s="813">
        <f t="shared" si="175"/>
        <v>8.9807142857142849E-2</v>
      </c>
      <c r="O209" s="814">
        <f>4</f>
        <v>4</v>
      </c>
      <c r="P209" s="1024">
        <f t="shared" si="176"/>
        <v>2.1514935087731023E-2</v>
      </c>
      <c r="Q209" s="815">
        <v>1</v>
      </c>
      <c r="R209" s="505">
        <f t="shared" si="182"/>
        <v>1</v>
      </c>
      <c r="S209" s="815">
        <f t="shared" si="177"/>
        <v>4.3029870175462046E-2</v>
      </c>
      <c r="T209" s="1014" t="s">
        <v>115</v>
      </c>
      <c r="U209" s="946">
        <v>875000</v>
      </c>
      <c r="V209" s="927">
        <f t="shared" si="178"/>
        <v>6.8240753377917299E-5</v>
      </c>
      <c r="W209" s="811">
        <v>1</v>
      </c>
      <c r="X209" s="820">
        <v>1</v>
      </c>
      <c r="Y209" s="821">
        <f t="shared" si="179"/>
        <v>4.3029870175462046E-2</v>
      </c>
      <c r="Z209" s="822">
        <f t="shared" si="184"/>
        <v>0.8992696697990481</v>
      </c>
      <c r="AA209" s="823">
        <v>2</v>
      </c>
      <c r="AC209" s="825">
        <v>2</v>
      </c>
      <c r="AD209" s="825">
        <v>2</v>
      </c>
      <c r="AE209" s="825">
        <v>2</v>
      </c>
      <c r="AF209" s="825">
        <v>2</v>
      </c>
      <c r="AG209" s="824"/>
      <c r="AH209" s="827"/>
      <c r="AI209" s="824"/>
      <c r="AJ209" s="828">
        <f t="shared" si="180"/>
        <v>4.3029870175462046E-2</v>
      </c>
      <c r="AK209" s="862"/>
      <c r="AL209" s="828">
        <f t="shared" si="181"/>
        <v>0.8992696697990481</v>
      </c>
      <c r="AM209" s="862"/>
      <c r="AN209" s="824"/>
      <c r="AO209" s="827"/>
      <c r="AP209" s="936"/>
      <c r="AQ209" s="936"/>
      <c r="AR209" s="936"/>
      <c r="AT209" s="936"/>
      <c r="AU209" s="936"/>
      <c r="AV209" s="827"/>
      <c r="AW209" s="936"/>
      <c r="AX209" s="936"/>
      <c r="AY209" s="936"/>
      <c r="AZ209" s="936"/>
      <c r="BA209" s="936"/>
      <c r="BB209" s="936"/>
      <c r="BC209" s="936"/>
      <c r="BD209" s="936"/>
      <c r="BF209" s="830"/>
      <c r="BH209" s="936"/>
      <c r="CI209" s="830"/>
    </row>
    <row r="210" spans="2:87" s="747" customFormat="1" ht="13.9" customHeight="1" outlineLevel="1">
      <c r="B210" s="805" t="s">
        <v>1415</v>
      </c>
      <c r="C210" s="805" t="s">
        <v>1416</v>
      </c>
      <c r="D210" s="1021"/>
      <c r="E210" s="1012"/>
      <c r="F210" s="977"/>
      <c r="G210" s="977"/>
      <c r="H210" s="457" t="s">
        <v>732</v>
      </c>
      <c r="I210" s="1022"/>
      <c r="J210" s="811"/>
      <c r="K210" s="808"/>
      <c r="L210" s="809">
        <f>SUMPRODUCT(L205:L209,O205:O209)</f>
        <v>2803.9785714285708</v>
      </c>
      <c r="M210" s="1023">
        <f>0.000046713473567181*1000</f>
        <v>4.6713473567181002E-2</v>
      </c>
      <c r="N210" s="813">
        <f t="shared" si="175"/>
        <v>2.803978571428571</v>
      </c>
      <c r="O210" s="814">
        <v>1</v>
      </c>
      <c r="P210" s="1024">
        <f t="shared" si="176"/>
        <v>0.13098357887937051</v>
      </c>
      <c r="Q210" s="815">
        <v>1</v>
      </c>
      <c r="R210" s="505">
        <f t="shared" si="182"/>
        <v>1</v>
      </c>
      <c r="S210" s="815">
        <f t="shared" si="177"/>
        <v>0.26196715775874102</v>
      </c>
      <c r="T210" s="1014" t="s">
        <v>115</v>
      </c>
      <c r="U210" s="946">
        <v>700000</v>
      </c>
      <c r="V210" s="927">
        <f t="shared" si="178"/>
        <v>6.8240753377917299E-5</v>
      </c>
      <c r="W210" s="811">
        <v>1</v>
      </c>
      <c r="X210" s="820">
        <v>0</v>
      </c>
      <c r="Y210" s="821">
        <f t="shared" si="179"/>
        <v>0</v>
      </c>
      <c r="Z210" s="822">
        <f t="shared" si="184"/>
        <v>4.3798248704034091</v>
      </c>
      <c r="AA210" s="823">
        <v>2</v>
      </c>
      <c r="AC210" s="825">
        <v>2</v>
      </c>
      <c r="AD210" s="825">
        <v>2</v>
      </c>
      <c r="AE210" s="825">
        <v>2</v>
      </c>
      <c r="AF210" s="825">
        <v>2</v>
      </c>
      <c r="AG210" s="824"/>
      <c r="AH210" s="827"/>
      <c r="AI210" s="824"/>
      <c r="AJ210" s="828">
        <f t="shared" si="180"/>
        <v>0</v>
      </c>
      <c r="AK210" s="862"/>
      <c r="AL210" s="828">
        <f t="shared" si="181"/>
        <v>4.3798248704034091</v>
      </c>
      <c r="AM210" s="862"/>
      <c r="AN210" s="824"/>
      <c r="AO210" s="827"/>
      <c r="AP210" s="936"/>
      <c r="AQ210" s="936"/>
      <c r="AR210" s="936"/>
      <c r="AT210" s="936"/>
      <c r="AU210" s="936"/>
      <c r="AV210" s="827"/>
      <c r="AW210" s="936"/>
      <c r="AX210" s="936"/>
      <c r="AY210" s="936"/>
      <c r="AZ210" s="936"/>
      <c r="BA210" s="936"/>
      <c r="BB210" s="936"/>
      <c r="BC210" s="936"/>
      <c r="BD210" s="936"/>
      <c r="BF210" s="830"/>
      <c r="BH210" s="936"/>
      <c r="CI210" s="830"/>
    </row>
    <row r="211" spans="2:87" s="747" customFormat="1" ht="13.9" customHeight="1" outlineLevel="1">
      <c r="B211" s="805" t="s">
        <v>1417</v>
      </c>
      <c r="C211" s="805" t="s">
        <v>1418</v>
      </c>
      <c r="D211" s="1021"/>
      <c r="E211" s="1012"/>
      <c r="F211" s="977"/>
      <c r="G211" s="977"/>
      <c r="H211" s="457" t="s">
        <v>732</v>
      </c>
      <c r="I211" s="1022"/>
      <c r="J211" s="811"/>
      <c r="K211" s="808"/>
      <c r="L211" s="809">
        <f>+L210</f>
        <v>2803.9785714285708</v>
      </c>
      <c r="M211" s="1023">
        <f>0.000046713473567181*1000</f>
        <v>4.6713473567181002E-2</v>
      </c>
      <c r="N211" s="813">
        <f t="shared" si="175"/>
        <v>2.803978571428571</v>
      </c>
      <c r="O211" s="814">
        <f>+O210</f>
        <v>1</v>
      </c>
      <c r="P211" s="1024">
        <f t="shared" si="176"/>
        <v>0.13098357887937051</v>
      </c>
      <c r="Q211" s="815">
        <v>1</v>
      </c>
      <c r="R211" s="505">
        <f t="shared" si="182"/>
        <v>1</v>
      </c>
      <c r="S211" s="815">
        <f t="shared" si="177"/>
        <v>0.26196715775874102</v>
      </c>
      <c r="T211" s="1014" t="s">
        <v>115</v>
      </c>
      <c r="U211" s="946">
        <v>41500</v>
      </c>
      <c r="V211" s="927">
        <f t="shared" si="178"/>
        <v>6.8240753377917299E-5</v>
      </c>
      <c r="W211" s="811">
        <v>1</v>
      </c>
      <c r="X211" s="820">
        <v>0</v>
      </c>
      <c r="Y211" s="821">
        <f t="shared" si="179"/>
        <v>0</v>
      </c>
      <c r="Z211" s="822">
        <f t="shared" si="184"/>
        <v>0.2596610458882021</v>
      </c>
      <c r="AA211" s="823">
        <v>2</v>
      </c>
      <c r="AC211" s="825">
        <v>2</v>
      </c>
      <c r="AD211" s="825">
        <v>2</v>
      </c>
      <c r="AE211" s="825">
        <v>2</v>
      </c>
      <c r="AF211" s="825">
        <v>2</v>
      </c>
      <c r="AG211" s="824"/>
      <c r="AH211" s="827"/>
      <c r="AI211" s="824"/>
      <c r="AJ211" s="828">
        <f t="shared" si="180"/>
        <v>0</v>
      </c>
      <c r="AK211" s="862"/>
      <c r="AL211" s="828">
        <f t="shared" si="181"/>
        <v>0.2596610458882021</v>
      </c>
      <c r="AM211" s="862"/>
      <c r="AN211" s="824"/>
      <c r="AO211" s="827"/>
      <c r="AP211" s="936"/>
      <c r="AQ211" s="936"/>
      <c r="AR211" s="936"/>
      <c r="AT211" s="936"/>
      <c r="AU211" s="936"/>
      <c r="AV211" s="827"/>
      <c r="AW211" s="936"/>
      <c r="AX211" s="936"/>
      <c r="AY211" s="936"/>
      <c r="AZ211" s="936"/>
      <c r="BA211" s="936"/>
      <c r="BB211" s="936"/>
      <c r="BC211" s="936"/>
      <c r="BD211" s="936"/>
      <c r="BF211" s="830"/>
      <c r="BH211" s="936"/>
      <c r="CI211" s="830"/>
    </row>
    <row r="212" spans="2:87" s="747" customFormat="1" ht="13.9" customHeight="1" outlineLevel="1">
      <c r="B212" s="1025" t="s">
        <v>1419</v>
      </c>
      <c r="C212" s="1025" t="s">
        <v>1420</v>
      </c>
      <c r="D212" s="1026"/>
      <c r="E212" s="1027"/>
      <c r="F212" s="1028"/>
      <c r="G212" s="1028"/>
      <c r="H212" s="1029" t="s">
        <v>732</v>
      </c>
      <c r="I212" s="1030"/>
      <c r="J212" s="1031"/>
      <c r="K212" s="1032"/>
      <c r="L212" s="1033">
        <f>+L210</f>
        <v>2803.9785714285708</v>
      </c>
      <c r="M212" s="1034">
        <f>0.000046713473567181*1000</f>
        <v>4.6713473567181002E-2</v>
      </c>
      <c r="N212" s="1035">
        <f t="shared" si="175"/>
        <v>2.803978571428571</v>
      </c>
      <c r="O212" s="1036">
        <f>+O210</f>
        <v>1</v>
      </c>
      <c r="P212" s="1037">
        <f t="shared" si="176"/>
        <v>0.13098357887937051</v>
      </c>
      <c r="Q212" s="1038">
        <v>1</v>
      </c>
      <c r="R212" s="1039">
        <f t="shared" si="182"/>
        <v>1</v>
      </c>
      <c r="S212" s="1038">
        <f t="shared" si="177"/>
        <v>0.26196715775874102</v>
      </c>
      <c r="T212" s="1040" t="s">
        <v>115</v>
      </c>
      <c r="U212" s="1041">
        <v>41500</v>
      </c>
      <c r="V212" s="1042">
        <f t="shared" si="178"/>
        <v>6.8240753377917299E-5</v>
      </c>
      <c r="W212" s="1031">
        <v>1</v>
      </c>
      <c r="X212" s="1043">
        <v>0</v>
      </c>
      <c r="Y212" s="1044">
        <f t="shared" si="179"/>
        <v>0</v>
      </c>
      <c r="Z212" s="1045">
        <f t="shared" si="184"/>
        <v>0.2596610458882021</v>
      </c>
      <c r="AA212" s="1046">
        <v>2</v>
      </c>
      <c r="AC212" s="1047">
        <v>2</v>
      </c>
      <c r="AD212" s="1047">
        <v>2</v>
      </c>
      <c r="AE212" s="1047">
        <v>2</v>
      </c>
      <c r="AF212" s="1047">
        <v>2</v>
      </c>
      <c r="AG212" s="824"/>
      <c r="AH212" s="827"/>
      <c r="AI212" s="824"/>
      <c r="AJ212" s="828">
        <f t="shared" si="180"/>
        <v>0</v>
      </c>
      <c r="AK212" s="862"/>
      <c r="AL212" s="828">
        <f t="shared" si="181"/>
        <v>0.2596610458882021</v>
      </c>
      <c r="AM212" s="862"/>
      <c r="AN212" s="824"/>
      <c r="AO212" s="827"/>
      <c r="AP212" s="936"/>
      <c r="AQ212" s="936"/>
      <c r="AR212" s="936"/>
      <c r="AT212" s="936"/>
      <c r="AU212" s="936"/>
      <c r="AV212" s="827"/>
      <c r="AW212" s="936"/>
      <c r="AX212" s="936"/>
      <c r="AY212" s="936"/>
      <c r="AZ212" s="936"/>
      <c r="BA212" s="936"/>
      <c r="BB212" s="936"/>
      <c r="BC212" s="936"/>
      <c r="BD212" s="936"/>
      <c r="BF212" s="830"/>
      <c r="BH212" s="936"/>
      <c r="CI212" s="830"/>
    </row>
    <row r="213" spans="2:87" s="370" customFormat="1" ht="15">
      <c r="B213" s="895" t="s">
        <v>1421</v>
      </c>
      <c r="C213" s="896"/>
      <c r="D213" s="897"/>
      <c r="E213" s="898"/>
      <c r="F213" s="899"/>
      <c r="G213" s="899"/>
      <c r="H213" s="900"/>
      <c r="I213" s="901"/>
      <c r="J213" s="902"/>
      <c r="K213" s="898"/>
      <c r="L213" s="899"/>
      <c r="M213" s="903"/>
      <c r="N213" s="904"/>
      <c r="O213" s="898"/>
      <c r="P213" s="902"/>
      <c r="Q213" s="905"/>
      <c r="R213" s="903"/>
      <c r="S213" s="905"/>
      <c r="T213" s="906"/>
      <c r="U213" s="906"/>
      <c r="V213" s="907"/>
      <c r="W213" s="908"/>
      <c r="X213" s="909"/>
      <c r="Y213" s="910">
        <f>SUM(Y214:Y217)</f>
        <v>0</v>
      </c>
      <c r="Z213" s="910">
        <f>SUM(Z214:Z217)</f>
        <v>0</v>
      </c>
      <c r="AA213" s="911"/>
      <c r="AB213" s="747"/>
      <c r="AC213" s="912"/>
      <c r="AD213" s="912"/>
      <c r="AE213" s="912"/>
      <c r="AF213" s="913"/>
      <c r="AH213" s="521"/>
      <c r="AJ213" s="483"/>
      <c r="AK213" s="522">
        <f>SUM(AJ214:AJ217)</f>
        <v>0</v>
      </c>
      <c r="AL213" s="401"/>
      <c r="AM213" s="523">
        <f>SUM(AL214:AL217)</f>
        <v>0</v>
      </c>
      <c r="AO213" s="521"/>
      <c r="AP213" s="369"/>
      <c r="AQ213" s="395"/>
      <c r="AR213" s="395"/>
      <c r="AS213" s="395"/>
      <c r="AT213" s="395"/>
      <c r="AU213" s="369"/>
      <c r="AV213" s="521"/>
      <c r="AW213" s="369"/>
      <c r="AX213" s="369"/>
      <c r="AY213" s="395"/>
      <c r="AZ213" s="395"/>
      <c r="BA213" s="395"/>
      <c r="BB213" s="395"/>
      <c r="BC213" s="395"/>
      <c r="BD213" s="395"/>
      <c r="BE213" s="395"/>
      <c r="BF213" s="524"/>
      <c r="BG213" s="369"/>
      <c r="BH213" s="369"/>
      <c r="BI213" s="369"/>
      <c r="BJ213" s="395"/>
      <c r="BK213" s="369"/>
      <c r="BL213" s="369"/>
      <c r="BM213" s="369"/>
      <c r="BN213" s="369"/>
      <c r="BO213" s="369"/>
      <c r="BP213" s="369"/>
      <c r="CH213" s="369"/>
      <c r="CI213" s="521"/>
    </row>
    <row r="214" spans="2:87" s="747" customFormat="1" ht="13.9" hidden="1" customHeight="1" outlineLevel="1">
      <c r="B214" s="805" t="s">
        <v>1422</v>
      </c>
      <c r="C214" s="805" t="s">
        <v>1423</v>
      </c>
      <c r="D214" s="1021"/>
      <c r="E214" s="1048"/>
      <c r="F214" s="977"/>
      <c r="G214" s="977"/>
      <c r="H214" s="457" t="s">
        <v>109</v>
      </c>
      <c r="I214" s="1022"/>
      <c r="J214" s="811"/>
      <c r="K214" s="808">
        <f>+$P$79</f>
        <v>900</v>
      </c>
      <c r="L214" s="809">
        <f>+$O$79</f>
        <v>43.3</v>
      </c>
      <c r="M214" s="1023">
        <v>6.1000000000000004E-3</v>
      </c>
      <c r="N214" s="939">
        <f t="shared" si="175"/>
        <v>3.8969999999999998E-2</v>
      </c>
      <c r="O214" s="814">
        <f>+O190*2*T$6</f>
        <v>0</v>
      </c>
      <c r="P214" s="811">
        <f t="shared" si="176"/>
        <v>0</v>
      </c>
      <c r="Q214" s="815">
        <v>1</v>
      </c>
      <c r="R214" s="505">
        <f t="shared" si="182"/>
        <v>1</v>
      </c>
      <c r="S214" s="815">
        <f t="shared" ref="S214:S248" si="185">P214*AA214*Q214*R214</f>
        <v>0</v>
      </c>
      <c r="T214" s="1014" t="s">
        <v>46</v>
      </c>
      <c r="U214" s="926">
        <v>123.97500000000001</v>
      </c>
      <c r="V214" s="927">
        <f t="shared" si="178"/>
        <v>1</v>
      </c>
      <c r="W214" s="811">
        <v>1</v>
      </c>
      <c r="X214" s="820">
        <f>10.2/2.2*0.65</f>
        <v>3.0136363636363632</v>
      </c>
      <c r="Y214" s="821">
        <f t="shared" si="179"/>
        <v>0</v>
      </c>
      <c r="Z214" s="822">
        <f t="shared" si="183"/>
        <v>0</v>
      </c>
      <c r="AA214" s="823">
        <v>2</v>
      </c>
      <c r="AC214" s="825">
        <v>2</v>
      </c>
      <c r="AD214" s="825">
        <v>2</v>
      </c>
      <c r="AE214" s="825">
        <v>2</v>
      </c>
      <c r="AF214" s="825">
        <v>2</v>
      </c>
      <c r="AG214" s="824"/>
      <c r="AH214" s="827"/>
      <c r="AI214" s="824"/>
      <c r="AJ214" s="828">
        <f t="shared" si="180"/>
        <v>0</v>
      </c>
      <c r="AK214" s="862"/>
      <c r="AL214" s="828">
        <f t="shared" si="181"/>
        <v>0</v>
      </c>
      <c r="AM214" s="862"/>
      <c r="AN214" s="824"/>
      <c r="AO214" s="827"/>
      <c r="AP214" s="936"/>
      <c r="AQ214" s="936"/>
      <c r="AR214" s="936"/>
      <c r="AT214" s="936"/>
      <c r="AU214" s="936"/>
      <c r="AV214" s="827"/>
      <c r="AW214" s="936"/>
      <c r="AX214" s="936"/>
      <c r="AY214" s="936"/>
      <c r="AZ214" s="936"/>
      <c r="BA214" s="936"/>
      <c r="BB214" s="936"/>
      <c r="BC214" s="936"/>
      <c r="BD214" s="936"/>
      <c r="BF214" s="830"/>
      <c r="BH214" s="936"/>
      <c r="CI214" s="830"/>
    </row>
    <row r="215" spans="2:87" s="747" customFormat="1" ht="13.9" hidden="1" customHeight="1" outlineLevel="1">
      <c r="B215" s="1025" t="s">
        <v>1424</v>
      </c>
      <c r="C215" s="1025" t="s">
        <v>1425</v>
      </c>
      <c r="D215" s="1026"/>
      <c r="E215" s="1049"/>
      <c r="F215" s="1028"/>
      <c r="G215" s="1028"/>
      <c r="H215" s="1029" t="s">
        <v>109</v>
      </c>
      <c r="I215" s="1030"/>
      <c r="J215" s="1031"/>
      <c r="K215" s="1032">
        <f>+K214</f>
        <v>900</v>
      </c>
      <c r="L215" s="1033">
        <f>+L214</f>
        <v>43.3</v>
      </c>
      <c r="M215" s="1034">
        <v>4.5999999999999999E-3</v>
      </c>
      <c r="N215" s="1050">
        <f t="shared" si="175"/>
        <v>3.8969999999999998E-2</v>
      </c>
      <c r="O215" s="1036">
        <f>+O214</f>
        <v>0</v>
      </c>
      <c r="P215" s="1031">
        <f t="shared" si="176"/>
        <v>0</v>
      </c>
      <c r="Q215" s="1038">
        <v>1</v>
      </c>
      <c r="R215" s="1039">
        <f t="shared" si="182"/>
        <v>1</v>
      </c>
      <c r="S215" s="1038">
        <f t="shared" si="185"/>
        <v>0</v>
      </c>
      <c r="T215" s="1040" t="s">
        <v>46</v>
      </c>
      <c r="U215" s="1051">
        <v>46.3125</v>
      </c>
      <c r="V215" s="1042">
        <f t="shared" si="178"/>
        <v>1</v>
      </c>
      <c r="W215" s="1031">
        <v>1</v>
      </c>
      <c r="X215" s="1043">
        <v>0</v>
      </c>
      <c r="Y215" s="1044">
        <f t="shared" si="179"/>
        <v>0</v>
      </c>
      <c r="Z215" s="1045">
        <f t="shared" si="183"/>
        <v>0</v>
      </c>
      <c r="AA215" s="1046">
        <v>2</v>
      </c>
      <c r="AC215" s="1047">
        <v>2</v>
      </c>
      <c r="AD215" s="1047">
        <v>2</v>
      </c>
      <c r="AE215" s="1047">
        <v>2</v>
      </c>
      <c r="AF215" s="1047">
        <v>2</v>
      </c>
      <c r="AG215" s="824"/>
      <c r="AH215" s="827"/>
      <c r="AI215" s="824"/>
      <c r="AJ215" s="828">
        <f t="shared" si="180"/>
        <v>0</v>
      </c>
      <c r="AK215" s="862"/>
      <c r="AL215" s="828">
        <f t="shared" si="181"/>
        <v>0</v>
      </c>
      <c r="AM215" s="862"/>
      <c r="AN215" s="824"/>
      <c r="AO215" s="827"/>
      <c r="AP215" s="936"/>
      <c r="AQ215" s="936"/>
      <c r="AR215" s="936"/>
      <c r="AT215" s="936"/>
      <c r="AU215" s="936"/>
      <c r="AV215" s="827"/>
      <c r="AW215" s="936"/>
      <c r="AX215" s="936"/>
      <c r="AY215" s="936"/>
      <c r="AZ215" s="936"/>
      <c r="BA215" s="936"/>
      <c r="BB215" s="936"/>
      <c r="BC215" s="936"/>
      <c r="BD215" s="936"/>
      <c r="BF215" s="830"/>
      <c r="BH215" s="936"/>
      <c r="CI215" s="830"/>
    </row>
    <row r="216" spans="2:87" s="747" customFormat="1" ht="13.9" hidden="1" customHeight="1" outlineLevel="1">
      <c r="B216" s="805" t="s">
        <v>1426</v>
      </c>
      <c r="C216" s="805" t="s">
        <v>1427</v>
      </c>
      <c r="D216" s="1021"/>
      <c r="E216" s="1048"/>
      <c r="F216" s="977"/>
      <c r="G216" s="977"/>
      <c r="H216" s="457" t="s">
        <v>109</v>
      </c>
      <c r="I216" s="1022"/>
      <c r="J216" s="811"/>
      <c r="K216" s="808">
        <f>+K214</f>
        <v>900</v>
      </c>
      <c r="L216" s="809">
        <f>+L214</f>
        <v>43.3</v>
      </c>
      <c r="M216" s="1023">
        <v>4.0666666666666663E-3</v>
      </c>
      <c r="N216" s="939">
        <f t="shared" si="175"/>
        <v>3.8969999999999998E-2</v>
      </c>
      <c r="O216" s="814">
        <f>+O190*2*U$6</f>
        <v>0</v>
      </c>
      <c r="P216" s="811">
        <f t="shared" si="176"/>
        <v>0</v>
      </c>
      <c r="Q216" s="815">
        <v>1</v>
      </c>
      <c r="R216" s="505">
        <f t="shared" si="182"/>
        <v>1</v>
      </c>
      <c r="S216" s="815">
        <f t="shared" si="185"/>
        <v>0</v>
      </c>
      <c r="T216" s="1014" t="s">
        <v>46</v>
      </c>
      <c r="U216" s="926">
        <v>182.72076749999999</v>
      </c>
      <c r="V216" s="927">
        <f t="shared" si="178"/>
        <v>1</v>
      </c>
      <c r="W216" s="811">
        <v>1</v>
      </c>
      <c r="X216" s="820">
        <f>9/2.2*0.59</f>
        <v>2.4136363636363636</v>
      </c>
      <c r="Y216" s="821">
        <f t="shared" si="179"/>
        <v>0</v>
      </c>
      <c r="Z216" s="822">
        <f t="shared" si="183"/>
        <v>0</v>
      </c>
      <c r="AA216" s="823">
        <v>2</v>
      </c>
      <c r="AC216" s="825">
        <v>2</v>
      </c>
      <c r="AD216" s="825">
        <v>2</v>
      </c>
      <c r="AE216" s="825">
        <v>2</v>
      </c>
      <c r="AF216" s="825">
        <v>2</v>
      </c>
      <c r="AG216" s="824"/>
      <c r="AH216" s="827"/>
      <c r="AI216" s="824"/>
      <c r="AJ216" s="828">
        <f t="shared" si="180"/>
        <v>0</v>
      </c>
      <c r="AK216" s="862"/>
      <c r="AL216" s="828">
        <f t="shared" si="181"/>
        <v>0</v>
      </c>
      <c r="AM216" s="862"/>
      <c r="AN216" s="824"/>
      <c r="AO216" s="827"/>
      <c r="AP216" s="936"/>
      <c r="AQ216" s="936"/>
      <c r="AR216" s="936"/>
      <c r="AT216" s="936"/>
      <c r="AU216" s="936"/>
      <c r="AV216" s="827"/>
      <c r="AW216" s="936"/>
      <c r="AX216" s="936"/>
      <c r="AY216" s="936"/>
      <c r="AZ216" s="936"/>
      <c r="BA216" s="936"/>
      <c r="BB216" s="936"/>
      <c r="BC216" s="936"/>
      <c r="BD216" s="936"/>
      <c r="BF216" s="830"/>
      <c r="BH216" s="936"/>
      <c r="CI216" s="830"/>
    </row>
    <row r="217" spans="2:87" s="747" customFormat="1" ht="13.9" hidden="1" customHeight="1" outlineLevel="1">
      <c r="B217" s="1025" t="s">
        <v>1428</v>
      </c>
      <c r="C217" s="1025" t="s">
        <v>1429</v>
      </c>
      <c r="D217" s="1021"/>
      <c r="E217" s="1052"/>
      <c r="F217" s="1028"/>
      <c r="G217" s="1028"/>
      <c r="H217" s="1029" t="s">
        <v>109</v>
      </c>
      <c r="I217" s="1030"/>
      <c r="J217" s="1031"/>
      <c r="K217" s="1032">
        <f>+K214</f>
        <v>900</v>
      </c>
      <c r="L217" s="1033">
        <f>+L214</f>
        <v>43.3</v>
      </c>
      <c r="M217" s="1034">
        <v>5.3E-3</v>
      </c>
      <c r="N217" s="1050">
        <f t="shared" si="175"/>
        <v>3.8969999999999998E-2</v>
      </c>
      <c r="O217" s="1036">
        <f>+O216</f>
        <v>0</v>
      </c>
      <c r="P217" s="1031">
        <f t="shared" si="176"/>
        <v>0</v>
      </c>
      <c r="Q217" s="1038">
        <v>1</v>
      </c>
      <c r="R217" s="1039">
        <f t="shared" si="182"/>
        <v>1</v>
      </c>
      <c r="S217" s="1038">
        <f t="shared" si="185"/>
        <v>0</v>
      </c>
      <c r="T217" s="1040" t="s">
        <v>46</v>
      </c>
      <c r="U217" s="1051">
        <v>50.872500000000002</v>
      </c>
      <c r="V217" s="1042">
        <f t="shared" si="178"/>
        <v>1</v>
      </c>
      <c r="W217" s="1031">
        <v>1</v>
      </c>
      <c r="X217" s="1043">
        <v>0</v>
      </c>
      <c r="Y217" s="1044">
        <f t="shared" si="179"/>
        <v>0</v>
      </c>
      <c r="Z217" s="1045">
        <f t="shared" si="183"/>
        <v>0</v>
      </c>
      <c r="AA217" s="1046">
        <v>2</v>
      </c>
      <c r="AC217" s="1047">
        <v>2</v>
      </c>
      <c r="AD217" s="1047">
        <v>2</v>
      </c>
      <c r="AE217" s="1047">
        <v>2</v>
      </c>
      <c r="AF217" s="1047">
        <v>2</v>
      </c>
      <c r="AG217" s="824"/>
      <c r="AH217" s="827"/>
      <c r="AI217" s="824"/>
      <c r="AJ217" s="828">
        <f t="shared" si="180"/>
        <v>0</v>
      </c>
      <c r="AK217" s="862"/>
      <c r="AL217" s="828">
        <f t="shared" si="181"/>
        <v>0</v>
      </c>
      <c r="AM217" s="862"/>
      <c r="AN217" s="824"/>
      <c r="AO217" s="827"/>
      <c r="AP217" s="936"/>
      <c r="AQ217" s="936"/>
      <c r="AR217" s="936"/>
      <c r="AT217" s="936"/>
      <c r="AU217" s="936"/>
      <c r="AV217" s="827"/>
      <c r="AW217" s="936"/>
      <c r="AX217" s="936"/>
      <c r="AY217" s="936"/>
      <c r="AZ217" s="936"/>
      <c r="BA217" s="936"/>
      <c r="BB217" s="936"/>
      <c r="BC217" s="936"/>
      <c r="BD217" s="936"/>
      <c r="BF217" s="830"/>
      <c r="BH217" s="936"/>
      <c r="CI217" s="830"/>
    </row>
    <row r="218" spans="2:87" s="370" customFormat="1" ht="15" collapsed="1">
      <c r="B218" s="873" t="s">
        <v>1430</v>
      </c>
      <c r="C218" s="874"/>
      <c r="D218" s="875"/>
      <c r="E218" s="876"/>
      <c r="F218" s="877"/>
      <c r="G218" s="877"/>
      <c r="H218" s="878"/>
      <c r="I218" s="879"/>
      <c r="J218" s="880"/>
      <c r="K218" s="876"/>
      <c r="L218" s="877"/>
      <c r="M218" s="881"/>
      <c r="N218" s="882"/>
      <c r="O218" s="876"/>
      <c r="P218" s="880"/>
      <c r="Q218" s="883"/>
      <c r="R218" s="881"/>
      <c r="S218" s="883"/>
      <c r="T218" s="884"/>
      <c r="U218" s="884"/>
      <c r="V218" s="885"/>
      <c r="W218" s="886"/>
      <c r="X218" s="887"/>
      <c r="Y218" s="888"/>
      <c r="Z218" s="889"/>
      <c r="AA218" s="890"/>
      <c r="AB218" s="747"/>
      <c r="AC218" s="891"/>
      <c r="AD218" s="891"/>
      <c r="AE218" s="891"/>
      <c r="AF218" s="892"/>
      <c r="AH218" s="521"/>
      <c r="AJ218" s="483"/>
      <c r="AK218" s="522"/>
      <c r="AL218" s="401"/>
      <c r="AM218" s="523"/>
      <c r="AO218" s="521"/>
      <c r="AP218" s="395"/>
      <c r="AQ218" s="395"/>
      <c r="AR218" s="395"/>
      <c r="AS218" s="369"/>
      <c r="AT218" s="395"/>
      <c r="AU218" s="395"/>
      <c r="AV218" s="521"/>
      <c r="AW218" s="395"/>
      <c r="AX218" s="395"/>
      <c r="AY218" s="395"/>
      <c r="AZ218" s="395"/>
      <c r="BA218" s="395"/>
      <c r="BB218" s="395"/>
      <c r="BC218" s="395"/>
      <c r="BD218" s="395"/>
      <c r="BE218" s="369"/>
      <c r="BF218" s="524"/>
      <c r="BG218" s="369"/>
      <c r="BH218" s="395"/>
      <c r="BI218" s="369"/>
      <c r="BJ218" s="369"/>
      <c r="BK218" s="369"/>
      <c r="BL218" s="369"/>
      <c r="BM218" s="369"/>
      <c r="BN218" s="369"/>
      <c r="CI218" s="521"/>
    </row>
    <row r="219" spans="2:87" s="370" customFormat="1" ht="15">
      <c r="B219" s="783" t="s">
        <v>1431</v>
      </c>
      <c r="C219" s="784"/>
      <c r="D219" s="785"/>
      <c r="E219" s="786"/>
      <c r="F219" s="787"/>
      <c r="G219" s="787"/>
      <c r="H219" s="788" t="s">
        <v>30</v>
      </c>
      <c r="I219" s="789" t="s">
        <v>1162</v>
      </c>
      <c r="J219" s="790" t="s">
        <v>1071</v>
      </c>
      <c r="K219" s="786" t="s">
        <v>1072</v>
      </c>
      <c r="L219" s="787" t="s">
        <v>21</v>
      </c>
      <c r="M219" s="791" t="s">
        <v>82</v>
      </c>
      <c r="N219" s="839" t="s">
        <v>1163</v>
      </c>
      <c r="O219" s="786" t="s">
        <v>1154</v>
      </c>
      <c r="P219" s="790" t="s">
        <v>1164</v>
      </c>
      <c r="Q219" s="793" t="s">
        <v>34</v>
      </c>
      <c r="R219" s="894">
        <f>IF(D$8="Invotech",1,0)</f>
        <v>0</v>
      </c>
      <c r="S219" s="793" t="s">
        <v>13</v>
      </c>
      <c r="T219" s="794" t="s">
        <v>128</v>
      </c>
      <c r="U219" s="794" t="s">
        <v>111</v>
      </c>
      <c r="V219" s="795" t="s">
        <v>32</v>
      </c>
      <c r="W219" s="796" t="s">
        <v>33</v>
      </c>
      <c r="X219" s="797"/>
      <c r="Y219" s="798"/>
      <c r="Z219" s="944"/>
      <c r="AA219" s="800" t="str">
        <f>+AA$2</f>
        <v>SCU75M1</v>
      </c>
      <c r="AC219" s="801" t="str">
        <f>+AC$2</f>
        <v>SCU75M1</v>
      </c>
      <c r="AD219" s="801" t="str">
        <f>+AD$2</f>
        <v>SCU100M1</v>
      </c>
      <c r="AE219" s="801" t="str">
        <f>+AE$2</f>
        <v>SCU125M1</v>
      </c>
      <c r="AF219" s="802" t="str">
        <f>+AF$2</f>
        <v>SCU150M1</v>
      </c>
      <c r="AH219" s="521"/>
      <c r="AJ219" s="483"/>
      <c r="AK219" s="522"/>
      <c r="AL219" s="401"/>
      <c r="AM219" s="523"/>
      <c r="AO219" s="521"/>
      <c r="AP219" s="747"/>
      <c r="AQ219" s="2143" t="str">
        <f>+B219</f>
        <v>1. COMPRESSOR: Invotech R407c</v>
      </c>
      <c r="AR219" s="2144"/>
      <c r="AS219" s="2144"/>
      <c r="AT219" s="2145"/>
      <c r="AU219" s="747"/>
      <c r="AV219" s="521"/>
      <c r="AW219" s="747"/>
      <c r="AX219" s="2143" t="str">
        <f>+AQ219</f>
        <v>1. COMPRESSOR: Invotech R407c</v>
      </c>
      <c r="AY219" s="2144"/>
      <c r="AZ219" s="2144"/>
      <c r="BA219" s="2144"/>
      <c r="BB219" s="2144"/>
      <c r="BC219" s="2144"/>
      <c r="BD219" s="2145"/>
      <c r="BE219" s="395"/>
      <c r="BF219" s="524"/>
      <c r="BG219" s="395"/>
      <c r="BH219" s="395"/>
      <c r="BI219" s="395"/>
      <c r="BJ219" s="369"/>
      <c r="BK219" s="395"/>
      <c r="BL219" s="395"/>
      <c r="BM219" s="395"/>
      <c r="BN219" s="395"/>
      <c r="BO219" s="395"/>
      <c r="BP219" s="395"/>
      <c r="BQ219" s="369"/>
      <c r="BR219" s="369"/>
      <c r="BS219" s="369"/>
      <c r="BT219" s="395"/>
      <c r="BU219" s="369"/>
      <c r="BV219" s="369"/>
      <c r="BW219" s="369"/>
      <c r="BX219" s="369"/>
      <c r="BY219" s="395"/>
      <c r="BZ219" s="369"/>
      <c r="CH219" s="395"/>
      <c r="CI219" s="511"/>
    </row>
    <row r="220" spans="2:87" s="370" customFormat="1" ht="15" collapsed="1">
      <c r="B220" s="895" t="s">
        <v>1432</v>
      </c>
      <c r="C220" s="896"/>
      <c r="D220" s="897"/>
      <c r="E220" s="898"/>
      <c r="F220" s="899"/>
      <c r="G220" s="899"/>
      <c r="H220" s="900"/>
      <c r="I220" s="901"/>
      <c r="J220" s="902"/>
      <c r="K220" s="898"/>
      <c r="L220" s="899"/>
      <c r="M220" s="903"/>
      <c r="N220" s="904"/>
      <c r="O220" s="898"/>
      <c r="P220" s="902"/>
      <c r="Q220" s="905"/>
      <c r="R220" s="903"/>
      <c r="S220" s="905"/>
      <c r="T220" s="906"/>
      <c r="U220" s="906"/>
      <c r="V220" s="907"/>
      <c r="W220" s="908"/>
      <c r="X220" s="909"/>
      <c r="Y220" s="910">
        <f>SUM(Y221:Y224)</f>
        <v>0</v>
      </c>
      <c r="Z220" s="910">
        <f>SUM(Z221:Z224)</f>
        <v>0</v>
      </c>
      <c r="AA220" s="911"/>
      <c r="AB220" s="747"/>
      <c r="AC220" s="912"/>
      <c r="AD220" s="912"/>
      <c r="AE220" s="912"/>
      <c r="AF220" s="913"/>
      <c r="AH220" s="521"/>
      <c r="AJ220" s="483"/>
      <c r="AK220" s="522">
        <f>SUM(AJ221:AJ224)</f>
        <v>0</v>
      </c>
      <c r="AL220" s="401"/>
      <c r="AM220" s="523">
        <f>SUM(AL221:AL224)</f>
        <v>0</v>
      </c>
      <c r="AO220" s="521"/>
      <c r="AQ220" s="914" t="str">
        <f>+B220</f>
        <v>- Compressor Assy</v>
      </c>
      <c r="AR220" s="915" t="s">
        <v>1058</v>
      </c>
      <c r="AS220" s="970" t="s">
        <v>97</v>
      </c>
      <c r="AT220" s="917" t="s">
        <v>1345</v>
      </c>
      <c r="AV220" s="521"/>
      <c r="AX220" s="918" t="s">
        <v>1433</v>
      </c>
      <c r="AY220" s="919" t="s">
        <v>1434</v>
      </c>
      <c r="AZ220" s="919" t="s">
        <v>1435</v>
      </c>
      <c r="BA220" s="919" t="s">
        <v>1347</v>
      </c>
      <c r="BB220" s="919" t="s">
        <v>1436</v>
      </c>
      <c r="BC220" s="919" t="s">
        <v>1437</v>
      </c>
      <c r="BD220" s="945" t="s">
        <v>1438</v>
      </c>
      <c r="BE220" s="369"/>
      <c r="BF220" s="524"/>
      <c r="BG220" s="395"/>
      <c r="BH220" s="395"/>
      <c r="BI220" s="395"/>
      <c r="BJ220" s="395"/>
      <c r="BK220" s="369"/>
      <c r="BL220" s="395"/>
      <c r="BM220" s="395"/>
      <c r="BN220" s="395"/>
      <c r="BO220" s="395"/>
      <c r="BP220" s="395"/>
      <c r="BQ220" s="395"/>
      <c r="BR220" s="369"/>
      <c r="BS220" s="369"/>
      <c r="BT220" s="369"/>
      <c r="BU220" s="395"/>
      <c r="BV220" s="369"/>
      <c r="BW220" s="369"/>
      <c r="BX220" s="369"/>
      <c r="BY220" s="395"/>
      <c r="BZ220" s="369"/>
      <c r="CA220" s="369"/>
      <c r="CH220" s="395"/>
      <c r="CI220" s="511"/>
    </row>
    <row r="221" spans="2:87" s="747" customFormat="1" ht="13.9" hidden="1" customHeight="1" outlineLevel="1">
      <c r="B221" s="921" t="str">
        <f t="shared" ref="B221:B224" si="186">AQ221</f>
        <v>7.5hp: YH230T1-100</v>
      </c>
      <c r="C221" s="922"/>
      <c r="D221" s="923"/>
      <c r="E221" s="808"/>
      <c r="F221" s="809"/>
      <c r="G221" s="1053"/>
      <c r="H221" s="924" t="s">
        <v>100</v>
      </c>
      <c r="J221" s="828"/>
      <c r="K221" s="808"/>
      <c r="L221" s="809"/>
      <c r="M221" s="860">
        <v>1</v>
      </c>
      <c r="N221" s="813">
        <f t="shared" ref="N221:N224" si="187">IF(I221&gt;0,22/28*((I221/1000)^2-(I221/1000-2*J221/1000)^2)*K221/1000,IF(J221&gt;0,J221/1000*K221/1000*L221/1000, IF(K221&gt;0,K221/1000*L221/1000, IF(L221=0,1,L221/1000))))</f>
        <v>1</v>
      </c>
      <c r="O221" s="814">
        <v>1</v>
      </c>
      <c r="P221" s="811">
        <f t="shared" ref="P221:P224" si="188">M221*N221*O221</f>
        <v>1</v>
      </c>
      <c r="Q221" s="815">
        <v>1</v>
      </c>
      <c r="R221" s="505">
        <f>+R$219</f>
        <v>0</v>
      </c>
      <c r="S221" s="815">
        <f>P221*AA221*Q221*R221</f>
        <v>0</v>
      </c>
      <c r="T221" s="925" t="s">
        <v>46</v>
      </c>
      <c r="U221" s="811">
        <v>359.95</v>
      </c>
      <c r="V221" s="927">
        <f>1/VLOOKUP(T221,Y$12:Z$18,2,FALSE)</f>
        <v>1</v>
      </c>
      <c r="W221" s="926">
        <v>1.05</v>
      </c>
      <c r="X221" s="820">
        <v>53</v>
      </c>
      <c r="Y221" s="928">
        <f t="shared" ref="Y221:Y224" si="189">+P221*R221*AA221*X221</f>
        <v>0</v>
      </c>
      <c r="Z221" s="929">
        <f t="shared" ref="Z221:Z224" si="190">S221*U221*V221*W221</f>
        <v>0</v>
      </c>
      <c r="AA221" s="823">
        <v>1</v>
      </c>
      <c r="AC221" s="457">
        <v>1</v>
      </c>
      <c r="AD221" s="457"/>
      <c r="AE221" s="457"/>
      <c r="AF221" s="457"/>
      <c r="AH221" s="827"/>
      <c r="AJ221" s="828">
        <f t="shared" ref="AJ221:AJ224" si="191">+Y221</f>
        <v>0</v>
      </c>
      <c r="AK221" s="862"/>
      <c r="AL221" s="828">
        <f t="shared" ref="AL221:AL224" si="192">+Z221</f>
        <v>0</v>
      </c>
      <c r="AM221" s="828"/>
      <c r="AO221" s="830"/>
      <c r="AQ221" s="930" t="s">
        <v>1439</v>
      </c>
      <c r="AR221" s="930" t="s">
        <v>1440</v>
      </c>
      <c r="AS221" s="1054">
        <v>53</v>
      </c>
      <c r="AT221" s="1055">
        <v>359.95</v>
      </c>
      <c r="AV221" s="830"/>
      <c r="AX221" s="505">
        <v>22.3</v>
      </c>
      <c r="AY221" s="841">
        <v>6.8</v>
      </c>
      <c r="AZ221" s="841">
        <v>29.1</v>
      </c>
      <c r="BA221" s="841">
        <v>12.9</v>
      </c>
      <c r="BB221" s="1022">
        <v>1.125</v>
      </c>
      <c r="BC221" s="1022">
        <v>0.875</v>
      </c>
      <c r="BD221" s="1056">
        <v>0.5</v>
      </c>
      <c r="BE221" s="936"/>
      <c r="BF221" s="830"/>
      <c r="BG221" s="936"/>
      <c r="BH221" s="936"/>
      <c r="BI221" s="936"/>
      <c r="BK221" s="936"/>
      <c r="BL221" s="936"/>
      <c r="BM221" s="936"/>
      <c r="BN221" s="936"/>
      <c r="BO221" s="936"/>
      <c r="BP221" s="936"/>
      <c r="BT221" s="936"/>
      <c r="BY221" s="936"/>
      <c r="CH221" s="936"/>
      <c r="CI221" s="938"/>
    </row>
    <row r="222" spans="2:87" s="747" customFormat="1" ht="13.9" hidden="1" customHeight="1" outlineLevel="1">
      <c r="B222" s="921" t="str">
        <f t="shared" si="186"/>
        <v>10.0hp: YH307T1-100</v>
      </c>
      <c r="C222" s="922"/>
      <c r="D222" s="923"/>
      <c r="E222" s="808"/>
      <c r="F222" s="809"/>
      <c r="G222" s="1053"/>
      <c r="H222" s="924" t="s">
        <v>100</v>
      </c>
      <c r="J222" s="828"/>
      <c r="K222" s="808"/>
      <c r="L222" s="809"/>
      <c r="M222" s="860">
        <v>1</v>
      </c>
      <c r="N222" s="813">
        <f t="shared" si="187"/>
        <v>1</v>
      </c>
      <c r="O222" s="814">
        <v>1</v>
      </c>
      <c r="P222" s="811">
        <f t="shared" si="188"/>
        <v>1</v>
      </c>
      <c r="Q222" s="815">
        <v>1</v>
      </c>
      <c r="R222" s="505">
        <f>+R$219</f>
        <v>0</v>
      </c>
      <c r="S222" s="815">
        <f>P222*AA222*Q222*R222</f>
        <v>0</v>
      </c>
      <c r="T222" s="925" t="s">
        <v>46</v>
      </c>
      <c r="U222" s="811">
        <v>409</v>
      </c>
      <c r="V222" s="927">
        <f>1/VLOOKUP(T222,Y$12:Z$18,2,FALSE)</f>
        <v>1</v>
      </c>
      <c r="W222" s="926">
        <v>1.05</v>
      </c>
      <c r="X222" s="820">
        <v>54</v>
      </c>
      <c r="Y222" s="928">
        <f t="shared" si="189"/>
        <v>0</v>
      </c>
      <c r="Z222" s="929">
        <f t="shared" si="190"/>
        <v>0</v>
      </c>
      <c r="AA222" s="823"/>
      <c r="AC222" s="457"/>
      <c r="AD222" s="457">
        <v>1</v>
      </c>
      <c r="AE222" s="457"/>
      <c r="AF222" s="457"/>
      <c r="AH222" s="827"/>
      <c r="AJ222" s="828">
        <f t="shared" si="191"/>
        <v>0</v>
      </c>
      <c r="AK222" s="862"/>
      <c r="AL222" s="828">
        <f t="shared" si="192"/>
        <v>0</v>
      </c>
      <c r="AM222" s="828"/>
      <c r="AO222" s="830"/>
      <c r="AQ222" s="930" t="s">
        <v>1441</v>
      </c>
      <c r="AR222" s="930" t="s">
        <v>1442</v>
      </c>
      <c r="AS222" s="1054">
        <v>54</v>
      </c>
      <c r="AT222" s="1055">
        <v>409</v>
      </c>
      <c r="AV222" s="830"/>
      <c r="AX222" s="505">
        <v>29.63</v>
      </c>
      <c r="AY222" s="841">
        <v>8.9600000000000009</v>
      </c>
      <c r="AZ222" s="841">
        <v>38.590000000000003</v>
      </c>
      <c r="BA222" s="841">
        <v>15.6</v>
      </c>
      <c r="BB222" s="1022">
        <v>1.125</v>
      </c>
      <c r="BC222" s="1022">
        <v>0.875</v>
      </c>
      <c r="BD222" s="1056">
        <v>0.625</v>
      </c>
      <c r="BE222" s="936"/>
      <c r="BF222" s="830"/>
      <c r="BG222" s="936"/>
      <c r="BH222" s="936"/>
      <c r="BI222" s="936"/>
      <c r="BK222" s="936"/>
      <c r="BL222" s="936"/>
      <c r="BM222" s="936"/>
      <c r="BN222" s="936"/>
      <c r="BO222" s="936"/>
      <c r="BP222" s="936"/>
      <c r="BT222" s="936"/>
      <c r="BY222" s="936"/>
      <c r="CH222" s="936"/>
      <c r="CI222" s="938"/>
    </row>
    <row r="223" spans="2:87" s="747" customFormat="1" ht="13.9" hidden="1" customHeight="1" outlineLevel="1">
      <c r="B223" s="921" t="str">
        <f t="shared" si="186"/>
        <v>12.5hp: YH355T1-100</v>
      </c>
      <c r="C223" s="922"/>
      <c r="D223" s="923"/>
      <c r="E223" s="808"/>
      <c r="F223" s="809"/>
      <c r="G223" s="1053"/>
      <c r="H223" s="924" t="s">
        <v>100</v>
      </c>
      <c r="J223" s="828"/>
      <c r="K223" s="808"/>
      <c r="L223" s="809"/>
      <c r="M223" s="860">
        <v>1</v>
      </c>
      <c r="N223" s="813">
        <f t="shared" si="187"/>
        <v>1</v>
      </c>
      <c r="O223" s="814">
        <v>1</v>
      </c>
      <c r="P223" s="811">
        <f t="shared" si="188"/>
        <v>1</v>
      </c>
      <c r="Q223" s="815">
        <v>1</v>
      </c>
      <c r="R223" s="505">
        <f>+R$219</f>
        <v>0</v>
      </c>
      <c r="S223" s="815">
        <f>P223*AA223*Q223*R223</f>
        <v>0</v>
      </c>
      <c r="T223" s="925" t="s">
        <v>46</v>
      </c>
      <c r="U223" s="811">
        <v>427</v>
      </c>
      <c r="V223" s="927">
        <f>1/VLOOKUP(T223,Y$12:Z$18,2,FALSE)</f>
        <v>1</v>
      </c>
      <c r="W223" s="926">
        <v>1.05</v>
      </c>
      <c r="X223" s="820">
        <v>54</v>
      </c>
      <c r="Y223" s="928">
        <f t="shared" si="189"/>
        <v>0</v>
      </c>
      <c r="Z223" s="929">
        <f t="shared" si="190"/>
        <v>0</v>
      </c>
      <c r="AA223" s="823"/>
      <c r="AC223" s="457"/>
      <c r="AD223" s="457"/>
      <c r="AE223" s="457">
        <v>1</v>
      </c>
      <c r="AF223" s="457"/>
      <c r="AH223" s="827"/>
      <c r="AJ223" s="828">
        <f t="shared" si="191"/>
        <v>0</v>
      </c>
      <c r="AK223" s="862"/>
      <c r="AL223" s="828">
        <f t="shared" si="192"/>
        <v>0</v>
      </c>
      <c r="AM223" s="828"/>
      <c r="AO223" s="830"/>
      <c r="AQ223" s="930" t="s">
        <v>1443</v>
      </c>
      <c r="AR223" s="930" t="s">
        <v>1444</v>
      </c>
      <c r="AS223" s="1054">
        <v>54</v>
      </c>
      <c r="AT223" s="1055">
        <v>427</v>
      </c>
      <c r="AV223" s="830"/>
      <c r="AX223" s="505">
        <v>35.11</v>
      </c>
      <c r="AY223" s="841">
        <v>10.91</v>
      </c>
      <c r="AZ223" s="841">
        <v>46.02</v>
      </c>
      <c r="BA223" s="841">
        <v>18.2</v>
      </c>
      <c r="BB223" s="1022">
        <v>1.125</v>
      </c>
      <c r="BC223" s="1022">
        <v>0.875</v>
      </c>
      <c r="BD223" s="1056">
        <v>0.75</v>
      </c>
      <c r="BE223" s="936"/>
      <c r="BF223" s="830"/>
      <c r="BG223" s="936"/>
      <c r="BH223" s="936"/>
      <c r="BI223" s="936"/>
      <c r="BK223" s="936"/>
      <c r="BL223" s="936"/>
      <c r="BM223" s="936"/>
      <c r="BN223" s="936"/>
      <c r="BO223" s="936"/>
      <c r="BP223" s="936"/>
      <c r="BT223" s="936"/>
      <c r="BY223" s="936"/>
      <c r="CH223" s="936"/>
      <c r="CI223" s="938"/>
    </row>
    <row r="224" spans="2:87" s="747" customFormat="1" ht="13.9" hidden="1" customHeight="1" outlineLevel="1">
      <c r="B224" s="921" t="str">
        <f t="shared" si="186"/>
        <v>15.0hp: YSH450T1G-100</v>
      </c>
      <c r="C224" s="922"/>
      <c r="D224" s="923"/>
      <c r="E224" s="808"/>
      <c r="F224" s="809"/>
      <c r="G224" s="1053"/>
      <c r="H224" s="924" t="s">
        <v>100</v>
      </c>
      <c r="J224" s="828"/>
      <c r="K224" s="808"/>
      <c r="L224" s="809"/>
      <c r="M224" s="860">
        <v>1</v>
      </c>
      <c r="N224" s="813">
        <f t="shared" si="187"/>
        <v>1</v>
      </c>
      <c r="O224" s="814">
        <v>1</v>
      </c>
      <c r="P224" s="811">
        <f t="shared" si="188"/>
        <v>1</v>
      </c>
      <c r="Q224" s="815">
        <v>1</v>
      </c>
      <c r="R224" s="505">
        <f>+R$219</f>
        <v>0</v>
      </c>
      <c r="S224" s="815">
        <f>P224*AA224*Q224*R224</f>
        <v>0</v>
      </c>
      <c r="T224" s="925" t="s">
        <v>46</v>
      </c>
      <c r="U224" s="811">
        <v>723</v>
      </c>
      <c r="V224" s="927">
        <f>1/VLOOKUP(T224,Y$12:Z$18,2,FALSE)</f>
        <v>1</v>
      </c>
      <c r="W224" s="926">
        <v>1.05</v>
      </c>
      <c r="X224" s="820">
        <v>90</v>
      </c>
      <c r="Y224" s="928">
        <f t="shared" si="189"/>
        <v>0</v>
      </c>
      <c r="Z224" s="929">
        <f t="shared" si="190"/>
        <v>0</v>
      </c>
      <c r="AA224" s="823"/>
      <c r="AC224" s="457"/>
      <c r="AD224" s="457"/>
      <c r="AE224" s="457"/>
      <c r="AF224" s="457">
        <v>1</v>
      </c>
      <c r="AH224" s="827"/>
      <c r="AJ224" s="828">
        <f t="shared" si="191"/>
        <v>0</v>
      </c>
      <c r="AK224" s="862"/>
      <c r="AL224" s="828">
        <f t="shared" si="192"/>
        <v>0</v>
      </c>
      <c r="AM224" s="828"/>
      <c r="AO224" s="830"/>
      <c r="AQ224" s="930" t="s">
        <v>1445</v>
      </c>
      <c r="AR224" s="930" t="s">
        <v>1446</v>
      </c>
      <c r="AS224" s="1054">
        <v>90</v>
      </c>
      <c r="AT224" s="1055">
        <v>723</v>
      </c>
      <c r="AV224" s="830"/>
      <c r="AX224" s="505">
        <v>42.08</v>
      </c>
      <c r="AY224" s="841">
        <v>13.21</v>
      </c>
      <c r="AZ224" s="841">
        <v>55.29</v>
      </c>
      <c r="BA224" s="841">
        <v>22.8</v>
      </c>
      <c r="BB224" s="1022">
        <v>1.375</v>
      </c>
      <c r="BC224" s="1022">
        <v>0.875</v>
      </c>
      <c r="BD224" s="1056">
        <v>0.625</v>
      </c>
      <c r="BE224" s="936"/>
      <c r="BF224" s="830"/>
      <c r="BG224" s="936"/>
      <c r="BH224" s="936"/>
      <c r="BI224" s="936"/>
      <c r="BK224" s="936"/>
      <c r="BL224" s="936"/>
      <c r="BM224" s="936"/>
      <c r="BN224" s="936"/>
      <c r="BO224" s="936"/>
      <c r="BP224" s="936"/>
      <c r="BT224" s="936"/>
      <c r="BY224" s="936"/>
      <c r="CH224" s="936"/>
      <c r="CI224" s="938"/>
    </row>
    <row r="225" spans="2:87" s="370" customFormat="1" ht="15" collapsed="1">
      <c r="B225" s="895" t="s">
        <v>1447</v>
      </c>
      <c r="C225" s="896"/>
      <c r="D225" s="897"/>
      <c r="E225" s="898"/>
      <c r="F225" s="899"/>
      <c r="G225" s="899"/>
      <c r="H225" s="900"/>
      <c r="I225" s="901"/>
      <c r="J225" s="902"/>
      <c r="K225" s="898"/>
      <c r="L225" s="899"/>
      <c r="M225" s="903"/>
      <c r="N225" s="904"/>
      <c r="O225" s="898"/>
      <c r="P225" s="902"/>
      <c r="Q225" s="905"/>
      <c r="R225" s="903"/>
      <c r="S225" s="905"/>
      <c r="T225" s="906"/>
      <c r="U225" s="906"/>
      <c r="V225" s="907"/>
      <c r="W225" s="908"/>
      <c r="X225" s="909"/>
      <c r="Y225" s="910">
        <f>SUM(Y226:Y226)</f>
        <v>0</v>
      </c>
      <c r="Z225" s="910">
        <f>SUM(Z226:Z226)</f>
        <v>0</v>
      </c>
      <c r="AA225" s="911"/>
      <c r="AB225" s="747"/>
      <c r="AC225" s="912"/>
      <c r="AD225" s="912"/>
      <c r="AE225" s="912"/>
      <c r="AF225" s="913"/>
      <c r="AH225" s="521"/>
      <c r="AJ225" s="483"/>
      <c r="AK225" s="522">
        <f>SUM(AJ226:AJ226)</f>
        <v>0</v>
      </c>
      <c r="AL225" s="401"/>
      <c r="AM225" s="523">
        <f>SUM(AL226:AL226)</f>
        <v>0</v>
      </c>
      <c r="AO225" s="521"/>
      <c r="AP225" s="369"/>
      <c r="AQ225" s="897"/>
      <c r="AR225" s="960"/>
      <c r="AS225" s="960"/>
      <c r="AT225" s="961"/>
      <c r="AU225" s="369"/>
      <c r="AV225" s="521"/>
      <c r="AW225" s="369"/>
      <c r="AX225" s="1057"/>
      <c r="AY225" s="1058"/>
      <c r="AZ225" s="1058"/>
      <c r="BA225" s="1058"/>
      <c r="BB225" s="1058"/>
      <c r="BC225" s="1058"/>
      <c r="BD225" s="940"/>
      <c r="BE225" s="369"/>
      <c r="BF225" s="524"/>
      <c r="BG225" s="395"/>
      <c r="BH225" s="395"/>
      <c r="BI225" s="395"/>
      <c r="BJ225" s="395"/>
      <c r="BK225" s="369"/>
      <c r="BL225" s="395"/>
      <c r="BM225" s="395"/>
      <c r="BN225" s="395"/>
      <c r="BO225" s="395"/>
      <c r="BP225" s="395"/>
      <c r="BQ225" s="395"/>
      <c r="BR225" s="369"/>
      <c r="BS225" s="369"/>
      <c r="BT225" s="369"/>
      <c r="BU225" s="395"/>
      <c r="BV225" s="369"/>
      <c r="BW225" s="369"/>
      <c r="BX225" s="369"/>
      <c r="BY225" s="395"/>
      <c r="BZ225" s="369"/>
      <c r="CA225" s="369"/>
      <c r="CH225" s="395"/>
      <c r="CI225" s="511"/>
    </row>
    <row r="226" spans="2:87" s="747" customFormat="1" ht="13.9" hidden="1" customHeight="1" outlineLevel="1">
      <c r="B226" s="921" t="s">
        <v>1448</v>
      </c>
      <c r="C226" s="922"/>
      <c r="D226" s="923"/>
      <c r="E226" s="808"/>
      <c r="F226" s="809"/>
      <c r="G226" s="809"/>
      <c r="H226" s="924" t="s">
        <v>100</v>
      </c>
      <c r="J226" s="828"/>
      <c r="K226" s="808"/>
      <c r="L226" s="809"/>
      <c r="M226" s="860">
        <v>1</v>
      </c>
      <c r="N226" s="813">
        <f>IF(I226&gt;0,22/28*((I226/1000)^2-(I226/1000-2*J226/1000)^2)*K226/1000,IF(J226&gt;0,J226/1000*K226/1000*L226/1000, IF(K226&gt;0,K226/1000*L226/1000, IF(L226=0,1,L226/1000))))</f>
        <v>1</v>
      </c>
      <c r="O226" s="814">
        <v>1</v>
      </c>
      <c r="P226" s="811">
        <f>M226*N226*O226</f>
        <v>1</v>
      </c>
      <c r="Q226" s="815">
        <v>1</v>
      </c>
      <c r="R226" s="505">
        <f>+R$219</f>
        <v>0</v>
      </c>
      <c r="S226" s="815">
        <f>P226*AA226*Q226*R226</f>
        <v>0</v>
      </c>
      <c r="T226" s="925" t="s">
        <v>46</v>
      </c>
      <c r="U226" s="1059">
        <v>15</v>
      </c>
      <c r="V226" s="927">
        <f>1/VLOOKUP(T226,Y$12:Z$18,2,FALSE)</f>
        <v>1</v>
      </c>
      <c r="W226" s="926">
        <v>1.05</v>
      </c>
      <c r="X226" s="820">
        <v>0.15</v>
      </c>
      <c r="Y226" s="928">
        <f>+P226*R226*AA226*X226</f>
        <v>0</v>
      </c>
      <c r="Z226" s="929">
        <f>S226*U226*V226*W226</f>
        <v>0</v>
      </c>
      <c r="AA226" s="823">
        <v>1</v>
      </c>
      <c r="AC226" s="457">
        <v>1</v>
      </c>
      <c r="AD226" s="457">
        <v>1</v>
      </c>
      <c r="AE226" s="457">
        <v>1</v>
      </c>
      <c r="AF226" s="457">
        <v>1</v>
      </c>
      <c r="AG226" s="824"/>
      <c r="AH226" s="827"/>
      <c r="AI226" s="824"/>
      <c r="AJ226" s="828">
        <f>+Y226</f>
        <v>0</v>
      </c>
      <c r="AK226" s="862"/>
      <c r="AL226" s="828">
        <f>+Z226</f>
        <v>0</v>
      </c>
      <c r="AM226" s="862"/>
      <c r="AN226" s="824"/>
      <c r="AO226" s="827"/>
      <c r="AP226" s="824"/>
      <c r="AQ226" s="930"/>
      <c r="AS226" s="828"/>
      <c r="AT226" s="964"/>
      <c r="AU226" s="824"/>
      <c r="AV226" s="827"/>
      <c r="AW226" s="824"/>
      <c r="AX226" s="934"/>
      <c r="AY226" s="936"/>
      <c r="AZ226" s="936"/>
      <c r="BA226" s="936"/>
      <c r="BB226" s="936"/>
      <c r="BD226" s="924"/>
      <c r="BE226" s="936"/>
      <c r="BF226" s="830"/>
      <c r="BG226" s="936"/>
      <c r="BH226" s="936"/>
      <c r="BJ226" s="936"/>
      <c r="BK226" s="936"/>
      <c r="BL226" s="936"/>
      <c r="BM226" s="936"/>
      <c r="BN226" s="936"/>
      <c r="BO226" s="936"/>
      <c r="BP226" s="936"/>
      <c r="BS226" s="936"/>
      <c r="CH226" s="936"/>
      <c r="CI226" s="938"/>
    </row>
    <row r="227" spans="2:87" s="370" customFormat="1" ht="15" collapsed="1">
      <c r="B227" s="783" t="s">
        <v>1449</v>
      </c>
      <c r="C227" s="784"/>
      <c r="D227" s="785"/>
      <c r="E227" s="786"/>
      <c r="F227" s="787"/>
      <c r="G227" s="787"/>
      <c r="H227" s="788" t="s">
        <v>30</v>
      </c>
      <c r="I227" s="789" t="s">
        <v>1162</v>
      </c>
      <c r="J227" s="790" t="s">
        <v>1071</v>
      </c>
      <c r="K227" s="786" t="s">
        <v>1072</v>
      </c>
      <c r="L227" s="787" t="s">
        <v>21</v>
      </c>
      <c r="M227" s="791" t="s">
        <v>82</v>
      </c>
      <c r="N227" s="839" t="s">
        <v>1163</v>
      </c>
      <c r="O227" s="786" t="s">
        <v>1154</v>
      </c>
      <c r="P227" s="790" t="s">
        <v>1164</v>
      </c>
      <c r="Q227" s="793" t="s">
        <v>34</v>
      </c>
      <c r="R227" s="894">
        <f>IF(D$8="Danfoss",1,0)</f>
        <v>0</v>
      </c>
      <c r="S227" s="793" t="s">
        <v>13</v>
      </c>
      <c r="T227" s="794" t="s">
        <v>128</v>
      </c>
      <c r="U227" s="794" t="s">
        <v>111</v>
      </c>
      <c r="V227" s="795" t="s">
        <v>32</v>
      </c>
      <c r="W227" s="796" t="s">
        <v>33</v>
      </c>
      <c r="X227" s="797"/>
      <c r="Y227" s="798"/>
      <c r="Z227" s="799"/>
      <c r="AA227" s="800" t="str">
        <f>+AA$2</f>
        <v>SCU75M1</v>
      </c>
      <c r="AC227" s="801" t="str">
        <f>+AC$2</f>
        <v>SCU75M1</v>
      </c>
      <c r="AD227" s="801" t="str">
        <f>+AD$2</f>
        <v>SCU100M1</v>
      </c>
      <c r="AE227" s="801" t="str">
        <f>+AE$2</f>
        <v>SCU125M1</v>
      </c>
      <c r="AF227" s="802" t="str">
        <f>+AF$2</f>
        <v>SCU150M1</v>
      </c>
      <c r="AH227" s="521"/>
      <c r="AJ227" s="483"/>
      <c r="AK227" s="522"/>
      <c r="AL227" s="401"/>
      <c r="AM227" s="523"/>
      <c r="AO227" s="521"/>
      <c r="AQ227" s="2143" t="str">
        <f>+B227</f>
        <v>2. COMPRESSOR: Danfoss R407c</v>
      </c>
      <c r="AR227" s="2144"/>
      <c r="AS227" s="2144"/>
      <c r="AT227" s="2145"/>
      <c r="AV227" s="521"/>
      <c r="AX227" s="2143" t="str">
        <f>+AQ227</f>
        <v>2. COMPRESSOR: Danfoss R407c</v>
      </c>
      <c r="AY227" s="2144"/>
      <c r="AZ227" s="2144"/>
      <c r="BA227" s="2144"/>
      <c r="BB227" s="2144"/>
      <c r="BC227" s="2144"/>
      <c r="BD227" s="2145"/>
      <c r="BE227" s="395"/>
      <c r="BF227" s="524"/>
      <c r="BG227" s="395"/>
      <c r="BH227" s="395"/>
      <c r="BI227" s="395"/>
      <c r="BJ227" s="369"/>
      <c r="BK227" s="395"/>
      <c r="BL227" s="395"/>
      <c r="BM227" s="395"/>
      <c r="BN227" s="395"/>
      <c r="BO227" s="395"/>
      <c r="BP227" s="395"/>
      <c r="BQ227" s="369"/>
      <c r="BR227" s="369"/>
      <c r="BS227" s="369"/>
      <c r="BT227" s="395"/>
      <c r="BU227" s="369"/>
      <c r="BV227" s="369"/>
      <c r="BW227" s="369"/>
      <c r="BX227" s="369"/>
      <c r="BY227" s="395"/>
      <c r="BZ227" s="369"/>
      <c r="CH227" s="395"/>
      <c r="CI227" s="511"/>
    </row>
    <row r="228" spans="2:87" s="370" customFormat="1" ht="15" collapsed="1">
      <c r="B228" s="895" t="s">
        <v>1432</v>
      </c>
      <c r="C228" s="896"/>
      <c r="D228" s="897"/>
      <c r="E228" s="898"/>
      <c r="F228" s="899"/>
      <c r="G228" s="899"/>
      <c r="H228" s="900"/>
      <c r="I228" s="901"/>
      <c r="J228" s="902"/>
      <c r="K228" s="898"/>
      <c r="L228" s="899"/>
      <c r="M228" s="903"/>
      <c r="N228" s="904"/>
      <c r="O228" s="898"/>
      <c r="P228" s="902"/>
      <c r="Q228" s="905"/>
      <c r="R228" s="903"/>
      <c r="S228" s="905"/>
      <c r="T228" s="906"/>
      <c r="U228" s="906"/>
      <c r="V228" s="907"/>
      <c r="W228" s="908"/>
      <c r="X228" s="909"/>
      <c r="Y228" s="910">
        <f>SUM(Y229:Y232)</f>
        <v>0</v>
      </c>
      <c r="Z228" s="910">
        <f>SUM(Z229:Z232)</f>
        <v>0</v>
      </c>
      <c r="AA228" s="911"/>
      <c r="AB228" s="747"/>
      <c r="AC228" s="912"/>
      <c r="AD228" s="912"/>
      <c r="AE228" s="912"/>
      <c r="AF228" s="913"/>
      <c r="AH228" s="521"/>
      <c r="AJ228" s="483"/>
      <c r="AK228" s="522">
        <f>SUM(AJ229:AJ232)</f>
        <v>0</v>
      </c>
      <c r="AL228" s="401"/>
      <c r="AM228" s="523">
        <f>SUM(AL229:AL232)</f>
        <v>0</v>
      </c>
      <c r="AO228" s="521"/>
      <c r="AQ228" s="914" t="str">
        <f>+B228</f>
        <v>- Compressor Assy</v>
      </c>
      <c r="AR228" s="915" t="s">
        <v>1058</v>
      </c>
      <c r="AS228" s="970" t="s">
        <v>97</v>
      </c>
      <c r="AT228" s="917" t="s">
        <v>1345</v>
      </c>
      <c r="AV228" s="521"/>
      <c r="AX228" s="918" t="s">
        <v>1433</v>
      </c>
      <c r="AY228" s="919" t="s">
        <v>1434</v>
      </c>
      <c r="AZ228" s="919" t="s">
        <v>1435</v>
      </c>
      <c r="BA228" s="919" t="s">
        <v>1347</v>
      </c>
      <c r="BB228" s="919" t="s">
        <v>1436</v>
      </c>
      <c r="BC228" s="919" t="s">
        <v>1437</v>
      </c>
      <c r="BD228" s="945" t="s">
        <v>1438</v>
      </c>
      <c r="BE228" s="369"/>
      <c r="BF228" s="524"/>
      <c r="BG228" s="395"/>
      <c r="BH228" s="395"/>
      <c r="BI228" s="395"/>
      <c r="BJ228" s="395"/>
      <c r="BK228" s="369"/>
      <c r="BL228" s="395"/>
      <c r="BM228" s="395"/>
      <c r="BN228" s="395"/>
      <c r="BO228" s="395"/>
      <c r="BP228" s="395"/>
      <c r="BQ228" s="395"/>
      <c r="BR228" s="369"/>
      <c r="BS228" s="369"/>
      <c r="BT228" s="369"/>
      <c r="BU228" s="395"/>
      <c r="BV228" s="369"/>
      <c r="BW228" s="369"/>
      <c r="BX228" s="369"/>
      <c r="BY228" s="395"/>
      <c r="BZ228" s="369"/>
      <c r="CA228" s="369"/>
      <c r="CH228" s="395"/>
      <c r="CI228" s="511"/>
    </row>
    <row r="229" spans="2:87" s="747" customFormat="1" ht="13.9" hidden="1" customHeight="1" outlineLevel="1">
      <c r="B229" s="921" t="str">
        <f t="shared" ref="B229:B232" si="193">AQ229</f>
        <v>7.5hp: SZ094-4VM</v>
      </c>
      <c r="C229" s="922"/>
      <c r="D229" s="923"/>
      <c r="E229" s="808"/>
      <c r="F229" s="809"/>
      <c r="G229" s="1053"/>
      <c r="H229" s="924" t="s">
        <v>100</v>
      </c>
      <c r="J229" s="828"/>
      <c r="K229" s="808"/>
      <c r="L229" s="809"/>
      <c r="M229" s="860">
        <v>1</v>
      </c>
      <c r="N229" s="813">
        <f t="shared" ref="N229:N232" si="194">IF(I229&gt;0,22/28*((I229/1000)^2-(I229/1000-2*J229/1000)^2)*K229/1000,IF(J229&gt;0,J229/1000*K229/1000*L229/1000, IF(K229&gt;0,K229/1000*L229/1000, IF(L229=0,1,L229/1000))))</f>
        <v>1</v>
      </c>
      <c r="O229" s="814">
        <v>1</v>
      </c>
      <c r="P229" s="811">
        <f t="shared" ref="P229:P232" si="195">M229*N229*O229</f>
        <v>1</v>
      </c>
      <c r="Q229" s="815">
        <v>1</v>
      </c>
      <c r="R229" s="505">
        <f>+R$227</f>
        <v>0</v>
      </c>
      <c r="S229" s="815">
        <f t="shared" ref="S229:S232" si="196">P229*AA229*Q229*R229</f>
        <v>0</v>
      </c>
      <c r="T229" s="925" t="s">
        <v>46</v>
      </c>
      <c r="U229" s="811">
        <v>520</v>
      </c>
      <c r="V229" s="927">
        <f t="shared" ref="V229:V232" si="197">1/VLOOKUP(T229,Y$12:Z$18,2,FALSE)</f>
        <v>1</v>
      </c>
      <c r="W229" s="926">
        <v>1.0900000000000001</v>
      </c>
      <c r="X229" s="820">
        <v>57.2</v>
      </c>
      <c r="Y229" s="928">
        <f t="shared" ref="Y229:Y232" si="198">+P229*R229*AA229*X229</f>
        <v>0</v>
      </c>
      <c r="Z229" s="929">
        <f t="shared" ref="Z229:Z232" si="199">S229*U229*V229*W229</f>
        <v>0</v>
      </c>
      <c r="AA229" s="823">
        <v>1</v>
      </c>
      <c r="AC229" s="457">
        <v>1</v>
      </c>
      <c r="AD229" s="457"/>
      <c r="AE229" s="457"/>
      <c r="AF229" s="457"/>
      <c r="AH229" s="827"/>
      <c r="AJ229" s="828">
        <f t="shared" ref="AJ229:AJ232" si="200">+Y229</f>
        <v>0</v>
      </c>
      <c r="AK229" s="862"/>
      <c r="AL229" s="828">
        <f t="shared" ref="AL229:AL232" si="201">+Z229</f>
        <v>0</v>
      </c>
      <c r="AM229" s="828"/>
      <c r="AO229" s="830"/>
      <c r="AQ229" s="930" t="s">
        <v>1450</v>
      </c>
      <c r="AR229" s="930" t="s">
        <v>1451</v>
      </c>
      <c r="AS229" s="1054">
        <v>57.2</v>
      </c>
      <c r="AT229" s="1055">
        <v>510</v>
      </c>
      <c r="AV229" s="830"/>
      <c r="AX229" s="505">
        <v>21.58</v>
      </c>
      <c r="AY229" s="841">
        <v>6.6310000000000002</v>
      </c>
      <c r="AZ229" s="841">
        <v>28.21</v>
      </c>
      <c r="BA229" s="841">
        <v>12.53</v>
      </c>
      <c r="BB229" s="1022">
        <v>1.125</v>
      </c>
      <c r="BC229" s="1022">
        <v>0.875</v>
      </c>
      <c r="BD229" s="1056">
        <v>0.5</v>
      </c>
      <c r="BE229" s="936"/>
      <c r="BF229" s="830"/>
      <c r="BG229" s="936"/>
      <c r="BH229" s="936"/>
      <c r="BI229" s="936"/>
      <c r="BK229" s="936"/>
      <c r="BL229" s="936"/>
      <c r="BM229" s="936"/>
      <c r="BN229" s="936"/>
      <c r="BO229" s="936"/>
      <c r="BP229" s="936"/>
      <c r="BT229" s="936"/>
      <c r="BY229" s="936"/>
      <c r="CH229" s="936"/>
      <c r="CI229" s="938"/>
    </row>
    <row r="230" spans="2:87" s="747" customFormat="1" ht="13.9" hidden="1" customHeight="1" outlineLevel="1">
      <c r="B230" s="921" t="str">
        <f t="shared" si="193"/>
        <v>10.0hp: SZ120-4VM</v>
      </c>
      <c r="C230" s="922"/>
      <c r="D230" s="923"/>
      <c r="E230" s="808"/>
      <c r="F230" s="809"/>
      <c r="G230" s="1053"/>
      <c r="H230" s="924" t="s">
        <v>100</v>
      </c>
      <c r="J230" s="828"/>
      <c r="K230" s="808"/>
      <c r="L230" s="809"/>
      <c r="M230" s="860">
        <v>1</v>
      </c>
      <c r="N230" s="813">
        <f t="shared" si="194"/>
        <v>1</v>
      </c>
      <c r="O230" s="814">
        <v>1</v>
      </c>
      <c r="P230" s="811">
        <f t="shared" si="195"/>
        <v>1</v>
      </c>
      <c r="Q230" s="815">
        <v>1</v>
      </c>
      <c r="R230" s="505">
        <f t="shared" ref="R230:R232" si="202">+R$227</f>
        <v>0</v>
      </c>
      <c r="S230" s="815">
        <f t="shared" si="196"/>
        <v>0</v>
      </c>
      <c r="T230" s="925" t="s">
        <v>46</v>
      </c>
      <c r="U230" s="811">
        <v>570</v>
      </c>
      <c r="V230" s="927">
        <f t="shared" si="197"/>
        <v>1</v>
      </c>
      <c r="W230" s="926">
        <v>1.0900000000000001</v>
      </c>
      <c r="X230" s="820">
        <v>61.2</v>
      </c>
      <c r="Y230" s="928">
        <f t="shared" si="198"/>
        <v>0</v>
      </c>
      <c r="Z230" s="929">
        <f t="shared" si="199"/>
        <v>0</v>
      </c>
      <c r="AA230" s="823"/>
      <c r="AC230" s="457"/>
      <c r="AD230" s="457">
        <v>1</v>
      </c>
      <c r="AE230" s="457"/>
      <c r="AF230" s="457"/>
      <c r="AH230" s="827"/>
      <c r="AJ230" s="828">
        <f t="shared" si="200"/>
        <v>0</v>
      </c>
      <c r="AK230" s="862"/>
      <c r="AL230" s="828">
        <f t="shared" si="201"/>
        <v>0</v>
      </c>
      <c r="AM230" s="828"/>
      <c r="AO230" s="830"/>
      <c r="AQ230" s="930" t="s">
        <v>1452</v>
      </c>
      <c r="AR230" s="930" t="s">
        <v>1453</v>
      </c>
      <c r="AS230" s="1054">
        <v>61.2</v>
      </c>
      <c r="AT230" s="1055">
        <v>554</v>
      </c>
      <c r="AV230" s="830"/>
      <c r="AX230" s="505">
        <v>28.55</v>
      </c>
      <c r="AY230" s="841">
        <v>8.9939999999999998</v>
      </c>
      <c r="AZ230" s="841">
        <v>37.54</v>
      </c>
      <c r="BA230" s="841">
        <v>16.53</v>
      </c>
      <c r="BB230" s="1022">
        <v>1.375</v>
      </c>
      <c r="BC230" s="1022">
        <v>0.875</v>
      </c>
      <c r="BD230" s="1056">
        <v>0.625</v>
      </c>
      <c r="BE230" s="936"/>
      <c r="BF230" s="830"/>
      <c r="BG230" s="936"/>
      <c r="BH230" s="936"/>
      <c r="BI230" s="936"/>
      <c r="BK230" s="936"/>
      <c r="BL230" s="936"/>
      <c r="BM230" s="936"/>
      <c r="BN230" s="936"/>
      <c r="BO230" s="936"/>
      <c r="BP230" s="936"/>
      <c r="BT230" s="936"/>
      <c r="BY230" s="936"/>
      <c r="CH230" s="936"/>
      <c r="CI230" s="938"/>
    </row>
    <row r="231" spans="2:87" s="747" customFormat="1" ht="13.9" hidden="1" customHeight="1" outlineLevel="1">
      <c r="B231" s="921" t="str">
        <f t="shared" si="193"/>
        <v>12.5hp: SZ147-A4ALB</v>
      </c>
      <c r="C231" s="922"/>
      <c r="D231" s="923"/>
      <c r="E231" s="808"/>
      <c r="F231" s="809"/>
      <c r="G231" s="1053"/>
      <c r="H231" s="924" t="s">
        <v>100</v>
      </c>
      <c r="J231" s="828"/>
      <c r="K231" s="808"/>
      <c r="L231" s="809"/>
      <c r="M231" s="860">
        <v>1</v>
      </c>
      <c r="N231" s="813">
        <f t="shared" si="194"/>
        <v>1</v>
      </c>
      <c r="O231" s="814">
        <v>1</v>
      </c>
      <c r="P231" s="811">
        <f t="shared" si="195"/>
        <v>1</v>
      </c>
      <c r="Q231" s="815">
        <v>1</v>
      </c>
      <c r="R231" s="505">
        <f t="shared" si="202"/>
        <v>0</v>
      </c>
      <c r="S231" s="815">
        <f t="shared" si="196"/>
        <v>0</v>
      </c>
      <c r="T231" s="925" t="s">
        <v>46</v>
      </c>
      <c r="U231" s="811">
        <v>656.64</v>
      </c>
      <c r="V231" s="927">
        <f t="shared" si="197"/>
        <v>1</v>
      </c>
      <c r="W231" s="926">
        <v>1.0900000000000001</v>
      </c>
      <c r="X231" s="820">
        <v>61.2</v>
      </c>
      <c r="Y231" s="928">
        <f t="shared" si="198"/>
        <v>0</v>
      </c>
      <c r="Z231" s="929">
        <f t="shared" si="199"/>
        <v>0</v>
      </c>
      <c r="AA231" s="823"/>
      <c r="AC231" s="457"/>
      <c r="AD231" s="457"/>
      <c r="AE231" s="457">
        <v>1</v>
      </c>
      <c r="AF231" s="457"/>
      <c r="AH231" s="827"/>
      <c r="AJ231" s="828">
        <f t="shared" si="200"/>
        <v>0</v>
      </c>
      <c r="AK231" s="862"/>
      <c r="AL231" s="828">
        <f t="shared" si="201"/>
        <v>0</v>
      </c>
      <c r="AM231" s="828"/>
      <c r="AO231" s="830"/>
      <c r="AQ231" s="930" t="s">
        <v>1454</v>
      </c>
      <c r="AR231" s="930" t="s">
        <v>1455</v>
      </c>
      <c r="AS231" s="1054">
        <v>61.2</v>
      </c>
      <c r="AT231" s="1055">
        <v>573</v>
      </c>
      <c r="AV231" s="830"/>
      <c r="AX231" s="505">
        <v>34.92</v>
      </c>
      <c r="AY231" s="841">
        <v>9.93</v>
      </c>
      <c r="AZ231" s="841">
        <v>44.85</v>
      </c>
      <c r="BA231" s="841">
        <v>18.21</v>
      </c>
      <c r="BB231" s="1022">
        <v>1.375</v>
      </c>
      <c r="BC231" s="1022">
        <v>0.875</v>
      </c>
      <c r="BD231" s="1056">
        <v>0.75</v>
      </c>
      <c r="BE231" s="936"/>
      <c r="BF231" s="830"/>
      <c r="BG231" s="936"/>
      <c r="BH231" s="936"/>
      <c r="BI231" s="936"/>
      <c r="BK231" s="936"/>
      <c r="BL231" s="936"/>
      <c r="BM231" s="936"/>
      <c r="BN231" s="936"/>
      <c r="BO231" s="936"/>
      <c r="BP231" s="936"/>
      <c r="BT231" s="936"/>
      <c r="BY231" s="936"/>
      <c r="CH231" s="936"/>
      <c r="CI231" s="938"/>
    </row>
    <row r="232" spans="2:87" s="747" customFormat="1" ht="13.9" hidden="1" customHeight="1" outlineLevel="1">
      <c r="B232" s="921" t="str">
        <f t="shared" si="193"/>
        <v>15.0hp: SZ185-4CAM</v>
      </c>
      <c r="C232" s="922"/>
      <c r="D232" s="923"/>
      <c r="E232" s="808"/>
      <c r="F232" s="809"/>
      <c r="G232" s="1053"/>
      <c r="H232" s="924" t="s">
        <v>100</v>
      </c>
      <c r="J232" s="828"/>
      <c r="K232" s="808"/>
      <c r="L232" s="809"/>
      <c r="M232" s="860">
        <v>1</v>
      </c>
      <c r="N232" s="813">
        <f t="shared" si="194"/>
        <v>1</v>
      </c>
      <c r="O232" s="814">
        <v>1</v>
      </c>
      <c r="P232" s="811">
        <f t="shared" si="195"/>
        <v>1</v>
      </c>
      <c r="Q232" s="815">
        <v>1</v>
      </c>
      <c r="R232" s="505">
        <f t="shared" si="202"/>
        <v>0</v>
      </c>
      <c r="S232" s="815">
        <f t="shared" si="196"/>
        <v>0</v>
      </c>
      <c r="T232" s="925" t="s">
        <v>46</v>
      </c>
      <c r="U232" s="811">
        <v>870</v>
      </c>
      <c r="V232" s="927">
        <f t="shared" si="197"/>
        <v>1</v>
      </c>
      <c r="W232" s="926">
        <v>1.0900000000000001</v>
      </c>
      <c r="X232" s="820">
        <v>66.2</v>
      </c>
      <c r="Y232" s="928">
        <f t="shared" si="198"/>
        <v>0</v>
      </c>
      <c r="Z232" s="929">
        <f t="shared" si="199"/>
        <v>0</v>
      </c>
      <c r="AA232" s="823"/>
      <c r="AC232" s="457"/>
      <c r="AD232" s="457"/>
      <c r="AE232" s="457"/>
      <c r="AF232" s="457">
        <v>1</v>
      </c>
      <c r="AH232" s="827"/>
      <c r="AJ232" s="828">
        <f t="shared" si="200"/>
        <v>0</v>
      </c>
      <c r="AK232" s="862"/>
      <c r="AL232" s="828">
        <f t="shared" si="201"/>
        <v>0</v>
      </c>
      <c r="AM232" s="828"/>
      <c r="AO232" s="830"/>
      <c r="AQ232" s="930" t="s">
        <v>1456</v>
      </c>
      <c r="AR232" s="930" t="s">
        <v>1457</v>
      </c>
      <c r="AS232" s="1054">
        <v>66.2</v>
      </c>
      <c r="AT232" s="1055">
        <v>735</v>
      </c>
      <c r="AV232" s="830"/>
      <c r="AX232" s="505">
        <v>43.09</v>
      </c>
      <c r="AY232" s="841">
        <v>13.62</v>
      </c>
      <c r="AZ232" s="841">
        <v>56.71</v>
      </c>
      <c r="BA232" s="841">
        <v>24.1</v>
      </c>
      <c r="BB232" s="1022">
        <v>1.625</v>
      </c>
      <c r="BC232" s="1022">
        <v>0.875</v>
      </c>
      <c r="BD232" s="1056">
        <v>0.625</v>
      </c>
      <c r="BE232" s="936"/>
      <c r="BF232" s="830"/>
      <c r="BG232" s="936"/>
      <c r="BH232" s="936"/>
      <c r="BI232" s="936"/>
      <c r="BK232" s="936"/>
      <c r="BL232" s="936"/>
      <c r="BM232" s="936"/>
      <c r="BN232" s="936"/>
      <c r="BO232" s="936"/>
      <c r="BP232" s="936"/>
      <c r="BT232" s="936"/>
      <c r="BY232" s="936"/>
      <c r="CH232" s="936"/>
      <c r="CI232" s="938"/>
    </row>
    <row r="233" spans="2:87" s="370" customFormat="1" ht="15" collapsed="1">
      <c r="B233" s="895" t="s">
        <v>1447</v>
      </c>
      <c r="C233" s="896"/>
      <c r="D233" s="897"/>
      <c r="E233" s="898"/>
      <c r="F233" s="899"/>
      <c r="G233" s="899"/>
      <c r="H233" s="900"/>
      <c r="I233" s="901"/>
      <c r="J233" s="902"/>
      <c r="K233" s="898"/>
      <c r="L233" s="899"/>
      <c r="M233" s="903"/>
      <c r="N233" s="904"/>
      <c r="O233" s="898"/>
      <c r="P233" s="902"/>
      <c r="Q233" s="905"/>
      <c r="R233" s="903"/>
      <c r="S233" s="905"/>
      <c r="T233" s="906"/>
      <c r="U233" s="906"/>
      <c r="V233" s="907"/>
      <c r="W233" s="908"/>
      <c r="X233" s="909"/>
      <c r="Y233" s="910">
        <f>SUM(Y234:Y234)</f>
        <v>0</v>
      </c>
      <c r="Z233" s="910">
        <f>SUM(Z234:Z234)</f>
        <v>0</v>
      </c>
      <c r="AA233" s="911"/>
      <c r="AB233" s="747"/>
      <c r="AC233" s="912"/>
      <c r="AD233" s="912"/>
      <c r="AE233" s="912"/>
      <c r="AF233" s="913"/>
      <c r="AH233" s="521"/>
      <c r="AJ233" s="483"/>
      <c r="AK233" s="522">
        <f>SUM(AJ234:AJ234)</f>
        <v>0</v>
      </c>
      <c r="AL233" s="401"/>
      <c r="AM233" s="523">
        <f>SUM(AL234:AL234)</f>
        <v>0</v>
      </c>
      <c r="AO233" s="521"/>
      <c r="AQ233" s="897"/>
      <c r="AR233" s="960"/>
      <c r="AS233" s="960"/>
      <c r="AT233" s="961"/>
      <c r="AV233" s="521"/>
      <c r="AX233" s="897"/>
      <c r="AY233" s="960"/>
      <c r="AZ233" s="960"/>
      <c r="BA233" s="960"/>
      <c r="BB233" s="960"/>
      <c r="BC233" s="960"/>
      <c r="BD233" s="961"/>
      <c r="BF233" s="524"/>
      <c r="BG233" s="395"/>
      <c r="BH233" s="395"/>
      <c r="BI233" s="395"/>
      <c r="BJ233" s="395"/>
      <c r="BK233" s="369"/>
      <c r="BL233" s="395"/>
      <c r="BM233" s="395"/>
      <c r="BN233" s="395"/>
      <c r="BO233" s="395"/>
      <c r="BP233" s="395"/>
      <c r="BQ233" s="395"/>
      <c r="BR233" s="369"/>
      <c r="BS233" s="369"/>
      <c r="BT233" s="369"/>
      <c r="BU233" s="395"/>
      <c r="BV233" s="369"/>
      <c r="BW233" s="369"/>
      <c r="BX233" s="369"/>
      <c r="BY233" s="395"/>
      <c r="BZ233" s="369"/>
      <c r="CA233" s="369"/>
      <c r="CH233" s="395"/>
      <c r="CI233" s="511"/>
    </row>
    <row r="234" spans="2:87" s="747" customFormat="1" ht="13.9" hidden="1" customHeight="1" outlineLevel="1">
      <c r="B234" s="921" t="s">
        <v>1448</v>
      </c>
      <c r="C234" s="922"/>
      <c r="D234" s="923"/>
      <c r="E234" s="808"/>
      <c r="F234" s="809"/>
      <c r="G234" s="809"/>
      <c r="H234" s="924" t="s">
        <v>100</v>
      </c>
      <c r="J234" s="828"/>
      <c r="K234" s="808"/>
      <c r="L234" s="809"/>
      <c r="M234" s="860">
        <v>1</v>
      </c>
      <c r="N234" s="813">
        <f>IF(I234&gt;0,22/28*((I234/1000)^2-(I234/1000-2*J234/1000)^2)*K234/1000,IF(J234&gt;0,J234/1000*K234/1000*L234/1000, IF(K234&gt;0,K234/1000*L234/1000, IF(L234=0,1,L234/1000))))</f>
        <v>1</v>
      </c>
      <c r="O234" s="814">
        <v>1</v>
      </c>
      <c r="P234" s="811">
        <f>M234*N234*O234</f>
        <v>1</v>
      </c>
      <c r="Q234" s="815">
        <v>1</v>
      </c>
      <c r="R234" s="505">
        <f>+R$227</f>
        <v>0</v>
      </c>
      <c r="S234" s="815">
        <f>P234*AA234*Q234*R234</f>
        <v>0</v>
      </c>
      <c r="T234" s="925" t="s">
        <v>46</v>
      </c>
      <c r="U234" s="1059">
        <v>15</v>
      </c>
      <c r="V234" s="927">
        <f>1/VLOOKUP(T234,Y$12:Z$18,2,FALSE)</f>
        <v>1</v>
      </c>
      <c r="W234" s="926">
        <v>1.0900000000000001</v>
      </c>
      <c r="X234" s="820">
        <v>0.15</v>
      </c>
      <c r="Y234" s="928">
        <f>+P234*R234*AA234*X234</f>
        <v>0</v>
      </c>
      <c r="Z234" s="929">
        <f>S234*U234*V234*W234</f>
        <v>0</v>
      </c>
      <c r="AA234" s="823">
        <v>1</v>
      </c>
      <c r="AC234" s="457">
        <v>1</v>
      </c>
      <c r="AD234" s="457">
        <v>1</v>
      </c>
      <c r="AE234" s="457">
        <v>1</v>
      </c>
      <c r="AF234" s="457">
        <v>1</v>
      </c>
      <c r="AG234" s="824"/>
      <c r="AH234" s="827"/>
      <c r="AI234" s="824"/>
      <c r="AJ234" s="828">
        <f>+Y234</f>
        <v>0</v>
      </c>
      <c r="AK234" s="862"/>
      <c r="AL234" s="828">
        <f>+Z234</f>
        <v>0</v>
      </c>
      <c r="AM234" s="862"/>
      <c r="AN234" s="824"/>
      <c r="AO234" s="827"/>
      <c r="AP234" s="824"/>
      <c r="AQ234" s="930"/>
      <c r="AS234" s="828"/>
      <c r="AT234" s="964"/>
      <c r="AU234" s="824"/>
      <c r="AV234" s="827"/>
      <c r="AW234" s="824"/>
      <c r="AX234" s="934"/>
      <c r="AY234" s="936"/>
      <c r="AZ234" s="936"/>
      <c r="BA234" s="936"/>
      <c r="BB234" s="936"/>
      <c r="BD234" s="924"/>
      <c r="BE234" s="936"/>
      <c r="BF234" s="830"/>
      <c r="BG234" s="936"/>
      <c r="BH234" s="936"/>
      <c r="BJ234" s="936"/>
      <c r="BK234" s="936"/>
      <c r="BL234" s="936"/>
      <c r="BM234" s="936"/>
      <c r="BN234" s="936"/>
      <c r="BO234" s="936"/>
      <c r="BP234" s="936"/>
      <c r="BS234" s="936"/>
      <c r="CH234" s="936"/>
      <c r="CI234" s="938"/>
    </row>
    <row r="235" spans="2:87" s="370" customFormat="1" ht="15" collapsed="1">
      <c r="B235" s="783" t="s">
        <v>1458</v>
      </c>
      <c r="C235" s="784"/>
      <c r="D235" s="785"/>
      <c r="E235" s="786"/>
      <c r="F235" s="787"/>
      <c r="G235" s="787"/>
      <c r="H235" s="788" t="s">
        <v>30</v>
      </c>
      <c r="I235" s="789" t="s">
        <v>1162</v>
      </c>
      <c r="J235" s="790" t="s">
        <v>1071</v>
      </c>
      <c r="K235" s="786" t="s">
        <v>1072</v>
      </c>
      <c r="L235" s="787" t="s">
        <v>21</v>
      </c>
      <c r="M235" s="791" t="s">
        <v>82</v>
      </c>
      <c r="N235" s="839" t="s">
        <v>1163</v>
      </c>
      <c r="O235" s="786" t="s">
        <v>1154</v>
      </c>
      <c r="P235" s="790" t="s">
        <v>1164</v>
      </c>
      <c r="Q235" s="793" t="s">
        <v>34</v>
      </c>
      <c r="R235" s="894">
        <f>IF(D$8="Copeland",1,0)</f>
        <v>1</v>
      </c>
      <c r="S235" s="793" t="s">
        <v>13</v>
      </c>
      <c r="T235" s="794" t="s">
        <v>128</v>
      </c>
      <c r="U235" s="794" t="s">
        <v>111</v>
      </c>
      <c r="V235" s="795" t="s">
        <v>32</v>
      </c>
      <c r="W235" s="796" t="s">
        <v>33</v>
      </c>
      <c r="X235" s="797"/>
      <c r="Y235" s="798"/>
      <c r="Z235" s="799"/>
      <c r="AA235" s="800" t="str">
        <f>+AA$2</f>
        <v>SCU75M1</v>
      </c>
      <c r="AC235" s="801" t="str">
        <f>+AC$2</f>
        <v>SCU75M1</v>
      </c>
      <c r="AD235" s="801" t="str">
        <f>+AD$2</f>
        <v>SCU100M1</v>
      </c>
      <c r="AE235" s="801" t="str">
        <f>+AE$2</f>
        <v>SCU125M1</v>
      </c>
      <c r="AF235" s="802" t="str">
        <f>+AF$2</f>
        <v>SCU150M1</v>
      </c>
      <c r="AH235" s="521"/>
      <c r="AJ235" s="483"/>
      <c r="AK235" s="522"/>
      <c r="AL235" s="401"/>
      <c r="AM235" s="523"/>
      <c r="AO235" s="521"/>
      <c r="AQ235" s="2143" t="str">
        <f>+B235</f>
        <v>3. COMPRESSOR: Copeland R407c</v>
      </c>
      <c r="AR235" s="2144"/>
      <c r="AS235" s="2144"/>
      <c r="AT235" s="2145"/>
      <c r="AV235" s="521"/>
      <c r="AX235" s="2143" t="str">
        <f>+AQ235</f>
        <v>3. COMPRESSOR: Copeland R407c</v>
      </c>
      <c r="AY235" s="2144"/>
      <c r="AZ235" s="2144"/>
      <c r="BA235" s="2144"/>
      <c r="BB235" s="2144"/>
      <c r="BC235" s="2144"/>
      <c r="BD235" s="2145"/>
      <c r="BE235" s="395"/>
      <c r="BF235" s="524"/>
      <c r="BG235" s="395"/>
      <c r="BH235" s="395"/>
      <c r="BI235" s="395"/>
      <c r="BJ235" s="369"/>
      <c r="BK235" s="395"/>
      <c r="BL235" s="395"/>
      <c r="BM235" s="395"/>
      <c r="BN235" s="395"/>
      <c r="BO235" s="395"/>
      <c r="BP235" s="395"/>
      <c r="BQ235" s="369"/>
      <c r="BR235" s="369"/>
      <c r="BS235" s="369"/>
      <c r="BT235" s="395"/>
      <c r="BU235" s="369"/>
      <c r="BV235" s="369"/>
      <c r="BW235" s="369"/>
      <c r="BX235" s="369"/>
      <c r="BY235" s="395"/>
      <c r="BZ235" s="369"/>
      <c r="CH235" s="395"/>
      <c r="CI235" s="511"/>
    </row>
    <row r="236" spans="2:87" s="370" customFormat="1" ht="15" collapsed="1">
      <c r="B236" s="895" t="s">
        <v>1432</v>
      </c>
      <c r="C236" s="896"/>
      <c r="D236" s="897"/>
      <c r="E236" s="898"/>
      <c r="F236" s="899"/>
      <c r="G236" s="899"/>
      <c r="H236" s="900"/>
      <c r="I236" s="901"/>
      <c r="J236" s="902"/>
      <c r="K236" s="898"/>
      <c r="L236" s="899"/>
      <c r="M236" s="903"/>
      <c r="N236" s="904"/>
      <c r="O236" s="898"/>
      <c r="P236" s="902"/>
      <c r="Q236" s="905"/>
      <c r="R236" s="903"/>
      <c r="S236" s="905"/>
      <c r="T236" s="906"/>
      <c r="U236" s="906"/>
      <c r="V236" s="907"/>
      <c r="W236" s="908"/>
      <c r="X236" s="909"/>
      <c r="Y236" s="910">
        <f>SUM(Y237:Y240)</f>
        <v>57.2</v>
      </c>
      <c r="Z236" s="910">
        <f>SUM(Z237:Z240)</f>
        <v>163.79999999999998</v>
      </c>
      <c r="AA236" s="911"/>
      <c r="AB236" s="747"/>
      <c r="AC236" s="912"/>
      <c r="AD236" s="912"/>
      <c r="AE236" s="912"/>
      <c r="AF236" s="913"/>
      <c r="AH236" s="521"/>
      <c r="AJ236" s="483"/>
      <c r="AK236" s="522">
        <f>SUM(AJ237:AJ240)</f>
        <v>57.2</v>
      </c>
      <c r="AL236" s="401"/>
      <c r="AM236" s="523">
        <f>SUM(AL237:AL240)</f>
        <v>163.79999999999998</v>
      </c>
      <c r="AO236" s="521"/>
      <c r="AQ236" s="914" t="str">
        <f>+B236</f>
        <v>- Compressor Assy</v>
      </c>
      <c r="AR236" s="915" t="s">
        <v>1058</v>
      </c>
      <c r="AS236" s="970" t="s">
        <v>97</v>
      </c>
      <c r="AT236" s="917" t="s">
        <v>1345</v>
      </c>
      <c r="AV236" s="521"/>
      <c r="AX236" s="918" t="s">
        <v>1433</v>
      </c>
      <c r="AY236" s="919" t="s">
        <v>1434</v>
      </c>
      <c r="AZ236" s="919" t="s">
        <v>1435</v>
      </c>
      <c r="BA236" s="919" t="s">
        <v>1347</v>
      </c>
      <c r="BB236" s="919" t="s">
        <v>1436</v>
      </c>
      <c r="BC236" s="919" t="s">
        <v>1437</v>
      </c>
      <c r="BD236" s="945" t="s">
        <v>1438</v>
      </c>
      <c r="BE236" s="369"/>
      <c r="BF236" s="524"/>
      <c r="BG236" s="395"/>
      <c r="BH236" s="395"/>
      <c r="BI236" s="395"/>
      <c r="BJ236" s="395"/>
      <c r="BK236" s="369"/>
      <c r="BL236" s="395"/>
      <c r="BM236" s="395"/>
      <c r="BN236" s="395"/>
      <c r="BO236" s="395"/>
      <c r="BP236" s="395"/>
      <c r="BQ236" s="395"/>
      <c r="BR236" s="369"/>
      <c r="BS236" s="369"/>
      <c r="BT236" s="369"/>
      <c r="BU236" s="395"/>
      <c r="BV236" s="369"/>
      <c r="BW236" s="369"/>
      <c r="BX236" s="369"/>
      <c r="BY236" s="395"/>
      <c r="BZ236" s="369"/>
      <c r="CA236" s="369"/>
      <c r="CH236" s="395"/>
      <c r="CI236" s="511"/>
    </row>
    <row r="237" spans="2:87" s="747" customFormat="1" ht="13.9" customHeight="1" outlineLevel="1">
      <c r="B237" s="921" t="str">
        <f t="shared" ref="B237:B240" si="203">AQ237</f>
        <v>7.5hp: ZR94KCE-TFD</v>
      </c>
      <c r="C237" s="922"/>
      <c r="D237" s="923"/>
      <c r="E237" s="808"/>
      <c r="F237" s="809"/>
      <c r="G237" s="1053"/>
      <c r="H237" s="924" t="s">
        <v>100</v>
      </c>
      <c r="J237" s="828"/>
      <c r="K237" s="808"/>
      <c r="L237" s="809"/>
      <c r="M237" s="860">
        <v>1</v>
      </c>
      <c r="N237" s="813">
        <f t="shared" ref="N237:N240" si="204">IF(I237&gt;0,22/28*((I237/1000)^2-(I237/1000-2*J237/1000)^2)*K237/1000,IF(J237&gt;0,J237/1000*K237/1000*L237/1000, IF(K237&gt;0,K237/1000*L237/1000, IF(L237=0,1,L237/1000))))</f>
        <v>1</v>
      </c>
      <c r="O237" s="814">
        <v>1</v>
      </c>
      <c r="P237" s="811">
        <f t="shared" ref="P237:P240" si="205">M237*N237*O237</f>
        <v>1</v>
      </c>
      <c r="Q237" s="815">
        <v>1</v>
      </c>
      <c r="R237" s="505">
        <f t="shared" ref="R237:R242" si="206">+R$235</f>
        <v>1</v>
      </c>
      <c r="S237" s="815">
        <f t="shared" si="185"/>
        <v>1</v>
      </c>
      <c r="T237" s="925" t="s">
        <v>46</v>
      </c>
      <c r="U237" s="811">
        <v>520</v>
      </c>
      <c r="V237" s="927">
        <f t="shared" ref="V237:V240" si="207">1/VLOOKUP(T237,Y$12:Z$18,2,FALSE)</f>
        <v>1</v>
      </c>
      <c r="W237" s="926">
        <v>1.05</v>
      </c>
      <c r="X237" s="820">
        <v>57.2</v>
      </c>
      <c r="Y237" s="928">
        <f t="shared" ref="Y237:Y240" si="208">+P237*R237*AA237*X237</f>
        <v>57.2</v>
      </c>
      <c r="Z237" s="929">
        <f>S237*U237*V237*W237*0.3</f>
        <v>163.79999999999998</v>
      </c>
      <c r="AA237" s="823">
        <v>1</v>
      </c>
      <c r="AC237" s="457">
        <v>1</v>
      </c>
      <c r="AD237" s="457"/>
      <c r="AE237" s="457"/>
      <c r="AF237" s="457"/>
      <c r="AH237" s="827"/>
      <c r="AJ237" s="828">
        <f t="shared" ref="AJ237:AJ240" si="209">+Y237</f>
        <v>57.2</v>
      </c>
      <c r="AK237" s="862"/>
      <c r="AL237" s="828">
        <f t="shared" ref="AL237:AL240" si="210">+Z237</f>
        <v>163.79999999999998</v>
      </c>
      <c r="AM237" s="828"/>
      <c r="AO237" s="830"/>
      <c r="AQ237" s="930" t="s">
        <v>1459</v>
      </c>
      <c r="AR237" s="930" t="s">
        <v>1460</v>
      </c>
      <c r="AS237" s="1054">
        <v>57.2</v>
      </c>
      <c r="AT237" s="1055">
        <v>520</v>
      </c>
      <c r="AV237" s="830"/>
      <c r="AX237" s="505">
        <v>23</v>
      </c>
      <c r="AY237" s="841">
        <v>6.95</v>
      </c>
      <c r="AZ237" s="841">
        <v>27.6</v>
      </c>
      <c r="BA237" s="841">
        <v>12.83</v>
      </c>
      <c r="BB237" s="1022">
        <v>1.125</v>
      </c>
      <c r="BC237" s="1022">
        <v>0.875</v>
      </c>
      <c r="BD237" s="1056">
        <v>0.5</v>
      </c>
      <c r="BE237" s="936"/>
      <c r="BF237" s="830"/>
      <c r="BG237" s="936"/>
      <c r="BH237" s="936"/>
      <c r="BI237" s="936"/>
      <c r="BK237" s="936"/>
      <c r="BL237" s="936"/>
      <c r="BM237" s="936"/>
      <c r="BN237" s="936"/>
      <c r="BO237" s="936"/>
      <c r="BP237" s="936"/>
      <c r="BT237" s="936"/>
      <c r="BY237" s="936"/>
      <c r="CH237" s="936"/>
      <c r="CI237" s="938"/>
    </row>
    <row r="238" spans="2:87" s="747" customFormat="1" ht="13.9" customHeight="1" outlineLevel="1">
      <c r="B238" s="921" t="str">
        <f t="shared" si="203"/>
        <v>10.0hp: ZR125KCE-TFD</v>
      </c>
      <c r="C238" s="922"/>
      <c r="D238" s="923"/>
      <c r="E238" s="808"/>
      <c r="F238" s="809"/>
      <c r="G238" s="1053"/>
      <c r="H238" s="924" t="s">
        <v>100</v>
      </c>
      <c r="J238" s="828"/>
      <c r="K238" s="808"/>
      <c r="L238" s="809"/>
      <c r="M238" s="860">
        <v>1</v>
      </c>
      <c r="N238" s="813">
        <f t="shared" si="204"/>
        <v>1</v>
      </c>
      <c r="O238" s="814">
        <v>1</v>
      </c>
      <c r="P238" s="811">
        <f t="shared" si="205"/>
        <v>1</v>
      </c>
      <c r="Q238" s="815">
        <v>1</v>
      </c>
      <c r="R238" s="505">
        <f t="shared" si="206"/>
        <v>1</v>
      </c>
      <c r="S238" s="815">
        <f t="shared" si="185"/>
        <v>0</v>
      </c>
      <c r="T238" s="925" t="s">
        <v>46</v>
      </c>
      <c r="U238" s="811">
        <f>12175100/15000</f>
        <v>811.67333333333329</v>
      </c>
      <c r="V238" s="927">
        <f t="shared" si="207"/>
        <v>1</v>
      </c>
      <c r="W238" s="926">
        <v>1</v>
      </c>
      <c r="X238" s="820">
        <v>61.2</v>
      </c>
      <c r="Y238" s="928">
        <f t="shared" si="208"/>
        <v>0</v>
      </c>
      <c r="Z238" s="929">
        <f t="shared" ref="Z238:Z240" si="211">S238*U238*V238*W238</f>
        <v>0</v>
      </c>
      <c r="AA238" s="823"/>
      <c r="AC238" s="457"/>
      <c r="AD238" s="457">
        <v>1</v>
      </c>
      <c r="AE238" s="457"/>
      <c r="AF238" s="457"/>
      <c r="AH238" s="827"/>
      <c r="AJ238" s="828">
        <f t="shared" si="209"/>
        <v>0</v>
      </c>
      <c r="AK238" s="862"/>
      <c r="AL238" s="828">
        <f t="shared" si="210"/>
        <v>0</v>
      </c>
      <c r="AM238" s="828"/>
      <c r="AO238" s="830"/>
      <c r="AQ238" s="930" t="s">
        <v>1461</v>
      </c>
      <c r="AR238" s="930" t="s">
        <v>1462</v>
      </c>
      <c r="AS238" s="1054">
        <v>61.2</v>
      </c>
      <c r="AT238" s="1055">
        <v>570</v>
      </c>
      <c r="AV238" s="830"/>
      <c r="AX238" s="505">
        <v>30.2</v>
      </c>
      <c r="AY238" s="841">
        <v>8.9499999999999993</v>
      </c>
      <c r="AZ238" s="841">
        <v>36.1</v>
      </c>
      <c r="BA238" s="841">
        <v>16</v>
      </c>
      <c r="BB238" s="1022">
        <v>1.375</v>
      </c>
      <c r="BC238" s="1022">
        <v>0.875</v>
      </c>
      <c r="BD238" s="1056">
        <v>0.625</v>
      </c>
      <c r="BE238" s="936"/>
      <c r="BF238" s="830"/>
      <c r="BG238" s="936"/>
      <c r="BH238" s="936"/>
      <c r="BI238" s="936"/>
      <c r="BK238" s="936"/>
      <c r="BL238" s="936"/>
      <c r="BM238" s="936"/>
      <c r="BN238" s="936"/>
      <c r="BO238" s="936"/>
      <c r="BP238" s="936"/>
      <c r="BT238" s="936"/>
      <c r="BY238" s="936"/>
      <c r="CH238" s="936"/>
      <c r="CI238" s="938"/>
    </row>
    <row r="239" spans="2:87" s="747" customFormat="1" ht="13.9" customHeight="1" outlineLevel="1">
      <c r="B239" s="921" t="str">
        <f t="shared" si="203"/>
        <v>12.5hp: ZR144KCE-TFD</v>
      </c>
      <c r="C239" s="922"/>
      <c r="D239" s="923"/>
      <c r="E239" s="808"/>
      <c r="F239" s="809"/>
      <c r="G239" s="1053"/>
      <c r="H239" s="924" t="s">
        <v>100</v>
      </c>
      <c r="J239" s="828"/>
      <c r="K239" s="808"/>
      <c r="L239" s="809"/>
      <c r="M239" s="860">
        <v>1</v>
      </c>
      <c r="N239" s="813">
        <f t="shared" si="204"/>
        <v>1</v>
      </c>
      <c r="O239" s="814">
        <v>1</v>
      </c>
      <c r="P239" s="811">
        <f t="shared" si="205"/>
        <v>1</v>
      </c>
      <c r="Q239" s="815">
        <v>1</v>
      </c>
      <c r="R239" s="505">
        <f t="shared" si="206"/>
        <v>1</v>
      </c>
      <c r="S239" s="815">
        <f t="shared" si="185"/>
        <v>0</v>
      </c>
      <c r="T239" s="925" t="s">
        <v>46</v>
      </c>
      <c r="U239" s="811">
        <v>656.64</v>
      </c>
      <c r="V239" s="927">
        <f t="shared" si="207"/>
        <v>1</v>
      </c>
      <c r="W239" s="926">
        <v>1.05</v>
      </c>
      <c r="X239" s="820">
        <v>61.2</v>
      </c>
      <c r="Y239" s="928">
        <f t="shared" si="208"/>
        <v>0</v>
      </c>
      <c r="Z239" s="929">
        <f t="shared" si="211"/>
        <v>0</v>
      </c>
      <c r="AA239" s="823"/>
      <c r="AC239" s="457"/>
      <c r="AD239" s="457"/>
      <c r="AE239" s="457">
        <v>1</v>
      </c>
      <c r="AF239" s="457"/>
      <c r="AH239" s="827"/>
      <c r="AJ239" s="828">
        <f t="shared" si="209"/>
        <v>0</v>
      </c>
      <c r="AK239" s="862"/>
      <c r="AL239" s="828">
        <f t="shared" si="210"/>
        <v>0</v>
      </c>
      <c r="AM239" s="828"/>
      <c r="AO239" s="830"/>
      <c r="AQ239" s="930" t="s">
        <v>1463</v>
      </c>
      <c r="AR239" s="930" t="s">
        <v>1464</v>
      </c>
      <c r="AS239" s="1054">
        <v>61.2</v>
      </c>
      <c r="AT239" s="1055">
        <v>656.64</v>
      </c>
      <c r="AV239" s="830"/>
      <c r="AX239" s="505">
        <v>34.6</v>
      </c>
      <c r="AY239" s="841">
        <v>10.15</v>
      </c>
      <c r="AZ239" s="841">
        <v>41.2</v>
      </c>
      <c r="BA239" s="841">
        <v>17.66</v>
      </c>
      <c r="BB239" s="1022">
        <v>1.375</v>
      </c>
      <c r="BC239" s="1022">
        <v>0.875</v>
      </c>
      <c r="BD239" s="1056">
        <v>0.75</v>
      </c>
      <c r="BE239" s="936"/>
      <c r="BF239" s="830"/>
      <c r="BG239" s="936"/>
      <c r="BH239" s="936"/>
      <c r="BI239" s="936"/>
      <c r="BK239" s="936"/>
      <c r="BL239" s="936"/>
      <c r="BM239" s="936"/>
      <c r="BN239" s="936"/>
      <c r="BO239" s="936"/>
      <c r="BP239" s="936"/>
      <c r="BT239" s="936"/>
      <c r="BY239" s="936"/>
      <c r="CH239" s="936"/>
      <c r="CI239" s="938"/>
    </row>
    <row r="240" spans="2:87" s="747" customFormat="1" ht="13.9" customHeight="1" outlineLevel="1">
      <c r="B240" s="921" t="str">
        <f t="shared" si="203"/>
        <v>15.0hp: ZR190KCE-TFD</v>
      </c>
      <c r="C240" s="922"/>
      <c r="D240" s="923"/>
      <c r="E240" s="808"/>
      <c r="F240" s="809"/>
      <c r="G240" s="1053"/>
      <c r="H240" s="924" t="s">
        <v>100</v>
      </c>
      <c r="J240" s="828"/>
      <c r="K240" s="808"/>
      <c r="L240" s="809"/>
      <c r="M240" s="860">
        <v>1</v>
      </c>
      <c r="N240" s="813">
        <f t="shared" si="204"/>
        <v>1</v>
      </c>
      <c r="O240" s="814">
        <v>1</v>
      </c>
      <c r="P240" s="811">
        <f t="shared" si="205"/>
        <v>1</v>
      </c>
      <c r="Q240" s="815">
        <v>1</v>
      </c>
      <c r="R240" s="505">
        <f t="shared" si="206"/>
        <v>1</v>
      </c>
      <c r="S240" s="815">
        <f t="shared" si="185"/>
        <v>0</v>
      </c>
      <c r="T240" s="925" t="s">
        <v>46</v>
      </c>
      <c r="U240" s="811">
        <v>870</v>
      </c>
      <c r="V240" s="927">
        <f t="shared" si="207"/>
        <v>1</v>
      </c>
      <c r="W240" s="926">
        <v>1.05</v>
      </c>
      <c r="X240" s="820">
        <v>66.2</v>
      </c>
      <c r="Y240" s="928">
        <f t="shared" si="208"/>
        <v>0</v>
      </c>
      <c r="Z240" s="929">
        <f t="shared" si="211"/>
        <v>0</v>
      </c>
      <c r="AA240" s="823"/>
      <c r="AC240" s="457"/>
      <c r="AD240" s="457"/>
      <c r="AE240" s="457"/>
      <c r="AF240" s="457">
        <v>1</v>
      </c>
      <c r="AH240" s="827"/>
      <c r="AJ240" s="828">
        <f t="shared" si="209"/>
        <v>0</v>
      </c>
      <c r="AK240" s="862"/>
      <c r="AL240" s="828">
        <f t="shared" si="210"/>
        <v>0</v>
      </c>
      <c r="AM240" s="828"/>
      <c r="AO240" s="830"/>
      <c r="AQ240" s="930" t="s">
        <v>1465</v>
      </c>
      <c r="AR240" s="930" t="s">
        <v>1466</v>
      </c>
      <c r="AS240" s="1054">
        <v>66.2</v>
      </c>
      <c r="AT240" s="1055">
        <v>870</v>
      </c>
      <c r="AV240" s="830"/>
      <c r="AX240" s="505">
        <v>44</v>
      </c>
      <c r="AY240" s="841">
        <v>13.65</v>
      </c>
      <c r="AZ240" s="841">
        <v>53.1</v>
      </c>
      <c r="BA240" s="841">
        <v>26.45</v>
      </c>
      <c r="BB240" s="1022">
        <v>1.375</v>
      </c>
      <c r="BC240" s="1022">
        <v>0.875</v>
      </c>
      <c r="BD240" s="1056">
        <v>0.625</v>
      </c>
      <c r="BE240" s="936"/>
      <c r="BF240" s="830"/>
      <c r="BG240" s="936"/>
      <c r="BH240" s="936"/>
      <c r="BI240" s="936"/>
      <c r="BK240" s="936"/>
      <c r="BL240" s="936"/>
      <c r="BM240" s="936"/>
      <c r="BN240" s="936"/>
      <c r="BO240" s="936"/>
      <c r="BP240" s="936"/>
      <c r="BT240" s="936"/>
      <c r="BY240" s="936"/>
      <c r="CH240" s="936"/>
      <c r="CI240" s="938"/>
    </row>
    <row r="241" spans="2:87" s="370" customFormat="1" ht="15">
      <c r="B241" s="895" t="s">
        <v>1447</v>
      </c>
      <c r="C241" s="896"/>
      <c r="D241" s="897"/>
      <c r="E241" s="898"/>
      <c r="F241" s="899"/>
      <c r="G241" s="899"/>
      <c r="H241" s="900"/>
      <c r="I241" s="901"/>
      <c r="J241" s="902"/>
      <c r="K241" s="898"/>
      <c r="L241" s="899"/>
      <c r="M241" s="903"/>
      <c r="N241" s="904"/>
      <c r="O241" s="898"/>
      <c r="P241" s="902"/>
      <c r="Q241" s="905"/>
      <c r="R241" s="903"/>
      <c r="S241" s="905"/>
      <c r="T241" s="906"/>
      <c r="U241" s="906"/>
      <c r="V241" s="907"/>
      <c r="W241" s="908"/>
      <c r="X241" s="909"/>
      <c r="Y241" s="910">
        <f>SUM(Y242:Y242)</f>
        <v>0.15</v>
      </c>
      <c r="Z241" s="910">
        <f>SUM(Z242:Z242)</f>
        <v>15.75</v>
      </c>
      <c r="AA241" s="911"/>
      <c r="AB241" s="747"/>
      <c r="AC241" s="912"/>
      <c r="AD241" s="912"/>
      <c r="AE241" s="912"/>
      <c r="AF241" s="913"/>
      <c r="AH241" s="521"/>
      <c r="AJ241" s="483"/>
      <c r="AK241" s="522">
        <f>SUM(AJ242:AJ242)</f>
        <v>0.15</v>
      </c>
      <c r="AL241" s="401"/>
      <c r="AM241" s="523">
        <f>SUM(AL242:AL242)</f>
        <v>15.75</v>
      </c>
      <c r="AO241" s="521"/>
      <c r="AQ241" s="897"/>
      <c r="AR241" s="960"/>
      <c r="AS241" s="960"/>
      <c r="AT241" s="961"/>
      <c r="AV241" s="521"/>
      <c r="AX241" s="897"/>
      <c r="AY241" s="960"/>
      <c r="AZ241" s="960"/>
      <c r="BA241" s="960"/>
      <c r="BB241" s="960"/>
      <c r="BC241" s="960"/>
      <c r="BD241" s="961"/>
      <c r="BF241" s="524"/>
      <c r="BG241" s="395"/>
      <c r="BH241" s="395"/>
      <c r="BI241" s="395"/>
      <c r="BJ241" s="395"/>
      <c r="BK241" s="369"/>
      <c r="BL241" s="395"/>
      <c r="BM241" s="395"/>
      <c r="BN241" s="395"/>
      <c r="BO241" s="395"/>
      <c r="BP241" s="395"/>
      <c r="BQ241" s="395"/>
      <c r="BR241" s="369"/>
      <c r="BS241" s="369"/>
      <c r="BT241" s="369"/>
      <c r="BU241" s="395"/>
      <c r="BV241" s="369"/>
      <c r="BW241" s="369"/>
      <c r="BX241" s="369"/>
      <c r="BY241" s="395"/>
      <c r="BZ241" s="369"/>
      <c r="CA241" s="369"/>
      <c r="CH241" s="395"/>
      <c r="CI241" s="511"/>
    </row>
    <row r="242" spans="2:87" s="747" customFormat="1" ht="13.9" hidden="1" customHeight="1" outlineLevel="1">
      <c r="B242" s="921" t="s">
        <v>1448</v>
      </c>
      <c r="C242" s="922"/>
      <c r="D242" s="923"/>
      <c r="E242" s="808"/>
      <c r="F242" s="809"/>
      <c r="G242" s="809"/>
      <c r="H242" s="924" t="s">
        <v>100</v>
      </c>
      <c r="J242" s="828"/>
      <c r="K242" s="808"/>
      <c r="L242" s="809"/>
      <c r="M242" s="860">
        <v>1</v>
      </c>
      <c r="N242" s="813">
        <f>IF(I242&gt;0,22/28*((I242/1000)^2-(I242/1000-2*J242/1000)^2)*K242/1000,IF(J242&gt;0,J242/1000*K242/1000*L242/1000, IF(K242&gt;0,K242/1000*L242/1000, IF(L242=0,1,L242/1000))))</f>
        <v>1</v>
      </c>
      <c r="O242" s="814">
        <v>1</v>
      </c>
      <c r="P242" s="811">
        <f>M242*N242*O242</f>
        <v>1</v>
      </c>
      <c r="Q242" s="815">
        <v>1</v>
      </c>
      <c r="R242" s="505">
        <f t="shared" si="206"/>
        <v>1</v>
      </c>
      <c r="S242" s="815">
        <f>P242*AA242*Q242*R242</f>
        <v>1</v>
      </c>
      <c r="T242" s="925" t="s">
        <v>46</v>
      </c>
      <c r="U242" s="1059">
        <v>15</v>
      </c>
      <c r="V242" s="927">
        <f>1/VLOOKUP(T242,Y$12:Z$18,2,FALSE)</f>
        <v>1</v>
      </c>
      <c r="W242" s="926">
        <v>1.05</v>
      </c>
      <c r="X242" s="820">
        <v>0.15</v>
      </c>
      <c r="Y242" s="928">
        <f>+P242*R242*AA242*X242</f>
        <v>0.15</v>
      </c>
      <c r="Z242" s="929">
        <f>S242*U242*V242*W242</f>
        <v>15.75</v>
      </c>
      <c r="AA242" s="823">
        <v>1</v>
      </c>
      <c r="AC242" s="457">
        <v>1</v>
      </c>
      <c r="AD242" s="457">
        <v>1</v>
      </c>
      <c r="AE242" s="457">
        <v>1</v>
      </c>
      <c r="AF242" s="457">
        <v>1</v>
      </c>
      <c r="AG242" s="824"/>
      <c r="AH242" s="827"/>
      <c r="AI242" s="824"/>
      <c r="AJ242" s="828">
        <f>+Y242</f>
        <v>0.15</v>
      </c>
      <c r="AK242" s="862"/>
      <c r="AL242" s="828">
        <f>+Z242</f>
        <v>15.75</v>
      </c>
      <c r="AM242" s="862"/>
      <c r="AN242" s="824"/>
      <c r="AO242" s="827"/>
      <c r="AP242" s="824"/>
      <c r="AQ242" s="930"/>
      <c r="AS242" s="828"/>
      <c r="AT242" s="964"/>
      <c r="AU242" s="824"/>
      <c r="AV242" s="827"/>
      <c r="AW242" s="824"/>
      <c r="AX242" s="934"/>
      <c r="AY242" s="936"/>
      <c r="AZ242" s="936"/>
      <c r="BA242" s="936"/>
      <c r="BB242" s="936"/>
      <c r="BD242" s="924"/>
      <c r="BE242" s="936"/>
      <c r="BF242" s="830"/>
      <c r="BG242" s="936"/>
      <c r="BH242" s="936"/>
      <c r="BJ242" s="936"/>
      <c r="BK242" s="936"/>
      <c r="BL242" s="936"/>
      <c r="BM242" s="936"/>
      <c r="BN242" s="936"/>
      <c r="BO242" s="936"/>
      <c r="BP242" s="936"/>
      <c r="BS242" s="936"/>
      <c r="CH242" s="936"/>
      <c r="CI242" s="938"/>
    </row>
    <row r="243" spans="2:87" s="370" customFormat="1" ht="15" collapsed="1">
      <c r="B243" s="783" t="s">
        <v>1467</v>
      </c>
      <c r="C243" s="784"/>
      <c r="D243" s="785"/>
      <c r="E243" s="786"/>
      <c r="F243" s="787"/>
      <c r="G243" s="787"/>
      <c r="H243" s="788" t="s">
        <v>30</v>
      </c>
      <c r="I243" s="789" t="s">
        <v>1162</v>
      </c>
      <c r="J243" s="790" t="s">
        <v>1071</v>
      </c>
      <c r="K243" s="786" t="s">
        <v>1072</v>
      </c>
      <c r="L243" s="787" t="s">
        <v>21</v>
      </c>
      <c r="M243" s="791" t="s">
        <v>82</v>
      </c>
      <c r="N243" s="839" t="s">
        <v>1163</v>
      </c>
      <c r="O243" s="786" t="s">
        <v>1154</v>
      </c>
      <c r="P243" s="790" t="s">
        <v>1164</v>
      </c>
      <c r="Q243" s="793" t="s">
        <v>34</v>
      </c>
      <c r="R243" s="894">
        <f>IF(D$8="Daikin",1,0)</f>
        <v>0</v>
      </c>
      <c r="S243" s="793" t="s">
        <v>13</v>
      </c>
      <c r="T243" s="794" t="s">
        <v>128</v>
      </c>
      <c r="U243" s="794" t="s">
        <v>111</v>
      </c>
      <c r="V243" s="795" t="s">
        <v>32</v>
      </c>
      <c r="W243" s="796" t="s">
        <v>33</v>
      </c>
      <c r="X243" s="797"/>
      <c r="Y243" s="798"/>
      <c r="Z243" s="799"/>
      <c r="AA243" s="800" t="str">
        <f>+AA$2</f>
        <v>SCU75M1</v>
      </c>
      <c r="AC243" s="801" t="str">
        <f>+AC$2</f>
        <v>SCU75M1</v>
      </c>
      <c r="AD243" s="801" t="str">
        <f>+AD$2</f>
        <v>SCU100M1</v>
      </c>
      <c r="AE243" s="801" t="str">
        <f>+AE$2</f>
        <v>SCU125M1</v>
      </c>
      <c r="AF243" s="802" t="str">
        <f>+AF$2</f>
        <v>SCU150M1</v>
      </c>
      <c r="AH243" s="521"/>
      <c r="AJ243" s="483"/>
      <c r="AK243" s="522"/>
      <c r="AL243" s="401"/>
      <c r="AM243" s="523"/>
      <c r="AO243" s="521"/>
      <c r="AP243" s="747"/>
      <c r="AQ243" s="2143" t="str">
        <f>+B243</f>
        <v>4. COMPRESSOR: Daikin R407c</v>
      </c>
      <c r="AR243" s="2144"/>
      <c r="AS243" s="2144"/>
      <c r="AT243" s="2145"/>
      <c r="AU243" s="747"/>
      <c r="AV243" s="521"/>
      <c r="AW243" s="747"/>
      <c r="AX243" s="2143" t="str">
        <f>+AQ243</f>
        <v>4. COMPRESSOR: Daikin R407c</v>
      </c>
      <c r="AY243" s="2144"/>
      <c r="AZ243" s="2144"/>
      <c r="BA243" s="2144"/>
      <c r="BB243" s="2144"/>
      <c r="BC243" s="2144"/>
      <c r="BD243" s="2145"/>
      <c r="BE243" s="395"/>
      <c r="BF243" s="524"/>
      <c r="BG243" s="395"/>
      <c r="BH243" s="395"/>
      <c r="BI243" s="369"/>
      <c r="BJ243" s="395"/>
      <c r="BK243" s="395"/>
      <c r="BL243" s="395"/>
      <c r="BM243" s="395"/>
      <c r="BN243" s="395"/>
      <c r="BO243" s="395"/>
      <c r="BP243" s="395"/>
      <c r="BQ243" s="369"/>
      <c r="BR243" s="369"/>
      <c r="BS243" s="395"/>
      <c r="BT243" s="369"/>
      <c r="BU243" s="369"/>
      <c r="BV243" s="369"/>
      <c r="BW243" s="369"/>
      <c r="BX243" s="369"/>
      <c r="BY243" s="369"/>
      <c r="CH243" s="395"/>
      <c r="CI243" s="511"/>
    </row>
    <row r="244" spans="2:87" s="370" customFormat="1" ht="15" collapsed="1">
      <c r="B244" s="895" t="s">
        <v>1432</v>
      </c>
      <c r="C244" s="896"/>
      <c r="D244" s="897"/>
      <c r="E244" s="898"/>
      <c r="F244" s="899"/>
      <c r="G244" s="899"/>
      <c r="H244" s="900"/>
      <c r="I244" s="901"/>
      <c r="J244" s="902"/>
      <c r="K244" s="898"/>
      <c r="L244" s="899"/>
      <c r="M244" s="903"/>
      <c r="N244" s="904"/>
      <c r="O244" s="898"/>
      <c r="P244" s="902"/>
      <c r="Q244" s="905"/>
      <c r="R244" s="903"/>
      <c r="S244" s="905"/>
      <c r="T244" s="906"/>
      <c r="U244" s="906"/>
      <c r="V244" s="907"/>
      <c r="W244" s="908"/>
      <c r="X244" s="909"/>
      <c r="Y244" s="910">
        <f>SUM(Y245:Y248)</f>
        <v>0</v>
      </c>
      <c r="Z244" s="910">
        <f>SUM(Z245:Z248)</f>
        <v>0</v>
      </c>
      <c r="AA244" s="911"/>
      <c r="AB244" s="747"/>
      <c r="AC244" s="912"/>
      <c r="AD244" s="912"/>
      <c r="AE244" s="912"/>
      <c r="AF244" s="913"/>
      <c r="AH244" s="521"/>
      <c r="AJ244" s="483"/>
      <c r="AK244" s="522">
        <f>SUM(AJ245:AJ248)</f>
        <v>0</v>
      </c>
      <c r="AL244" s="401"/>
      <c r="AM244" s="523">
        <f>SUM(AL245:AL248)</f>
        <v>0</v>
      </c>
      <c r="AO244" s="521"/>
      <c r="AQ244" s="914" t="str">
        <f>+B244</f>
        <v>- Compressor Assy</v>
      </c>
      <c r="AR244" s="915" t="s">
        <v>1058</v>
      </c>
      <c r="AS244" s="970" t="s">
        <v>97</v>
      </c>
      <c r="AT244" s="917" t="s">
        <v>1345</v>
      </c>
      <c r="AV244" s="521"/>
      <c r="AX244" s="918" t="s">
        <v>1433</v>
      </c>
      <c r="AY244" s="919" t="s">
        <v>1434</v>
      </c>
      <c r="AZ244" s="919" t="s">
        <v>1435</v>
      </c>
      <c r="BA244" s="919" t="s">
        <v>1347</v>
      </c>
      <c r="BB244" s="919" t="s">
        <v>1436</v>
      </c>
      <c r="BC244" s="919" t="s">
        <v>1437</v>
      </c>
      <c r="BD244" s="945" t="s">
        <v>1438</v>
      </c>
      <c r="BE244" s="369"/>
      <c r="BF244" s="524"/>
      <c r="BG244" s="395"/>
      <c r="BH244" s="395"/>
      <c r="BI244" s="395"/>
      <c r="BJ244" s="395"/>
      <c r="BK244" s="369"/>
      <c r="BL244" s="395"/>
      <c r="BM244" s="395"/>
      <c r="BN244" s="395"/>
      <c r="BO244" s="395"/>
      <c r="BP244" s="395"/>
      <c r="BQ244" s="395"/>
      <c r="BR244" s="369"/>
      <c r="BS244" s="369"/>
      <c r="BT244" s="369"/>
      <c r="BU244" s="395"/>
      <c r="BV244" s="369"/>
      <c r="BW244" s="369"/>
      <c r="BX244" s="369"/>
      <c r="BY244" s="395"/>
      <c r="BZ244" s="369"/>
      <c r="CA244" s="369"/>
      <c r="CH244" s="395"/>
      <c r="CI244" s="511"/>
    </row>
    <row r="245" spans="2:87" s="747" customFormat="1" ht="13.9" hidden="1" customHeight="1" outlineLevel="1">
      <c r="B245" s="921" t="str">
        <f t="shared" ref="B245:B248" si="212">AQ245</f>
        <v>7.5hp: JT265DA-Y1</v>
      </c>
      <c r="C245" s="922"/>
      <c r="D245" s="923"/>
      <c r="E245" s="808"/>
      <c r="F245" s="809"/>
      <c r="G245" s="1053"/>
      <c r="H245" s="924" t="s">
        <v>100</v>
      </c>
      <c r="J245" s="828"/>
      <c r="K245" s="808"/>
      <c r="L245" s="809"/>
      <c r="M245" s="860">
        <v>1</v>
      </c>
      <c r="N245" s="813">
        <f t="shared" ref="N245:N248" si="213">IF(I245&gt;0,22/28*((I245/1000)^2-(I245/1000-2*J245/1000)^2)*K245/1000,IF(J245&gt;0,J245/1000*K245/1000*L245/1000, IF(K245&gt;0,K245/1000*L245/1000, IF(L245=0,1,L245/1000))))</f>
        <v>1</v>
      </c>
      <c r="O245" s="814">
        <v>1</v>
      </c>
      <c r="P245" s="811">
        <f t="shared" ref="P245:P248" si="214">M245*N245*O245</f>
        <v>1</v>
      </c>
      <c r="Q245" s="815">
        <v>1</v>
      </c>
      <c r="R245" s="505">
        <f t="shared" ref="R245:R250" si="215">+R$243</f>
        <v>0</v>
      </c>
      <c r="S245" s="815">
        <f t="shared" si="185"/>
        <v>0</v>
      </c>
      <c r="T245" s="925" t="s">
        <v>46</v>
      </c>
      <c r="U245" s="811">
        <v>414</v>
      </c>
      <c r="V245" s="927">
        <f t="shared" ref="V245:V248" si="216">1/VLOOKUP(T245,Y$12:Z$18,2,FALSE)</f>
        <v>1</v>
      </c>
      <c r="W245" s="926">
        <v>1.05</v>
      </c>
      <c r="X245" s="820">
        <v>57.2</v>
      </c>
      <c r="Y245" s="928">
        <f t="shared" ref="Y245:Y248" si="217">+P245*R245*AA245*X245</f>
        <v>0</v>
      </c>
      <c r="Z245" s="929">
        <f t="shared" ref="Z245:Z248" si="218">S245*U245*V245*W245</f>
        <v>0</v>
      </c>
      <c r="AA245" s="823">
        <v>1</v>
      </c>
      <c r="AC245" s="457">
        <v>1</v>
      </c>
      <c r="AD245" s="457"/>
      <c r="AE245" s="457"/>
      <c r="AF245" s="457"/>
      <c r="AH245" s="827"/>
      <c r="AJ245" s="828">
        <f t="shared" ref="AJ245:AJ248" si="219">+Y245</f>
        <v>0</v>
      </c>
      <c r="AK245" s="862"/>
      <c r="AL245" s="828">
        <f t="shared" ref="AL245:AL248" si="220">+Z245</f>
        <v>0</v>
      </c>
      <c r="AM245" s="828"/>
      <c r="AO245" s="830"/>
      <c r="AQ245" s="930" t="s">
        <v>1468</v>
      </c>
      <c r="AR245" s="930" t="s">
        <v>1469</v>
      </c>
      <c r="AS245" s="1054">
        <v>57.2</v>
      </c>
      <c r="AT245" s="1055">
        <v>414</v>
      </c>
      <c r="AV245" s="830"/>
      <c r="AX245" s="505">
        <v>23.381189569293877</v>
      </c>
      <c r="AY245" s="841">
        <v>8.36</v>
      </c>
      <c r="AZ245" s="841">
        <f t="shared" ref="AZ245:AZ247" si="221">+AX245*1.3</f>
        <v>30.39554644008204</v>
      </c>
      <c r="BA245" s="841">
        <v>14.1</v>
      </c>
      <c r="BB245" s="1022">
        <v>1.2519685039370079</v>
      </c>
      <c r="BC245" s="1022">
        <v>0.75196850393700798</v>
      </c>
      <c r="BD245" s="1056">
        <v>0.5</v>
      </c>
      <c r="BE245" s="936"/>
      <c r="BF245" s="830"/>
      <c r="BG245" s="936"/>
      <c r="BH245" s="936"/>
      <c r="BJ245" s="936"/>
      <c r="BK245" s="936"/>
      <c r="BL245" s="936"/>
      <c r="BM245" s="936"/>
      <c r="BN245" s="936"/>
      <c r="BO245" s="936"/>
      <c r="BP245" s="936"/>
      <c r="BS245" s="936"/>
      <c r="CH245" s="936"/>
      <c r="CI245" s="938"/>
    </row>
    <row r="246" spans="2:87" s="747" customFormat="1" ht="13.9" hidden="1" customHeight="1" outlineLevel="1">
      <c r="B246" s="921" t="str">
        <f t="shared" si="212"/>
        <v>10.0hp: JT300DA-Y1L</v>
      </c>
      <c r="C246" s="922"/>
      <c r="D246" s="923"/>
      <c r="E246" s="808"/>
      <c r="F246" s="809"/>
      <c r="G246" s="1053"/>
      <c r="H246" s="924" t="s">
        <v>100</v>
      </c>
      <c r="J246" s="828"/>
      <c r="K246" s="808"/>
      <c r="L246" s="809"/>
      <c r="M246" s="860">
        <v>1</v>
      </c>
      <c r="N246" s="813">
        <f t="shared" si="213"/>
        <v>1</v>
      </c>
      <c r="O246" s="814">
        <v>1</v>
      </c>
      <c r="P246" s="811">
        <f t="shared" si="214"/>
        <v>1</v>
      </c>
      <c r="Q246" s="815">
        <v>1</v>
      </c>
      <c r="R246" s="505">
        <f t="shared" si="215"/>
        <v>0</v>
      </c>
      <c r="S246" s="815">
        <f t="shared" si="185"/>
        <v>0</v>
      </c>
      <c r="T246" s="925" t="s">
        <v>46</v>
      </c>
      <c r="U246" s="811">
        <v>424.4</v>
      </c>
      <c r="V246" s="927">
        <f t="shared" si="216"/>
        <v>1</v>
      </c>
      <c r="W246" s="926">
        <v>1.05</v>
      </c>
      <c r="X246" s="820">
        <v>61.2</v>
      </c>
      <c r="Y246" s="928">
        <f t="shared" si="217"/>
        <v>0</v>
      </c>
      <c r="Z246" s="929">
        <f t="shared" si="218"/>
        <v>0</v>
      </c>
      <c r="AA246" s="823"/>
      <c r="AC246" s="457"/>
      <c r="AD246" s="457">
        <v>1</v>
      </c>
      <c r="AE246" s="457"/>
      <c r="AF246" s="457"/>
      <c r="AH246" s="827"/>
      <c r="AJ246" s="828">
        <f t="shared" si="219"/>
        <v>0</v>
      </c>
      <c r="AK246" s="862"/>
      <c r="AL246" s="828">
        <f t="shared" si="220"/>
        <v>0</v>
      </c>
      <c r="AM246" s="828"/>
      <c r="AO246" s="830"/>
      <c r="AQ246" s="930" t="s">
        <v>1470</v>
      </c>
      <c r="AR246" s="930" t="s">
        <v>1471</v>
      </c>
      <c r="AS246" s="1054">
        <v>61.2</v>
      </c>
      <c r="AT246" s="1055">
        <v>424.4</v>
      </c>
      <c r="AV246" s="830"/>
      <c r="AX246" s="505">
        <v>29.592733665397013</v>
      </c>
      <c r="AY246" s="841">
        <v>9.5500000000000007</v>
      </c>
      <c r="AZ246" s="841">
        <f t="shared" si="221"/>
        <v>38.47055376501612</v>
      </c>
      <c r="BA246" s="841">
        <v>16.399999999999999</v>
      </c>
      <c r="BB246" s="1022">
        <v>1.2519685039370079</v>
      </c>
      <c r="BC246" s="1022">
        <v>0.75196850393700798</v>
      </c>
      <c r="BD246" s="1056">
        <v>0.625</v>
      </c>
      <c r="BE246" s="936"/>
      <c r="BF246" s="830"/>
      <c r="BG246" s="936"/>
      <c r="BH246" s="936"/>
      <c r="BJ246" s="936"/>
      <c r="BK246" s="936"/>
      <c r="BL246" s="936"/>
      <c r="BM246" s="936"/>
      <c r="BN246" s="936"/>
      <c r="BO246" s="936"/>
      <c r="BP246" s="936"/>
      <c r="BS246" s="936"/>
      <c r="CH246" s="936"/>
      <c r="CI246" s="938"/>
    </row>
    <row r="247" spans="2:87" s="747" customFormat="1" ht="13.9" hidden="1" customHeight="1" outlineLevel="1">
      <c r="B247" s="921" t="str">
        <f t="shared" si="212"/>
        <v>12.5hp: JT335DA-Y1L</v>
      </c>
      <c r="C247" s="922"/>
      <c r="D247" s="923"/>
      <c r="E247" s="808"/>
      <c r="F247" s="809"/>
      <c r="G247" s="1053"/>
      <c r="H247" s="924" t="s">
        <v>100</v>
      </c>
      <c r="J247" s="828"/>
      <c r="K247" s="808"/>
      <c r="L247" s="809"/>
      <c r="M247" s="860">
        <v>1</v>
      </c>
      <c r="N247" s="813">
        <f t="shared" si="213"/>
        <v>1</v>
      </c>
      <c r="O247" s="814">
        <v>1</v>
      </c>
      <c r="P247" s="811">
        <f t="shared" si="214"/>
        <v>1</v>
      </c>
      <c r="Q247" s="815">
        <v>1</v>
      </c>
      <c r="R247" s="505">
        <f t="shared" si="215"/>
        <v>0</v>
      </c>
      <c r="S247" s="815">
        <f t="shared" si="185"/>
        <v>0</v>
      </c>
      <c r="T247" s="925" t="s">
        <v>46</v>
      </c>
      <c r="U247" s="811">
        <v>434.7</v>
      </c>
      <c r="V247" s="927">
        <f t="shared" si="216"/>
        <v>1</v>
      </c>
      <c r="W247" s="926">
        <v>1.05</v>
      </c>
      <c r="X247" s="820">
        <v>64.900000000000006</v>
      </c>
      <c r="Y247" s="928">
        <f t="shared" si="217"/>
        <v>0</v>
      </c>
      <c r="Z247" s="929">
        <f t="shared" si="218"/>
        <v>0</v>
      </c>
      <c r="AA247" s="823"/>
      <c r="AC247" s="457"/>
      <c r="AD247" s="457"/>
      <c r="AE247" s="457">
        <v>1</v>
      </c>
      <c r="AF247" s="457"/>
      <c r="AH247" s="827"/>
      <c r="AJ247" s="828">
        <f t="shared" si="219"/>
        <v>0</v>
      </c>
      <c r="AK247" s="862"/>
      <c r="AL247" s="828">
        <f t="shared" si="220"/>
        <v>0</v>
      </c>
      <c r="AM247" s="828"/>
      <c r="AO247" s="830"/>
      <c r="AQ247" s="930" t="s">
        <v>1472</v>
      </c>
      <c r="AR247" s="930" t="s">
        <v>1473</v>
      </c>
      <c r="AS247" s="1054">
        <v>64.900000000000006</v>
      </c>
      <c r="AT247" s="1055">
        <v>434.7</v>
      </c>
      <c r="AV247" s="830"/>
      <c r="AX247" s="505">
        <v>33.694696747729267</v>
      </c>
      <c r="AY247" s="841">
        <v>10.81</v>
      </c>
      <c r="AZ247" s="841">
        <f t="shared" si="221"/>
        <v>43.803105772048049</v>
      </c>
      <c r="BA247" s="841">
        <v>18.3</v>
      </c>
      <c r="BB247" s="1022">
        <v>1.2519685039370079</v>
      </c>
      <c r="BC247" s="1022">
        <v>0.75196850393700798</v>
      </c>
      <c r="BD247" s="1056">
        <v>0.75</v>
      </c>
      <c r="BE247" s="936"/>
      <c r="BF247" s="830"/>
      <c r="BG247" s="936"/>
      <c r="BH247" s="936"/>
      <c r="BJ247" s="936"/>
      <c r="BK247" s="936"/>
      <c r="BL247" s="936"/>
      <c r="BM247" s="936"/>
      <c r="BN247" s="936"/>
      <c r="BO247" s="936"/>
      <c r="BP247" s="936"/>
      <c r="BS247" s="936"/>
      <c r="CH247" s="936"/>
      <c r="CI247" s="938"/>
    </row>
    <row r="248" spans="2:87" s="747" customFormat="1" ht="13.9" hidden="1" customHeight="1" outlineLevel="1">
      <c r="B248" s="921" t="str">
        <f t="shared" si="212"/>
        <v>15.0hp: JT265DA-Y1 x 2</v>
      </c>
      <c r="C248" s="922"/>
      <c r="D248" s="923"/>
      <c r="E248" s="808"/>
      <c r="F248" s="809"/>
      <c r="G248" s="1053"/>
      <c r="H248" s="924" t="s">
        <v>100</v>
      </c>
      <c r="J248" s="828"/>
      <c r="K248" s="808"/>
      <c r="L248" s="809"/>
      <c r="M248" s="860">
        <v>1</v>
      </c>
      <c r="N248" s="813">
        <f t="shared" si="213"/>
        <v>1</v>
      </c>
      <c r="O248" s="814">
        <v>1</v>
      </c>
      <c r="P248" s="811">
        <f t="shared" si="214"/>
        <v>1</v>
      </c>
      <c r="Q248" s="815">
        <v>1</v>
      </c>
      <c r="R248" s="505">
        <f t="shared" si="215"/>
        <v>0</v>
      </c>
      <c r="S248" s="815">
        <f t="shared" si="185"/>
        <v>0</v>
      </c>
      <c r="T248" s="925" t="s">
        <v>46</v>
      </c>
      <c r="U248" s="811">
        <v>828</v>
      </c>
      <c r="V248" s="927">
        <f t="shared" si="216"/>
        <v>1</v>
      </c>
      <c r="W248" s="926">
        <v>1.05</v>
      </c>
      <c r="X248" s="820">
        <v>114.4</v>
      </c>
      <c r="Y248" s="928">
        <f t="shared" si="217"/>
        <v>0</v>
      </c>
      <c r="Z248" s="929">
        <f t="shared" si="218"/>
        <v>0</v>
      </c>
      <c r="AA248" s="823"/>
      <c r="AC248" s="457"/>
      <c r="AD248" s="457"/>
      <c r="AE248" s="457"/>
      <c r="AF248" s="457">
        <v>1</v>
      </c>
      <c r="AH248" s="827"/>
      <c r="AJ248" s="828">
        <f t="shared" si="219"/>
        <v>0</v>
      </c>
      <c r="AK248" s="862"/>
      <c r="AL248" s="828">
        <f t="shared" si="220"/>
        <v>0</v>
      </c>
      <c r="AM248" s="828"/>
      <c r="AO248" s="830"/>
      <c r="AQ248" s="1060" t="s">
        <v>1474</v>
      </c>
      <c r="AR248" s="1060" t="s">
        <v>1475</v>
      </c>
      <c r="AS248" s="1061">
        <f>+AS245*2</f>
        <v>114.4</v>
      </c>
      <c r="AT248" s="1062">
        <f>+AT245*2</f>
        <v>828</v>
      </c>
      <c r="AV248" s="830"/>
      <c r="AX248" s="1063">
        <f>+AX245*2</f>
        <v>46.762379138587754</v>
      </c>
      <c r="AY248" s="1064">
        <f>+AY245*2</f>
        <v>16.72</v>
      </c>
      <c r="AZ248" s="1064">
        <f>+AZ245*2</f>
        <v>60.791092880164079</v>
      </c>
      <c r="BA248" s="1065">
        <f>+BA245*2</f>
        <v>28.2</v>
      </c>
      <c r="BB248" s="1066">
        <v>1.2519685039370079</v>
      </c>
      <c r="BC248" s="1067">
        <v>0.75196850393700798</v>
      </c>
      <c r="BD248" s="1068">
        <v>0.5</v>
      </c>
      <c r="BE248" s="936"/>
      <c r="BF248" s="830"/>
      <c r="BG248" s="936"/>
      <c r="BH248" s="936"/>
      <c r="BJ248" s="936"/>
      <c r="BK248" s="936"/>
      <c r="BL248" s="936"/>
      <c r="BM248" s="936"/>
      <c r="BN248" s="936"/>
      <c r="BO248" s="936"/>
      <c r="BP248" s="936"/>
      <c r="BS248" s="936"/>
      <c r="CH248" s="936"/>
      <c r="CI248" s="938"/>
    </row>
    <row r="249" spans="2:87" s="370" customFormat="1" ht="15" collapsed="1">
      <c r="B249" s="895" t="s">
        <v>1447</v>
      </c>
      <c r="C249" s="896"/>
      <c r="D249" s="897"/>
      <c r="E249" s="898"/>
      <c r="F249" s="899"/>
      <c r="G249" s="899"/>
      <c r="H249" s="900"/>
      <c r="I249" s="901"/>
      <c r="J249" s="902"/>
      <c r="K249" s="898"/>
      <c r="L249" s="899"/>
      <c r="M249" s="903"/>
      <c r="N249" s="904"/>
      <c r="O249" s="898"/>
      <c r="P249" s="902"/>
      <c r="Q249" s="905"/>
      <c r="R249" s="903"/>
      <c r="S249" s="905"/>
      <c r="T249" s="906"/>
      <c r="U249" s="906"/>
      <c r="V249" s="907"/>
      <c r="W249" s="908"/>
      <c r="X249" s="909"/>
      <c r="Y249" s="910">
        <f>SUM(Y250:Y250)</f>
        <v>0</v>
      </c>
      <c r="Z249" s="910">
        <f>SUM(Z250:Z250)</f>
        <v>0</v>
      </c>
      <c r="AA249" s="911"/>
      <c r="AB249" s="747"/>
      <c r="AC249" s="912"/>
      <c r="AD249" s="912"/>
      <c r="AE249" s="912"/>
      <c r="AF249" s="913"/>
      <c r="AH249" s="521"/>
      <c r="AJ249" s="483"/>
      <c r="AK249" s="522">
        <f>SUM(AJ250:AJ250)</f>
        <v>0</v>
      </c>
      <c r="AL249" s="401"/>
      <c r="AM249" s="523">
        <f>SUM(AL250:AL250)</f>
        <v>0</v>
      </c>
      <c r="AO249" s="521"/>
      <c r="AQ249" s="897"/>
      <c r="AR249" s="960"/>
      <c r="AS249" s="960"/>
      <c r="AT249" s="961"/>
      <c r="AV249" s="521"/>
      <c r="AX249" s="897"/>
      <c r="AY249" s="960"/>
      <c r="AZ249" s="960"/>
      <c r="BA249" s="960"/>
      <c r="BB249" s="960"/>
      <c r="BC249" s="960"/>
      <c r="BD249" s="961"/>
      <c r="BF249" s="524"/>
      <c r="BQ249" s="395"/>
      <c r="BR249" s="369"/>
      <c r="BS249" s="369"/>
      <c r="BT249" s="369"/>
      <c r="BU249" s="395"/>
      <c r="BV249" s="369"/>
      <c r="BW249" s="369"/>
      <c r="BX249" s="369"/>
      <c r="BY249" s="395"/>
      <c r="BZ249" s="369"/>
      <c r="CA249" s="369"/>
      <c r="CI249" s="511"/>
    </row>
    <row r="250" spans="2:87" s="747" customFormat="1" ht="13.9" hidden="1" customHeight="1" outlineLevel="1">
      <c r="B250" s="921" t="s">
        <v>1448</v>
      </c>
      <c r="C250" s="922"/>
      <c r="D250" s="923"/>
      <c r="E250" s="808"/>
      <c r="F250" s="809"/>
      <c r="G250" s="809"/>
      <c r="H250" s="924" t="s">
        <v>100</v>
      </c>
      <c r="J250" s="828"/>
      <c r="K250" s="808"/>
      <c r="L250" s="809"/>
      <c r="M250" s="860">
        <v>1</v>
      </c>
      <c r="N250" s="813">
        <f>IF(I250&gt;0,22/28*((I250/1000)^2-(I250/1000-2*J250/1000)^2)*K250/1000,IF(J250&gt;0,J250/1000*K250/1000*L250/1000, IF(K250&gt;0,K250/1000*L250/1000, IF(L250=0,1,L250/1000))))</f>
        <v>1</v>
      </c>
      <c r="O250" s="814">
        <v>1</v>
      </c>
      <c r="P250" s="811">
        <f>M250*N250*O250</f>
        <v>1</v>
      </c>
      <c r="Q250" s="815">
        <v>1</v>
      </c>
      <c r="R250" s="505">
        <f t="shared" si="215"/>
        <v>0</v>
      </c>
      <c r="S250" s="815">
        <f>P250*AA250*Q250*R250</f>
        <v>0</v>
      </c>
      <c r="T250" s="925" t="s">
        <v>46</v>
      </c>
      <c r="U250" s="1059">
        <v>15</v>
      </c>
      <c r="V250" s="927">
        <f>1/VLOOKUP(T250,Y$12:Z$18,2,FALSE)</f>
        <v>1</v>
      </c>
      <c r="W250" s="926">
        <v>1.05</v>
      </c>
      <c r="X250" s="820">
        <v>0.15</v>
      </c>
      <c r="Y250" s="928">
        <f>+P250*R250*AA250*X250</f>
        <v>0</v>
      </c>
      <c r="Z250" s="929">
        <f>S250*U250*V250*W250</f>
        <v>0</v>
      </c>
      <c r="AA250" s="823">
        <v>1</v>
      </c>
      <c r="AC250" s="457">
        <v>1</v>
      </c>
      <c r="AD250" s="457">
        <v>1</v>
      </c>
      <c r="AE250" s="457">
        <v>1</v>
      </c>
      <c r="AF250" s="457">
        <v>1</v>
      </c>
      <c r="AG250" s="824"/>
      <c r="AH250" s="827"/>
      <c r="AI250" s="824"/>
      <c r="AJ250" s="828">
        <f>+Y250</f>
        <v>0</v>
      </c>
      <c r="AK250" s="862"/>
      <c r="AL250" s="828">
        <f>+Z250</f>
        <v>0</v>
      </c>
      <c r="AM250" s="862"/>
      <c r="AN250" s="824"/>
      <c r="AO250" s="827"/>
      <c r="AP250" s="824"/>
      <c r="AQ250" s="930"/>
      <c r="AS250" s="828"/>
      <c r="AT250" s="964"/>
      <c r="AU250" s="824"/>
      <c r="AV250" s="827"/>
      <c r="AW250" s="824"/>
      <c r="AX250" s="934"/>
      <c r="AY250" s="936"/>
      <c r="AZ250" s="936"/>
      <c r="BA250" s="936"/>
      <c r="BB250" s="936"/>
      <c r="BD250" s="924"/>
      <c r="BE250" s="936"/>
      <c r="BF250" s="830"/>
      <c r="BG250" s="936"/>
      <c r="BH250" s="936"/>
      <c r="BJ250" s="936"/>
      <c r="BK250" s="936"/>
      <c r="BL250" s="936"/>
      <c r="BM250" s="936"/>
      <c r="BN250" s="936"/>
      <c r="BO250" s="936"/>
      <c r="BP250" s="936"/>
      <c r="BS250" s="936"/>
      <c r="CH250" s="936"/>
      <c r="CI250" s="938"/>
    </row>
    <row r="251" spans="2:87" s="370" customFormat="1" ht="15" collapsed="1">
      <c r="B251" s="783" t="s">
        <v>1476</v>
      </c>
      <c r="C251" s="784"/>
      <c r="D251" s="785"/>
      <c r="E251" s="786"/>
      <c r="F251" s="787"/>
      <c r="G251" s="787"/>
      <c r="H251" s="788" t="s">
        <v>30</v>
      </c>
      <c r="I251" s="789" t="s">
        <v>1162</v>
      </c>
      <c r="J251" s="790" t="s">
        <v>1071</v>
      </c>
      <c r="K251" s="786" t="s">
        <v>1072</v>
      </c>
      <c r="L251" s="787" t="s">
        <v>21</v>
      </c>
      <c r="M251" s="791" t="s">
        <v>82</v>
      </c>
      <c r="N251" s="839" t="s">
        <v>1163</v>
      </c>
      <c r="O251" s="786" t="s">
        <v>1154</v>
      </c>
      <c r="P251" s="790" t="s">
        <v>1164</v>
      </c>
      <c r="Q251" s="793" t="s">
        <v>34</v>
      </c>
      <c r="R251" s="894">
        <f>IF(D$8="Copeland-ExNa",1,0)</f>
        <v>0</v>
      </c>
      <c r="S251" s="793" t="s">
        <v>13</v>
      </c>
      <c r="T251" s="794" t="s">
        <v>128</v>
      </c>
      <c r="U251" s="794" t="s">
        <v>111</v>
      </c>
      <c r="V251" s="795" t="s">
        <v>32</v>
      </c>
      <c r="W251" s="796" t="s">
        <v>33</v>
      </c>
      <c r="X251" s="797"/>
      <c r="Y251" s="798"/>
      <c r="Z251" s="944"/>
      <c r="AA251" s="800" t="str">
        <f>+AA$2</f>
        <v>SCU75M1</v>
      </c>
      <c r="AB251" s="747"/>
      <c r="AC251" s="801" t="str">
        <f>+AC$2</f>
        <v>SCU75M1</v>
      </c>
      <c r="AD251" s="801" t="str">
        <f>+AD$2</f>
        <v>SCU100M1</v>
      </c>
      <c r="AE251" s="801" t="str">
        <f>+AE$2</f>
        <v>SCU125M1</v>
      </c>
      <c r="AF251" s="802" t="str">
        <f>+AF$2</f>
        <v>SCU150M1</v>
      </c>
      <c r="AH251" s="521"/>
      <c r="AJ251" s="483"/>
      <c r="AK251" s="522"/>
      <c r="AL251" s="401"/>
      <c r="AM251" s="523"/>
      <c r="AO251" s="521"/>
      <c r="AQ251" s="2143" t="str">
        <f>+B251</f>
        <v>5. COMPRESSOR: Copeland R407c ExNa</v>
      </c>
      <c r="AR251" s="2144"/>
      <c r="AS251" s="2144"/>
      <c r="AT251" s="2145"/>
      <c r="AV251" s="521"/>
      <c r="AX251" s="2143" t="str">
        <f>+AQ251</f>
        <v>5. COMPRESSOR: Copeland R407c ExNa</v>
      </c>
      <c r="AY251" s="2144"/>
      <c r="AZ251" s="2144"/>
      <c r="BA251" s="2144"/>
      <c r="BB251" s="2144"/>
      <c r="BC251" s="2144"/>
      <c r="BD251" s="2145"/>
      <c r="BE251" s="395"/>
      <c r="BF251" s="524"/>
      <c r="BG251" s="395"/>
      <c r="BH251" s="395"/>
      <c r="BI251" s="369"/>
      <c r="BJ251" s="395"/>
      <c r="BK251" s="395"/>
      <c r="BL251" s="395"/>
      <c r="BM251" s="395"/>
      <c r="BN251" s="395"/>
      <c r="BO251" s="395"/>
      <c r="BP251" s="395"/>
      <c r="BQ251" s="369"/>
      <c r="BR251" s="369"/>
      <c r="BS251" s="395"/>
      <c r="BT251" s="369"/>
      <c r="BU251" s="369"/>
      <c r="BV251" s="369"/>
      <c r="BW251" s="369"/>
      <c r="BX251" s="369"/>
      <c r="BY251" s="369"/>
      <c r="CH251" s="395"/>
      <c r="CI251" s="511"/>
    </row>
    <row r="252" spans="2:87" s="370" customFormat="1" ht="15" collapsed="1">
      <c r="B252" s="895" t="s">
        <v>1432</v>
      </c>
      <c r="C252" s="896"/>
      <c r="D252" s="897"/>
      <c r="E252" s="898"/>
      <c r="F252" s="899"/>
      <c r="G252" s="899"/>
      <c r="H252" s="900"/>
      <c r="I252" s="901"/>
      <c r="J252" s="902"/>
      <c r="K252" s="898"/>
      <c r="L252" s="899"/>
      <c r="M252" s="903"/>
      <c r="N252" s="904"/>
      <c r="O252" s="898"/>
      <c r="P252" s="902"/>
      <c r="Q252" s="905"/>
      <c r="R252" s="903"/>
      <c r="S252" s="905"/>
      <c r="T252" s="906"/>
      <c r="U252" s="906"/>
      <c r="V252" s="907"/>
      <c r="W252" s="908"/>
      <c r="X252" s="909"/>
      <c r="Y252" s="910">
        <f>SUM(Y253:Y256)</f>
        <v>0</v>
      </c>
      <c r="Z252" s="910">
        <f>SUM(Z253:Z256)</f>
        <v>0</v>
      </c>
      <c r="AA252" s="911"/>
      <c r="AB252" s="747"/>
      <c r="AC252" s="912"/>
      <c r="AD252" s="912"/>
      <c r="AE252" s="912"/>
      <c r="AF252" s="913"/>
      <c r="AH252" s="521"/>
      <c r="AJ252" s="483"/>
      <c r="AK252" s="522">
        <f>SUM(AJ253:AJ256)</f>
        <v>0</v>
      </c>
      <c r="AL252" s="401"/>
      <c r="AM252" s="523">
        <f>SUM(AL253:AL256)</f>
        <v>0</v>
      </c>
      <c r="AO252" s="521"/>
      <c r="AQ252" s="914" t="str">
        <f>+B252</f>
        <v>- Compressor Assy</v>
      </c>
      <c r="AR252" s="915" t="s">
        <v>1058</v>
      </c>
      <c r="AS252" s="970" t="s">
        <v>97</v>
      </c>
      <c r="AT252" s="917" t="s">
        <v>1345</v>
      </c>
      <c r="AV252" s="521"/>
      <c r="AX252" s="918" t="s">
        <v>1433</v>
      </c>
      <c r="AY252" s="919" t="s">
        <v>1434</v>
      </c>
      <c r="AZ252" s="919" t="s">
        <v>1435</v>
      </c>
      <c r="BA252" s="919" t="s">
        <v>1347</v>
      </c>
      <c r="BB252" s="919" t="s">
        <v>1436</v>
      </c>
      <c r="BC252" s="919" t="s">
        <v>1437</v>
      </c>
      <c r="BD252" s="945" t="s">
        <v>1438</v>
      </c>
      <c r="BE252" s="369"/>
      <c r="BF252" s="524"/>
      <c r="BG252" s="395"/>
      <c r="BH252" s="395"/>
      <c r="BI252" s="395"/>
      <c r="BJ252" s="395"/>
      <c r="BK252" s="369"/>
      <c r="BL252" s="395"/>
      <c r="BM252" s="395"/>
      <c r="BN252" s="395"/>
      <c r="BO252" s="395"/>
      <c r="BP252" s="395"/>
      <c r="BQ252" s="395"/>
      <c r="BR252" s="369"/>
      <c r="BS252" s="369"/>
      <c r="BT252" s="369"/>
      <c r="BU252" s="395"/>
      <c r="BV252" s="369"/>
      <c r="BW252" s="369"/>
      <c r="BX252" s="369"/>
      <c r="BY252" s="395"/>
      <c r="BZ252" s="369"/>
      <c r="CA252" s="369"/>
      <c r="CH252" s="395"/>
      <c r="CI252" s="511"/>
    </row>
    <row r="253" spans="2:87" s="747" customFormat="1" ht="13.9" hidden="1" customHeight="1" outlineLevel="1">
      <c r="B253" s="921" t="str">
        <f t="shared" ref="B253:B256" si="222">AQ253</f>
        <v>7.5hp: ZR94KCE-TFD</v>
      </c>
      <c r="C253" s="922"/>
      <c r="D253" s="923"/>
      <c r="E253" s="808"/>
      <c r="F253" s="809"/>
      <c r="G253" s="809"/>
      <c r="H253" s="924" t="s">
        <v>100</v>
      </c>
      <c r="J253" s="828"/>
      <c r="K253" s="808"/>
      <c r="L253" s="809"/>
      <c r="M253" s="860">
        <v>1</v>
      </c>
      <c r="N253" s="813">
        <f t="shared" ref="N253:N256" si="223">IF(I253&gt;0,22/28*((I253/1000)^2-(I253/1000-2*J253/1000)^2)*K253/1000,IF(J253&gt;0,J253/1000*K253/1000*L253/1000, IF(K253&gt;0,K253/1000*L253/1000, IF(L253=0,1,L253/1000))))</f>
        <v>1</v>
      </c>
      <c r="O253" s="814">
        <v>1</v>
      </c>
      <c r="P253" s="811">
        <f t="shared" ref="P253:P256" si="224">M253*N253*O253</f>
        <v>1</v>
      </c>
      <c r="Q253" s="815">
        <v>1</v>
      </c>
      <c r="R253" s="505">
        <f t="shared" ref="R253:R256" si="225">+R$251</f>
        <v>0</v>
      </c>
      <c r="S253" s="815">
        <f t="shared" ref="S253:S256" si="226">P253*AA253*Q253*R253</f>
        <v>0</v>
      </c>
      <c r="T253" s="925" t="s">
        <v>46</v>
      </c>
      <c r="U253" s="811">
        <v>520</v>
      </c>
      <c r="V253" s="927">
        <f t="shared" ref="V253:V256" si="227">1/VLOOKUP(T253,Y$12:Z$18,2,FALSE)</f>
        <v>1</v>
      </c>
      <c r="W253" s="926">
        <v>1.05</v>
      </c>
      <c r="X253" s="820">
        <v>57.2</v>
      </c>
      <c r="Y253" s="928">
        <f t="shared" ref="Y253:Y256" si="228">+P253*R253*AA253*X253</f>
        <v>0</v>
      </c>
      <c r="Z253" s="929">
        <f t="shared" ref="Z253:Z256" si="229">S253*U253*V253*W253</f>
        <v>0</v>
      </c>
      <c r="AA253" s="823">
        <v>1</v>
      </c>
      <c r="AC253" s="457">
        <v>1</v>
      </c>
      <c r="AD253" s="457"/>
      <c r="AE253" s="457"/>
      <c r="AF253" s="457"/>
      <c r="AG253" s="824"/>
      <c r="AH253" s="827"/>
      <c r="AI253" s="824"/>
      <c r="AJ253" s="828">
        <f t="shared" ref="AJ253:AJ277" si="230">+Y253</f>
        <v>0</v>
      </c>
      <c r="AK253" s="862"/>
      <c r="AL253" s="828">
        <f t="shared" ref="AL253:AL277" si="231">+Z253</f>
        <v>0</v>
      </c>
      <c r="AM253" s="862"/>
      <c r="AN253" s="824"/>
      <c r="AO253" s="827"/>
      <c r="AQ253" s="930" t="s">
        <v>1459</v>
      </c>
      <c r="AR253" s="930" t="s">
        <v>1460</v>
      </c>
      <c r="AS253" s="1054">
        <v>57.2</v>
      </c>
      <c r="AT253" s="1055">
        <v>520</v>
      </c>
      <c r="AV253" s="827"/>
      <c r="AX253" s="505">
        <v>23</v>
      </c>
      <c r="AY253" s="841">
        <v>6.95</v>
      </c>
      <c r="AZ253" s="841">
        <v>27.6</v>
      </c>
      <c r="BA253" s="841">
        <v>12.83</v>
      </c>
      <c r="BB253" s="1022">
        <v>1.125</v>
      </c>
      <c r="BC253" s="1022">
        <v>0.875</v>
      </c>
      <c r="BD253" s="1056">
        <v>0.5</v>
      </c>
      <c r="BE253" s="936"/>
      <c r="BF253" s="830"/>
      <c r="BG253" s="936"/>
      <c r="BH253" s="936"/>
      <c r="BJ253" s="936"/>
      <c r="BK253" s="936"/>
      <c r="BL253" s="936"/>
      <c r="BM253" s="936"/>
      <c r="BN253" s="936"/>
      <c r="BO253" s="936"/>
      <c r="BP253" s="936"/>
      <c r="BS253" s="936"/>
      <c r="CH253" s="936"/>
      <c r="CI253" s="938"/>
    </row>
    <row r="254" spans="2:87" s="747" customFormat="1" ht="13.9" hidden="1" customHeight="1" outlineLevel="1">
      <c r="B254" s="921" t="str">
        <f t="shared" si="222"/>
        <v>10.0hp: ZR125KCE-TFD</v>
      </c>
      <c r="C254" s="922"/>
      <c r="D254" s="923"/>
      <c r="E254" s="808"/>
      <c r="F254" s="809"/>
      <c r="G254" s="809"/>
      <c r="H254" s="924" t="s">
        <v>100</v>
      </c>
      <c r="J254" s="828"/>
      <c r="K254" s="808"/>
      <c r="L254" s="809"/>
      <c r="M254" s="860">
        <v>1</v>
      </c>
      <c r="N254" s="813">
        <f t="shared" si="223"/>
        <v>1</v>
      </c>
      <c r="O254" s="814">
        <v>1</v>
      </c>
      <c r="P254" s="811">
        <f t="shared" si="224"/>
        <v>1</v>
      </c>
      <c r="Q254" s="815">
        <v>1</v>
      </c>
      <c r="R254" s="505">
        <f t="shared" si="225"/>
        <v>0</v>
      </c>
      <c r="S254" s="815">
        <f t="shared" si="226"/>
        <v>0</v>
      </c>
      <c r="T254" s="925" t="s">
        <v>46</v>
      </c>
      <c r="U254" s="811">
        <v>570</v>
      </c>
      <c r="V254" s="927">
        <f t="shared" si="227"/>
        <v>1</v>
      </c>
      <c r="W254" s="926">
        <v>1.05</v>
      </c>
      <c r="X254" s="820">
        <v>61.2</v>
      </c>
      <c r="Y254" s="928">
        <f t="shared" si="228"/>
        <v>0</v>
      </c>
      <c r="Z254" s="929">
        <f t="shared" si="229"/>
        <v>0</v>
      </c>
      <c r="AA254" s="823"/>
      <c r="AC254" s="457"/>
      <c r="AD254" s="457">
        <v>1</v>
      </c>
      <c r="AE254" s="457"/>
      <c r="AF254" s="457"/>
      <c r="AG254" s="824"/>
      <c r="AH254" s="827"/>
      <c r="AI254" s="824"/>
      <c r="AJ254" s="828">
        <f t="shared" si="230"/>
        <v>0</v>
      </c>
      <c r="AK254" s="862"/>
      <c r="AL254" s="828">
        <f t="shared" si="231"/>
        <v>0</v>
      </c>
      <c r="AM254" s="862"/>
      <c r="AN254" s="824"/>
      <c r="AO254" s="827"/>
      <c r="AQ254" s="930" t="s">
        <v>1461</v>
      </c>
      <c r="AR254" s="930" t="s">
        <v>1462</v>
      </c>
      <c r="AS254" s="1054">
        <v>61.2</v>
      </c>
      <c r="AT254" s="1055">
        <v>570</v>
      </c>
      <c r="AV254" s="827"/>
      <c r="AX254" s="505">
        <v>30.2</v>
      </c>
      <c r="AY254" s="841">
        <v>8.9499999999999993</v>
      </c>
      <c r="AZ254" s="841">
        <v>36.1</v>
      </c>
      <c r="BA254" s="841">
        <v>16</v>
      </c>
      <c r="BB254" s="1022">
        <v>1.375</v>
      </c>
      <c r="BC254" s="1022">
        <v>0.875</v>
      </c>
      <c r="BD254" s="1056">
        <v>0.625</v>
      </c>
      <c r="BE254" s="936"/>
      <c r="BF254" s="830"/>
      <c r="BG254" s="936"/>
      <c r="BH254" s="936"/>
      <c r="BJ254" s="936"/>
      <c r="BK254" s="936"/>
      <c r="BL254" s="936"/>
      <c r="BM254" s="936"/>
      <c r="BN254" s="936"/>
      <c r="BO254" s="936"/>
      <c r="BP254" s="936"/>
      <c r="BS254" s="936"/>
      <c r="CH254" s="936"/>
      <c r="CI254" s="938"/>
    </row>
    <row r="255" spans="2:87" s="747" customFormat="1" ht="13.9" hidden="1" customHeight="1" outlineLevel="1">
      <c r="B255" s="921" t="str">
        <f t="shared" si="222"/>
        <v>12.5hp: ZR144KCE-TFD</v>
      </c>
      <c r="C255" s="922"/>
      <c r="D255" s="923"/>
      <c r="E255" s="808"/>
      <c r="F255" s="809"/>
      <c r="G255" s="809"/>
      <c r="H255" s="924" t="s">
        <v>100</v>
      </c>
      <c r="J255" s="828"/>
      <c r="K255" s="808"/>
      <c r="L255" s="809"/>
      <c r="M255" s="860">
        <v>1</v>
      </c>
      <c r="N255" s="813">
        <f t="shared" si="223"/>
        <v>1</v>
      </c>
      <c r="O255" s="814">
        <v>1</v>
      </c>
      <c r="P255" s="811">
        <f t="shared" si="224"/>
        <v>1</v>
      </c>
      <c r="Q255" s="815">
        <v>1</v>
      </c>
      <c r="R255" s="505">
        <f t="shared" si="225"/>
        <v>0</v>
      </c>
      <c r="S255" s="815">
        <f t="shared" si="226"/>
        <v>0</v>
      </c>
      <c r="T255" s="925" t="s">
        <v>46</v>
      </c>
      <c r="U255" s="811">
        <v>656.64</v>
      </c>
      <c r="V255" s="927">
        <f t="shared" si="227"/>
        <v>1</v>
      </c>
      <c r="W255" s="926">
        <v>1.05</v>
      </c>
      <c r="X255" s="820">
        <v>61.2</v>
      </c>
      <c r="Y255" s="928">
        <f t="shared" si="228"/>
        <v>0</v>
      </c>
      <c r="Z255" s="929">
        <f t="shared" si="229"/>
        <v>0</v>
      </c>
      <c r="AA255" s="823"/>
      <c r="AC255" s="457"/>
      <c r="AD255" s="457"/>
      <c r="AE255" s="457">
        <v>1</v>
      </c>
      <c r="AF255" s="457"/>
      <c r="AG255" s="824"/>
      <c r="AH255" s="827"/>
      <c r="AI255" s="824"/>
      <c r="AJ255" s="828">
        <f t="shared" si="230"/>
        <v>0</v>
      </c>
      <c r="AK255" s="862"/>
      <c r="AL255" s="828">
        <f t="shared" si="231"/>
        <v>0</v>
      </c>
      <c r="AM255" s="862"/>
      <c r="AN255" s="824"/>
      <c r="AO255" s="827"/>
      <c r="AQ255" s="930" t="s">
        <v>1463</v>
      </c>
      <c r="AR255" s="930" t="s">
        <v>1464</v>
      </c>
      <c r="AS255" s="1054">
        <v>61.2</v>
      </c>
      <c r="AT255" s="1055">
        <v>656.64</v>
      </c>
      <c r="AV255" s="827"/>
      <c r="AX255" s="505">
        <v>34.6</v>
      </c>
      <c r="AY255" s="841">
        <v>10.15</v>
      </c>
      <c r="AZ255" s="841">
        <v>41.2</v>
      </c>
      <c r="BA255" s="841">
        <v>17.66</v>
      </c>
      <c r="BB255" s="1022">
        <v>1.375</v>
      </c>
      <c r="BC255" s="1022">
        <v>0.875</v>
      </c>
      <c r="BD255" s="1056">
        <v>0.75</v>
      </c>
      <c r="BE255" s="936"/>
      <c r="BF255" s="830"/>
      <c r="BG255" s="936"/>
      <c r="BH255" s="936"/>
      <c r="BJ255" s="936"/>
      <c r="BK255" s="936"/>
      <c r="BL255" s="936"/>
      <c r="BM255" s="936"/>
      <c r="BN255" s="936"/>
      <c r="BO255" s="936"/>
      <c r="BP255" s="936"/>
      <c r="BS255" s="936"/>
      <c r="CH255" s="936"/>
      <c r="CI255" s="938"/>
    </row>
    <row r="256" spans="2:87" s="747" customFormat="1" ht="13.9" hidden="1" customHeight="1" outlineLevel="1">
      <c r="B256" s="921" t="str">
        <f t="shared" si="222"/>
        <v>15.0hp: ZR190KCE-TFD</v>
      </c>
      <c r="C256" s="922"/>
      <c r="D256" s="923"/>
      <c r="E256" s="808"/>
      <c r="F256" s="809"/>
      <c r="G256" s="809"/>
      <c r="H256" s="924" t="s">
        <v>100</v>
      </c>
      <c r="J256" s="828"/>
      <c r="K256" s="808"/>
      <c r="L256" s="809"/>
      <c r="M256" s="860">
        <v>1</v>
      </c>
      <c r="N256" s="813">
        <f t="shared" si="223"/>
        <v>1</v>
      </c>
      <c r="O256" s="814">
        <v>1</v>
      </c>
      <c r="P256" s="811">
        <f t="shared" si="224"/>
        <v>1</v>
      </c>
      <c r="Q256" s="815">
        <v>1</v>
      </c>
      <c r="R256" s="505">
        <f t="shared" si="225"/>
        <v>0</v>
      </c>
      <c r="S256" s="815">
        <f t="shared" si="226"/>
        <v>0</v>
      </c>
      <c r="T256" s="925" t="s">
        <v>46</v>
      </c>
      <c r="U256" s="811">
        <v>870</v>
      </c>
      <c r="V256" s="927">
        <f t="shared" si="227"/>
        <v>1</v>
      </c>
      <c r="W256" s="926">
        <v>1.05</v>
      </c>
      <c r="X256" s="820">
        <v>66.2</v>
      </c>
      <c r="Y256" s="928">
        <f t="shared" si="228"/>
        <v>0</v>
      </c>
      <c r="Z256" s="929">
        <f t="shared" si="229"/>
        <v>0</v>
      </c>
      <c r="AA256" s="823"/>
      <c r="AC256" s="457"/>
      <c r="AD256" s="457"/>
      <c r="AE256" s="457"/>
      <c r="AF256" s="457">
        <v>1</v>
      </c>
      <c r="AG256" s="824"/>
      <c r="AH256" s="827"/>
      <c r="AI256" s="824"/>
      <c r="AJ256" s="828">
        <f t="shared" si="230"/>
        <v>0</v>
      </c>
      <c r="AK256" s="862"/>
      <c r="AL256" s="828">
        <f t="shared" si="231"/>
        <v>0</v>
      </c>
      <c r="AM256" s="862"/>
      <c r="AN256" s="824"/>
      <c r="AO256" s="827"/>
      <c r="AQ256" s="930" t="s">
        <v>1465</v>
      </c>
      <c r="AR256" s="930" t="s">
        <v>1466</v>
      </c>
      <c r="AS256" s="1054">
        <v>66.2</v>
      </c>
      <c r="AT256" s="1055">
        <v>870</v>
      </c>
      <c r="AV256" s="827"/>
      <c r="AX256" s="505">
        <v>44</v>
      </c>
      <c r="AY256" s="841">
        <v>13.65</v>
      </c>
      <c r="AZ256" s="841">
        <v>53.1</v>
      </c>
      <c r="BA256" s="841">
        <v>26.45</v>
      </c>
      <c r="BB256" s="1022">
        <v>1.375</v>
      </c>
      <c r="BC256" s="1022">
        <v>0.875</v>
      </c>
      <c r="BD256" s="1056">
        <v>0.625</v>
      </c>
      <c r="BE256" s="936"/>
      <c r="BF256" s="830"/>
      <c r="BG256" s="936"/>
      <c r="BH256" s="936"/>
      <c r="BJ256" s="936"/>
      <c r="BK256" s="936"/>
      <c r="BL256" s="936"/>
      <c r="BM256" s="936"/>
      <c r="BN256" s="936"/>
      <c r="BO256" s="936"/>
      <c r="BP256" s="936"/>
      <c r="BS256" s="936"/>
      <c r="CH256" s="936"/>
      <c r="CI256" s="938"/>
    </row>
    <row r="257" spans="2:87" s="370" customFormat="1" ht="15" collapsed="1">
      <c r="B257" s="895" t="s">
        <v>1477</v>
      </c>
      <c r="C257" s="896"/>
      <c r="D257" s="897"/>
      <c r="E257" s="898"/>
      <c r="F257" s="899"/>
      <c r="G257" s="899"/>
      <c r="H257" s="900"/>
      <c r="I257" s="901"/>
      <c r="J257" s="902"/>
      <c r="K257" s="898"/>
      <c r="L257" s="899"/>
      <c r="M257" s="903"/>
      <c r="N257" s="904"/>
      <c r="O257" s="898"/>
      <c r="P257" s="902"/>
      <c r="Q257" s="905"/>
      <c r="R257" s="903"/>
      <c r="S257" s="905"/>
      <c r="T257" s="906"/>
      <c r="U257" s="906"/>
      <c r="V257" s="907"/>
      <c r="W257" s="908"/>
      <c r="X257" s="909"/>
      <c r="Y257" s="910">
        <f>SUM(Y258:Y268)</f>
        <v>0</v>
      </c>
      <c r="Z257" s="1069">
        <f>SUM(Z258:Z268)</f>
        <v>0</v>
      </c>
      <c r="AA257" s="911"/>
      <c r="AB257" s="747"/>
      <c r="AC257" s="912"/>
      <c r="AD257" s="912"/>
      <c r="AE257" s="912"/>
      <c r="AF257" s="913"/>
      <c r="AH257" s="521"/>
      <c r="AJ257" s="483"/>
      <c r="AK257" s="522">
        <f>SUM(AJ258:AJ268)</f>
        <v>0</v>
      </c>
      <c r="AL257" s="401"/>
      <c r="AM257" s="523">
        <f>SUM(AL258:AL268)</f>
        <v>0</v>
      </c>
      <c r="AO257" s="521"/>
      <c r="AQ257" s="914" t="str">
        <f>+B257</f>
        <v>- Attachment Assy</v>
      </c>
      <c r="AR257" s="1070" t="s">
        <v>1058</v>
      </c>
      <c r="AS257" s="1071" t="s">
        <v>97</v>
      </c>
      <c r="AT257" s="915" t="s">
        <v>1345</v>
      </c>
      <c r="AV257" s="521"/>
      <c r="AX257" s="918" t="s">
        <v>1128</v>
      </c>
      <c r="AY257" s="919" t="s">
        <v>19</v>
      </c>
      <c r="AZ257" s="919" t="s">
        <v>21</v>
      </c>
      <c r="BA257" s="919" t="s">
        <v>1071</v>
      </c>
      <c r="BB257" s="919"/>
      <c r="BC257" s="919"/>
      <c r="BD257" s="945"/>
      <c r="BE257" s="395"/>
      <c r="BF257" s="524"/>
      <c r="BG257" s="395"/>
      <c r="BH257" s="395"/>
      <c r="BI257" s="395"/>
      <c r="BJ257" s="395"/>
      <c r="BK257" s="369"/>
      <c r="BL257" s="395"/>
      <c r="BM257" s="395"/>
      <c r="BN257" s="395"/>
      <c r="BO257" s="395"/>
      <c r="BP257" s="395"/>
      <c r="BQ257" s="395"/>
      <c r="BR257" s="369"/>
      <c r="BS257" s="369"/>
      <c r="BT257" s="369"/>
      <c r="BU257" s="395"/>
      <c r="BV257" s="369"/>
      <c r="BW257" s="369"/>
      <c r="BX257" s="369"/>
      <c r="BY257" s="395"/>
      <c r="BZ257" s="369"/>
      <c r="CA257" s="369"/>
      <c r="CH257" s="395"/>
      <c r="CI257" s="511"/>
    </row>
    <row r="258" spans="2:87" s="747" customFormat="1" ht="13.9" hidden="1" customHeight="1" outlineLevel="1">
      <c r="B258" s="921" t="str">
        <f t="shared" ref="B258:B261" si="232">AQ258</f>
        <v>7.5hp: Ring ZR84-144</v>
      </c>
      <c r="C258" s="922"/>
      <c r="D258" s="923"/>
      <c r="E258" s="808">
        <v>232.2</v>
      </c>
      <c r="F258" s="809">
        <v>160</v>
      </c>
      <c r="G258" s="809"/>
      <c r="H258" s="924" t="s">
        <v>100</v>
      </c>
      <c r="J258" s="828">
        <v>2</v>
      </c>
      <c r="K258" s="808">
        <f t="shared" ref="K258:K263" si="233">3.14285714285714*E258+40</f>
        <v>769.77142857142792</v>
      </c>
      <c r="L258" s="809">
        <f t="shared" ref="L258:L263" si="234">+F258</f>
        <v>160</v>
      </c>
      <c r="M258" s="860">
        <f t="shared" ref="M258:M263" si="235">+E$11</f>
        <v>8030</v>
      </c>
      <c r="N258" s="813">
        <f t="shared" ref="N258:N267" si="236">IF(I258&gt;0,22/28*((I258/1000)^2-(I258/1000-2*J258/1000)^2)*K258/1000,IF(J258&gt;0,J258/1000*K258/1000*L258/1000, IF(K258&gt;0,K258/1000*L258/1000, IF(L258=0,1,L258/1000))))</f>
        <v>2.4632685714285691E-4</v>
      </c>
      <c r="O258" s="814">
        <v>1</v>
      </c>
      <c r="P258" s="811">
        <f t="shared" ref="P258:P267" si="237">M258*N258*O258</f>
        <v>1.978004662857141</v>
      </c>
      <c r="Q258" s="815">
        <v>1</v>
      </c>
      <c r="R258" s="505">
        <f t="shared" ref="R258:R268" si="238">+R$251</f>
        <v>0</v>
      </c>
      <c r="S258" s="815">
        <f t="shared" ref="S258:S268" si="239">P258*AA258*Q258*R258</f>
        <v>0</v>
      </c>
      <c r="T258" s="925" t="s">
        <v>115</v>
      </c>
      <c r="U258" s="946">
        <f t="shared" ref="U258:U261" si="240">+F$11</f>
        <v>22500</v>
      </c>
      <c r="V258" s="927">
        <f t="shared" ref="V258:V268" si="241">1/VLOOKUP(T258,Y$12:Z$18,2,FALSE)</f>
        <v>6.8240753377917299E-5</v>
      </c>
      <c r="W258" s="926">
        <v>1.05</v>
      </c>
      <c r="X258" s="820">
        <v>1</v>
      </c>
      <c r="Y258" s="928">
        <f t="shared" ref="Y258:Y268" si="242">+P258*R258*AA258*X258</f>
        <v>0</v>
      </c>
      <c r="Z258" s="929">
        <f t="shared" ref="Z258:Z268" si="243">S258*U258*V258*W258</f>
        <v>0</v>
      </c>
      <c r="AA258" s="823">
        <v>1</v>
      </c>
      <c r="AC258" s="457">
        <v>1</v>
      </c>
      <c r="AD258" s="457"/>
      <c r="AE258" s="457"/>
      <c r="AF258" s="457"/>
      <c r="AG258" s="824"/>
      <c r="AH258" s="827"/>
      <c r="AI258" s="824"/>
      <c r="AJ258" s="828">
        <f t="shared" si="230"/>
        <v>0</v>
      </c>
      <c r="AK258" s="862"/>
      <c r="AL258" s="828">
        <f t="shared" si="231"/>
        <v>0</v>
      </c>
      <c r="AM258" s="862"/>
      <c r="AN258" s="824"/>
      <c r="AO258" s="827"/>
      <c r="AP258" s="817"/>
      <c r="AQ258" s="931" t="s">
        <v>1478</v>
      </c>
      <c r="AR258" s="964" t="s">
        <v>1479</v>
      </c>
      <c r="AS258" s="980">
        <v>1.978004662857141</v>
      </c>
      <c r="AT258" s="964"/>
      <c r="AU258" s="817"/>
      <c r="AV258" s="827"/>
      <c r="AW258" s="817"/>
      <c r="AX258" s="505">
        <v>232.2</v>
      </c>
      <c r="AY258" s="841">
        <v>476.3</v>
      </c>
      <c r="AZ258" s="841">
        <v>160</v>
      </c>
      <c r="BA258" s="841">
        <v>5</v>
      </c>
      <c r="BB258" s="1022"/>
      <c r="BC258" s="1022"/>
      <c r="BD258" s="1056"/>
      <c r="BE258" s="936"/>
      <c r="BF258" s="830"/>
      <c r="BG258" s="936"/>
      <c r="BH258" s="936"/>
      <c r="BJ258" s="936"/>
      <c r="BK258" s="936"/>
      <c r="BL258" s="936"/>
      <c r="BM258" s="936"/>
      <c r="BN258" s="936"/>
      <c r="BO258" s="936"/>
      <c r="BP258" s="936"/>
      <c r="BS258" s="936"/>
      <c r="CH258" s="936"/>
      <c r="CI258" s="938"/>
    </row>
    <row r="259" spans="2:87" s="747" customFormat="1" ht="13.9" hidden="1" customHeight="1" outlineLevel="1">
      <c r="B259" s="921" t="str">
        <f t="shared" si="232"/>
        <v>10.0hp: Ring ZR84-144</v>
      </c>
      <c r="C259" s="922"/>
      <c r="D259" s="923"/>
      <c r="E259" s="808">
        <v>232.2</v>
      </c>
      <c r="F259" s="809">
        <v>160</v>
      </c>
      <c r="G259" s="809"/>
      <c r="H259" s="924" t="s">
        <v>100</v>
      </c>
      <c r="J259" s="828">
        <v>2</v>
      </c>
      <c r="K259" s="808">
        <f t="shared" si="233"/>
        <v>769.77142857142792</v>
      </c>
      <c r="L259" s="809">
        <f t="shared" si="234"/>
        <v>160</v>
      </c>
      <c r="M259" s="860">
        <f t="shared" si="235"/>
        <v>8030</v>
      </c>
      <c r="N259" s="813">
        <f t="shared" si="236"/>
        <v>2.4632685714285691E-4</v>
      </c>
      <c r="O259" s="814">
        <v>1</v>
      </c>
      <c r="P259" s="811">
        <f t="shared" si="237"/>
        <v>1.978004662857141</v>
      </c>
      <c r="Q259" s="815">
        <v>1</v>
      </c>
      <c r="R259" s="505">
        <f t="shared" si="238"/>
        <v>0</v>
      </c>
      <c r="S259" s="815">
        <f t="shared" si="239"/>
        <v>0</v>
      </c>
      <c r="T259" s="925" t="s">
        <v>115</v>
      </c>
      <c r="U259" s="946">
        <f t="shared" si="240"/>
        <v>22500</v>
      </c>
      <c r="V259" s="927">
        <f t="shared" si="241"/>
        <v>6.8240753377917299E-5</v>
      </c>
      <c r="W259" s="926">
        <v>1.05</v>
      </c>
      <c r="X259" s="820">
        <v>1</v>
      </c>
      <c r="Y259" s="928">
        <f t="shared" si="242"/>
        <v>0</v>
      </c>
      <c r="Z259" s="929">
        <f t="shared" si="243"/>
        <v>0</v>
      </c>
      <c r="AA259" s="823"/>
      <c r="AC259" s="457"/>
      <c r="AD259" s="457">
        <v>1</v>
      </c>
      <c r="AE259" s="457"/>
      <c r="AF259" s="457"/>
      <c r="AG259" s="824"/>
      <c r="AH259" s="827"/>
      <c r="AI259" s="824"/>
      <c r="AJ259" s="828">
        <f t="shared" si="230"/>
        <v>0</v>
      </c>
      <c r="AK259" s="862"/>
      <c r="AL259" s="828">
        <f t="shared" si="231"/>
        <v>0</v>
      </c>
      <c r="AM259" s="862"/>
      <c r="AN259" s="824"/>
      <c r="AO259" s="827"/>
      <c r="AP259" s="817"/>
      <c r="AQ259" s="931" t="s">
        <v>1480</v>
      </c>
      <c r="AR259" s="964" t="s">
        <v>1479</v>
      </c>
      <c r="AS259" s="980">
        <v>1.978004662857141</v>
      </c>
      <c r="AT259" s="964"/>
      <c r="AU259" s="817"/>
      <c r="AV259" s="827"/>
      <c r="AW259" s="817"/>
      <c r="AX259" s="505">
        <v>232.2</v>
      </c>
      <c r="AY259" s="841">
        <v>533.1</v>
      </c>
      <c r="AZ259" s="841">
        <v>160</v>
      </c>
      <c r="BA259" s="841">
        <v>5</v>
      </c>
      <c r="BB259" s="1022"/>
      <c r="BC259" s="1022"/>
      <c r="BD259" s="1056"/>
      <c r="BE259" s="936"/>
      <c r="BF259" s="830"/>
      <c r="BG259" s="936"/>
      <c r="BH259" s="936"/>
      <c r="BJ259" s="936"/>
      <c r="BK259" s="936"/>
      <c r="BL259" s="936"/>
      <c r="BM259" s="936"/>
      <c r="BN259" s="936"/>
      <c r="BO259" s="936"/>
      <c r="BP259" s="936"/>
      <c r="BS259" s="936"/>
      <c r="CH259" s="936"/>
      <c r="CI259" s="938"/>
    </row>
    <row r="260" spans="2:87" s="747" customFormat="1" ht="13.9" hidden="1" customHeight="1" outlineLevel="1">
      <c r="B260" s="921" t="str">
        <f t="shared" si="232"/>
        <v>12.5hp: Ring ZR84-144</v>
      </c>
      <c r="C260" s="922"/>
      <c r="D260" s="923"/>
      <c r="E260" s="808">
        <v>232.2</v>
      </c>
      <c r="F260" s="809">
        <v>160</v>
      </c>
      <c r="G260" s="809"/>
      <c r="H260" s="924" t="s">
        <v>100</v>
      </c>
      <c r="J260" s="828">
        <v>2</v>
      </c>
      <c r="K260" s="808">
        <f t="shared" si="233"/>
        <v>769.77142857142792</v>
      </c>
      <c r="L260" s="809">
        <f t="shared" si="234"/>
        <v>160</v>
      </c>
      <c r="M260" s="860">
        <f t="shared" si="235"/>
        <v>8030</v>
      </c>
      <c r="N260" s="813">
        <f t="shared" si="236"/>
        <v>2.4632685714285691E-4</v>
      </c>
      <c r="O260" s="814">
        <v>1</v>
      </c>
      <c r="P260" s="811">
        <f t="shared" si="237"/>
        <v>1.978004662857141</v>
      </c>
      <c r="Q260" s="815">
        <v>1</v>
      </c>
      <c r="R260" s="505">
        <f t="shared" si="238"/>
        <v>0</v>
      </c>
      <c r="S260" s="815">
        <f t="shared" si="239"/>
        <v>0</v>
      </c>
      <c r="T260" s="925" t="s">
        <v>115</v>
      </c>
      <c r="U260" s="946">
        <f t="shared" si="240"/>
        <v>22500</v>
      </c>
      <c r="V260" s="927">
        <f t="shared" si="241"/>
        <v>6.8240753377917299E-5</v>
      </c>
      <c r="W260" s="926">
        <v>1.05</v>
      </c>
      <c r="X260" s="820">
        <v>1</v>
      </c>
      <c r="Y260" s="928">
        <f t="shared" si="242"/>
        <v>0</v>
      </c>
      <c r="Z260" s="929">
        <f t="shared" si="243"/>
        <v>0</v>
      </c>
      <c r="AA260" s="823"/>
      <c r="AC260" s="457"/>
      <c r="AD260" s="457"/>
      <c r="AE260" s="457">
        <v>1</v>
      </c>
      <c r="AF260" s="457"/>
      <c r="AG260" s="824"/>
      <c r="AH260" s="827"/>
      <c r="AI260" s="824"/>
      <c r="AJ260" s="828">
        <f t="shared" si="230"/>
        <v>0</v>
      </c>
      <c r="AK260" s="862"/>
      <c r="AL260" s="828">
        <f t="shared" si="231"/>
        <v>0</v>
      </c>
      <c r="AM260" s="862"/>
      <c r="AN260" s="824"/>
      <c r="AO260" s="827"/>
      <c r="AP260" s="817"/>
      <c r="AQ260" s="931" t="s">
        <v>1481</v>
      </c>
      <c r="AR260" s="964" t="s">
        <v>1479</v>
      </c>
      <c r="AS260" s="980">
        <v>1.978004662857141</v>
      </c>
      <c r="AT260" s="964"/>
      <c r="AU260" s="817"/>
      <c r="AV260" s="827"/>
      <c r="AW260" s="817"/>
      <c r="AX260" s="505">
        <v>232.2</v>
      </c>
      <c r="AY260" s="841">
        <v>533.1</v>
      </c>
      <c r="AZ260" s="841">
        <v>160</v>
      </c>
      <c r="BA260" s="841">
        <v>5</v>
      </c>
      <c r="BB260" s="1022"/>
      <c r="BC260" s="1022"/>
      <c r="BD260" s="1056"/>
      <c r="BE260" s="936"/>
      <c r="BF260" s="830"/>
      <c r="BG260" s="936"/>
      <c r="BH260" s="936"/>
      <c r="BJ260" s="936"/>
      <c r="BK260" s="936"/>
      <c r="BL260" s="936"/>
      <c r="BM260" s="936"/>
      <c r="BN260" s="936"/>
      <c r="BO260" s="936"/>
      <c r="BP260" s="936"/>
      <c r="BS260" s="936"/>
      <c r="CH260" s="936"/>
      <c r="CI260" s="938"/>
    </row>
    <row r="261" spans="2:87" s="747" customFormat="1" ht="13.9" hidden="1" customHeight="1" outlineLevel="1">
      <c r="B261" s="1072" t="str">
        <f t="shared" si="232"/>
        <v>15.0hp: Ring ZR160-190</v>
      </c>
      <c r="C261" s="1073"/>
      <c r="D261" s="1074"/>
      <c r="E261" s="990">
        <v>242.5</v>
      </c>
      <c r="F261" s="987">
        <v>160</v>
      </c>
      <c r="G261" s="987"/>
      <c r="H261" s="1075" t="s">
        <v>100</v>
      </c>
      <c r="I261" s="1076"/>
      <c r="J261" s="1077">
        <v>2</v>
      </c>
      <c r="K261" s="990">
        <f t="shared" si="233"/>
        <v>802.14285714285643</v>
      </c>
      <c r="L261" s="987">
        <f t="shared" si="234"/>
        <v>160</v>
      </c>
      <c r="M261" s="992">
        <f t="shared" si="235"/>
        <v>8030</v>
      </c>
      <c r="N261" s="993">
        <f t="shared" si="236"/>
        <v>2.5668571428571406E-4</v>
      </c>
      <c r="O261" s="994">
        <v>1</v>
      </c>
      <c r="P261" s="989">
        <f t="shared" si="237"/>
        <v>2.061186285714284</v>
      </c>
      <c r="Q261" s="1007">
        <v>1</v>
      </c>
      <c r="R261" s="996">
        <f t="shared" si="238"/>
        <v>0</v>
      </c>
      <c r="S261" s="1007">
        <f t="shared" si="239"/>
        <v>0</v>
      </c>
      <c r="T261" s="1078" t="s">
        <v>115</v>
      </c>
      <c r="U261" s="999">
        <f t="shared" si="240"/>
        <v>22500</v>
      </c>
      <c r="V261" s="1000">
        <f t="shared" si="241"/>
        <v>6.8240753377917299E-5</v>
      </c>
      <c r="W261" s="1019">
        <v>1.05</v>
      </c>
      <c r="X261" s="1008">
        <v>1</v>
      </c>
      <c r="Y261" s="1079">
        <f t="shared" si="242"/>
        <v>0</v>
      </c>
      <c r="Z261" s="1080">
        <f t="shared" si="243"/>
        <v>0</v>
      </c>
      <c r="AA261" s="1004"/>
      <c r="AC261" s="988"/>
      <c r="AD261" s="988"/>
      <c r="AE261" s="988"/>
      <c r="AF261" s="988">
        <v>1</v>
      </c>
      <c r="AG261" s="824"/>
      <c r="AH261" s="827"/>
      <c r="AI261" s="824"/>
      <c r="AJ261" s="828">
        <f t="shared" si="230"/>
        <v>0</v>
      </c>
      <c r="AK261" s="862"/>
      <c r="AL261" s="828">
        <f t="shared" si="231"/>
        <v>0</v>
      </c>
      <c r="AM261" s="862"/>
      <c r="AN261" s="824"/>
      <c r="AO261" s="827"/>
      <c r="AP261" s="817"/>
      <c r="AQ261" s="931" t="s">
        <v>1482</v>
      </c>
      <c r="AR261" s="964" t="s">
        <v>1483</v>
      </c>
      <c r="AS261" s="980">
        <v>2.061186285714284</v>
      </c>
      <c r="AT261" s="964"/>
      <c r="AU261" s="817"/>
      <c r="AV261" s="827"/>
      <c r="AW261" s="817"/>
      <c r="AX261" s="505">
        <v>242.5</v>
      </c>
      <c r="AY261" s="841">
        <v>551.5</v>
      </c>
      <c r="AZ261" s="841">
        <v>160</v>
      </c>
      <c r="BA261" s="841">
        <v>5</v>
      </c>
      <c r="BB261" s="1022"/>
      <c r="BC261" s="1022"/>
      <c r="BD261" s="1056"/>
      <c r="BE261" s="936"/>
      <c r="BF261" s="830"/>
      <c r="BG261" s="936"/>
      <c r="BH261" s="936"/>
      <c r="BJ261" s="936"/>
      <c r="BK261" s="936"/>
      <c r="BL261" s="936"/>
      <c r="BM261" s="936"/>
      <c r="BN261" s="936"/>
      <c r="BO261" s="936"/>
      <c r="BP261" s="936"/>
      <c r="BS261" s="936"/>
      <c r="CH261" s="936"/>
      <c r="CI261" s="938"/>
    </row>
    <row r="262" spans="2:87" s="747" customFormat="1" ht="13.9" hidden="1" customHeight="1" outlineLevel="1">
      <c r="B262" s="921" t="s">
        <v>1484</v>
      </c>
      <c r="C262" s="922" t="s">
        <v>1485</v>
      </c>
      <c r="D262" s="923"/>
      <c r="E262" s="808">
        <f>90+97+90+97</f>
        <v>374</v>
      </c>
      <c r="F262" s="809">
        <v>51</v>
      </c>
      <c r="G262" s="809"/>
      <c r="H262" s="924" t="s">
        <v>97</v>
      </c>
      <c r="I262" s="1081"/>
      <c r="J262" s="828">
        <v>2</v>
      </c>
      <c r="K262" s="808">
        <f t="shared" si="233"/>
        <v>1215.4285714285704</v>
      </c>
      <c r="L262" s="809">
        <f t="shared" si="234"/>
        <v>51</v>
      </c>
      <c r="M262" s="860">
        <f t="shared" si="235"/>
        <v>8030</v>
      </c>
      <c r="N262" s="813">
        <f t="shared" si="236"/>
        <v>1.2397371428571419E-4</v>
      </c>
      <c r="O262" s="814">
        <v>1</v>
      </c>
      <c r="P262" s="811">
        <f t="shared" si="237"/>
        <v>0.99550892571428495</v>
      </c>
      <c r="Q262" s="815">
        <v>1.05</v>
      </c>
      <c r="R262" s="505">
        <f t="shared" si="238"/>
        <v>0</v>
      </c>
      <c r="S262" s="815">
        <f t="shared" si="239"/>
        <v>0</v>
      </c>
      <c r="T262" s="925" t="s">
        <v>115</v>
      </c>
      <c r="U262" s="946">
        <f>+F$11</f>
        <v>22500</v>
      </c>
      <c r="V262" s="927">
        <f t="shared" si="241"/>
        <v>6.8240753377917299E-5</v>
      </c>
      <c r="W262" s="926">
        <v>1</v>
      </c>
      <c r="X262" s="820">
        <v>1</v>
      </c>
      <c r="Y262" s="928">
        <f t="shared" si="242"/>
        <v>0</v>
      </c>
      <c r="Z262" s="929">
        <f t="shared" si="243"/>
        <v>0</v>
      </c>
      <c r="AA262" s="823">
        <v>1</v>
      </c>
      <c r="AC262" s="934">
        <v>1</v>
      </c>
      <c r="AD262" s="934">
        <v>1</v>
      </c>
      <c r="AE262" s="934">
        <v>1</v>
      </c>
      <c r="AF262" s="457">
        <v>1</v>
      </c>
      <c r="AG262" s="824"/>
      <c r="AH262" s="827"/>
      <c r="AI262" s="824"/>
      <c r="AJ262" s="828">
        <f t="shared" si="230"/>
        <v>0</v>
      </c>
      <c r="AK262" s="862"/>
      <c r="AL262" s="828">
        <f t="shared" si="231"/>
        <v>0</v>
      </c>
      <c r="AM262" s="862"/>
      <c r="AN262" s="824"/>
      <c r="AO262" s="827"/>
      <c r="AP262" s="824"/>
      <c r="AQ262" s="965"/>
      <c r="AR262" s="966"/>
      <c r="AS262" s="1082"/>
      <c r="AT262" s="943"/>
      <c r="AU262" s="824"/>
      <c r="AV262" s="827"/>
      <c r="AW262" s="824"/>
      <c r="AX262" s="941"/>
      <c r="AY262" s="942"/>
      <c r="AZ262" s="942"/>
      <c r="BA262" s="942"/>
      <c r="BB262" s="942"/>
      <c r="BC262" s="966"/>
      <c r="BD262" s="1083"/>
      <c r="BE262" s="936"/>
      <c r="BF262" s="830"/>
      <c r="BG262" s="936"/>
      <c r="BH262" s="936"/>
      <c r="BJ262" s="936"/>
      <c r="BK262" s="936"/>
      <c r="BL262" s="936"/>
      <c r="BM262" s="936"/>
      <c r="BN262" s="936"/>
      <c r="BO262" s="936"/>
      <c r="BP262" s="936"/>
      <c r="BS262" s="936"/>
      <c r="CH262" s="936"/>
      <c r="CI262" s="938"/>
    </row>
    <row r="263" spans="2:87" s="747" customFormat="1" ht="13.9" hidden="1" customHeight="1" outlineLevel="1">
      <c r="B263" s="1072" t="s">
        <v>1486</v>
      </c>
      <c r="C263" s="1073" t="s">
        <v>1487</v>
      </c>
      <c r="D263" s="1074"/>
      <c r="E263" s="990">
        <v>140</v>
      </c>
      <c r="F263" s="987">
        <v>162</v>
      </c>
      <c r="G263" s="987"/>
      <c r="H263" s="1075" t="s">
        <v>97</v>
      </c>
      <c r="I263" s="1076"/>
      <c r="J263" s="1077">
        <v>2</v>
      </c>
      <c r="K263" s="990">
        <f t="shared" si="233"/>
        <v>479.9999999999996</v>
      </c>
      <c r="L263" s="987">
        <f t="shared" si="234"/>
        <v>162</v>
      </c>
      <c r="M263" s="992">
        <f t="shared" si="235"/>
        <v>8030</v>
      </c>
      <c r="N263" s="993">
        <f t="shared" si="236"/>
        <v>1.5551999999999987E-4</v>
      </c>
      <c r="O263" s="994">
        <v>1</v>
      </c>
      <c r="P263" s="989">
        <f t="shared" si="237"/>
        <v>1.2488255999999989</v>
      </c>
      <c r="Q263" s="1007">
        <v>1.05</v>
      </c>
      <c r="R263" s="996">
        <f t="shared" si="238"/>
        <v>0</v>
      </c>
      <c r="S263" s="1007">
        <f t="shared" si="239"/>
        <v>0</v>
      </c>
      <c r="T263" s="1078" t="s">
        <v>115</v>
      </c>
      <c r="U263" s="999">
        <f>+F$11</f>
        <v>22500</v>
      </c>
      <c r="V263" s="1000">
        <f t="shared" si="241"/>
        <v>6.8240753377917299E-5</v>
      </c>
      <c r="W263" s="1019">
        <v>1</v>
      </c>
      <c r="X263" s="1008">
        <v>1</v>
      </c>
      <c r="Y263" s="1079">
        <f t="shared" si="242"/>
        <v>0</v>
      </c>
      <c r="Z263" s="1080">
        <f t="shared" si="243"/>
        <v>0</v>
      </c>
      <c r="AA263" s="1004">
        <v>1</v>
      </c>
      <c r="AC263" s="988">
        <v>1</v>
      </c>
      <c r="AD263" s="988">
        <v>1</v>
      </c>
      <c r="AE263" s="988">
        <v>1</v>
      </c>
      <c r="AF263" s="988">
        <v>1</v>
      </c>
      <c r="AG263" s="824"/>
      <c r="AH263" s="827"/>
      <c r="AI263" s="824"/>
      <c r="AJ263" s="828">
        <f t="shared" si="230"/>
        <v>0</v>
      </c>
      <c r="AK263" s="862"/>
      <c r="AL263" s="828">
        <f t="shared" si="231"/>
        <v>0</v>
      </c>
      <c r="AM263" s="862"/>
      <c r="AN263" s="824"/>
      <c r="AO263" s="827"/>
      <c r="AP263" s="824"/>
      <c r="AQ263" s="930"/>
      <c r="AS263" s="828"/>
      <c r="AT263" s="964"/>
      <c r="AU263" s="824"/>
      <c r="AV263" s="827"/>
      <c r="AW263" s="824"/>
      <c r="AX263" s="934"/>
      <c r="AY263" s="936"/>
      <c r="AZ263" s="936"/>
      <c r="BA263" s="936"/>
      <c r="BB263" s="936"/>
      <c r="BD263" s="924"/>
      <c r="BE263" s="936"/>
      <c r="BF263" s="830"/>
      <c r="BG263" s="936"/>
      <c r="BH263" s="936"/>
      <c r="BJ263" s="936"/>
      <c r="BK263" s="936"/>
      <c r="BL263" s="936"/>
      <c r="BM263" s="936"/>
      <c r="BN263" s="936"/>
      <c r="BO263" s="936"/>
      <c r="BP263" s="936"/>
      <c r="BS263" s="936"/>
      <c r="CH263" s="936"/>
      <c r="CI263" s="938"/>
    </row>
    <row r="264" spans="2:87" s="747" customFormat="1" ht="13.9" hidden="1" customHeight="1" outlineLevel="1">
      <c r="B264" s="921" t="s">
        <v>1488</v>
      </c>
      <c r="C264" s="922"/>
      <c r="D264" s="923"/>
      <c r="E264" s="808"/>
      <c r="F264" s="809"/>
      <c r="G264" s="809"/>
      <c r="H264" s="924" t="s">
        <v>97</v>
      </c>
      <c r="I264" s="1081"/>
      <c r="J264" s="828"/>
      <c r="K264" s="808">
        <f>SUMPRODUCT(K258:K261,$AA258:$AA261)</f>
        <v>769.77142857142792</v>
      </c>
      <c r="L264" s="809">
        <f>SUMPRODUCT(L258:L261,$AA258:$AA261)</f>
        <v>160</v>
      </c>
      <c r="M264" s="860">
        <v>0.33333333333333331</v>
      </c>
      <c r="N264" s="813">
        <f t="shared" si="236"/>
        <v>0.12316342857142845</v>
      </c>
      <c r="O264" s="814">
        <v>1</v>
      </c>
      <c r="P264" s="811">
        <f t="shared" si="237"/>
        <v>4.1054476190476148E-2</v>
      </c>
      <c r="Q264" s="815">
        <v>1</v>
      </c>
      <c r="R264" s="505">
        <f t="shared" si="238"/>
        <v>0</v>
      </c>
      <c r="S264" s="815">
        <f t="shared" si="239"/>
        <v>0</v>
      </c>
      <c r="T264" s="925" t="s">
        <v>115</v>
      </c>
      <c r="U264" s="946">
        <v>55000</v>
      </c>
      <c r="V264" s="927">
        <f t="shared" si="241"/>
        <v>6.8240753377917299E-5</v>
      </c>
      <c r="W264" s="926">
        <v>1</v>
      </c>
      <c r="X264" s="820">
        <v>1</v>
      </c>
      <c r="Y264" s="928">
        <f t="shared" si="242"/>
        <v>0</v>
      </c>
      <c r="Z264" s="929">
        <f t="shared" si="243"/>
        <v>0</v>
      </c>
      <c r="AA264" s="823">
        <v>1</v>
      </c>
      <c r="AC264" s="934">
        <v>1</v>
      </c>
      <c r="AD264" s="934">
        <v>1</v>
      </c>
      <c r="AE264" s="934">
        <v>1</v>
      </c>
      <c r="AF264" s="457">
        <v>1</v>
      </c>
      <c r="AG264" s="824"/>
      <c r="AH264" s="827"/>
      <c r="AI264" s="824"/>
      <c r="AJ264" s="828">
        <f t="shared" si="230"/>
        <v>0</v>
      </c>
      <c r="AK264" s="862"/>
      <c r="AL264" s="828">
        <f t="shared" si="231"/>
        <v>0</v>
      </c>
      <c r="AM264" s="862"/>
      <c r="AN264" s="824"/>
      <c r="AO264" s="827"/>
      <c r="AP264" s="824"/>
      <c r="AQ264" s="930"/>
      <c r="AS264" s="828"/>
      <c r="AT264" s="964"/>
      <c r="AU264" s="824"/>
      <c r="AV264" s="827"/>
      <c r="AW264" s="824"/>
      <c r="AX264" s="934"/>
      <c r="AY264" s="936"/>
      <c r="AZ264" s="936"/>
      <c r="BA264" s="936"/>
      <c r="BB264" s="936"/>
      <c r="BD264" s="924"/>
      <c r="BE264" s="936"/>
      <c r="BF264" s="830"/>
      <c r="BG264" s="936"/>
      <c r="BH264" s="936"/>
      <c r="BJ264" s="936"/>
      <c r="BK264" s="936"/>
      <c r="BL264" s="936"/>
      <c r="BM264" s="936"/>
      <c r="BN264" s="936"/>
      <c r="BO264" s="936"/>
      <c r="BP264" s="936"/>
      <c r="BS264" s="936"/>
      <c r="CH264" s="936"/>
      <c r="CI264" s="938"/>
    </row>
    <row r="265" spans="2:87" s="747" customFormat="1" ht="13.9" hidden="1" customHeight="1" outlineLevel="1">
      <c r="B265" s="921" t="s">
        <v>1489</v>
      </c>
      <c r="C265" s="922"/>
      <c r="D265" s="923"/>
      <c r="E265" s="808"/>
      <c r="F265" s="809"/>
      <c r="G265" s="809"/>
      <c r="H265" s="924" t="s">
        <v>100</v>
      </c>
      <c r="I265" s="1081"/>
      <c r="J265" s="828"/>
      <c r="K265" s="808"/>
      <c r="L265" s="809"/>
      <c r="M265" s="860">
        <v>1</v>
      </c>
      <c r="N265" s="813">
        <f t="shared" si="236"/>
        <v>1</v>
      </c>
      <c r="O265" s="814">
        <v>2</v>
      </c>
      <c r="P265" s="811">
        <f t="shared" si="237"/>
        <v>2</v>
      </c>
      <c r="Q265" s="815">
        <v>1</v>
      </c>
      <c r="R265" s="505">
        <f t="shared" si="238"/>
        <v>0</v>
      </c>
      <c r="S265" s="815">
        <f t="shared" si="239"/>
        <v>0</v>
      </c>
      <c r="T265" s="925" t="s">
        <v>46</v>
      </c>
      <c r="U265" s="811">
        <v>0.52</v>
      </c>
      <c r="V265" s="927">
        <f t="shared" si="241"/>
        <v>1</v>
      </c>
      <c r="W265" s="926">
        <v>1</v>
      </c>
      <c r="X265" s="820">
        <v>2E-3</v>
      </c>
      <c r="Y265" s="928">
        <f t="shared" si="242"/>
        <v>0</v>
      </c>
      <c r="Z265" s="929">
        <f t="shared" si="243"/>
        <v>0</v>
      </c>
      <c r="AA265" s="823">
        <v>1</v>
      </c>
      <c r="AC265" s="934">
        <v>1</v>
      </c>
      <c r="AD265" s="934">
        <v>1</v>
      </c>
      <c r="AE265" s="934">
        <v>1</v>
      </c>
      <c r="AF265" s="457">
        <v>1</v>
      </c>
      <c r="AG265" s="824"/>
      <c r="AH265" s="827"/>
      <c r="AI265" s="824"/>
      <c r="AJ265" s="828">
        <f t="shared" si="230"/>
        <v>0</v>
      </c>
      <c r="AK265" s="862"/>
      <c r="AL265" s="828">
        <f t="shared" si="231"/>
        <v>0</v>
      </c>
      <c r="AM265" s="862"/>
      <c r="AN265" s="824"/>
      <c r="AO265" s="827"/>
      <c r="AP265" s="824"/>
      <c r="AQ265" s="930"/>
      <c r="AS265" s="828"/>
      <c r="AT265" s="964"/>
      <c r="AU265" s="824"/>
      <c r="AV265" s="827"/>
      <c r="AW265" s="824"/>
      <c r="AX265" s="934"/>
      <c r="AY265" s="936"/>
      <c r="AZ265" s="936"/>
      <c r="BA265" s="936"/>
      <c r="BB265" s="936"/>
      <c r="BD265" s="924"/>
      <c r="BE265" s="936"/>
      <c r="BF265" s="830"/>
      <c r="BG265" s="936"/>
      <c r="BH265" s="936"/>
      <c r="BJ265" s="936"/>
      <c r="BK265" s="936"/>
      <c r="BL265" s="936"/>
      <c r="BM265" s="936"/>
      <c r="BN265" s="936"/>
      <c r="BO265" s="936"/>
      <c r="BP265" s="936"/>
      <c r="BS265" s="936"/>
      <c r="CH265" s="936"/>
      <c r="CI265" s="938"/>
    </row>
    <row r="266" spans="2:87" s="747" customFormat="1" ht="13.9" hidden="1" customHeight="1" outlineLevel="1">
      <c r="B266" s="921" t="s">
        <v>1490</v>
      </c>
      <c r="C266" s="922"/>
      <c r="D266" s="923"/>
      <c r="E266" s="808"/>
      <c r="F266" s="809"/>
      <c r="G266" s="809"/>
      <c r="H266" s="924" t="s">
        <v>97</v>
      </c>
      <c r="I266" s="1081"/>
      <c r="J266" s="828">
        <v>51</v>
      </c>
      <c r="K266" s="808">
        <v>90</v>
      </c>
      <c r="L266" s="809">
        <v>97</v>
      </c>
      <c r="M266" s="860">
        <v>0.81200000000000006</v>
      </c>
      <c r="N266" s="813">
        <f t="shared" si="236"/>
        <v>4.4522999999999996E-4</v>
      </c>
      <c r="O266" s="814">
        <v>1</v>
      </c>
      <c r="P266" s="811">
        <f t="shared" si="237"/>
        <v>3.6152675999999998E-4</v>
      </c>
      <c r="Q266" s="815">
        <v>1</v>
      </c>
      <c r="R266" s="505">
        <f t="shared" si="238"/>
        <v>0</v>
      </c>
      <c r="S266" s="815">
        <f t="shared" si="239"/>
        <v>0</v>
      </c>
      <c r="T266" s="925" t="s">
        <v>46</v>
      </c>
      <c r="U266" s="811">
        <v>37.5</v>
      </c>
      <c r="V266" s="927">
        <f t="shared" si="241"/>
        <v>1</v>
      </c>
      <c r="W266" s="926">
        <v>1</v>
      </c>
      <c r="X266" s="820">
        <v>1</v>
      </c>
      <c r="Y266" s="928">
        <f t="shared" si="242"/>
        <v>0</v>
      </c>
      <c r="Z266" s="929">
        <f t="shared" si="243"/>
        <v>0</v>
      </c>
      <c r="AA266" s="823">
        <v>1</v>
      </c>
      <c r="AC266" s="934">
        <v>1</v>
      </c>
      <c r="AD266" s="934">
        <v>1</v>
      </c>
      <c r="AE266" s="934">
        <v>1</v>
      </c>
      <c r="AF266" s="457">
        <v>1</v>
      </c>
      <c r="AG266" s="824"/>
      <c r="AH266" s="827"/>
      <c r="AI266" s="824"/>
      <c r="AJ266" s="828">
        <f t="shared" si="230"/>
        <v>0</v>
      </c>
      <c r="AK266" s="862"/>
      <c r="AL266" s="828">
        <f t="shared" si="231"/>
        <v>0</v>
      </c>
      <c r="AM266" s="862"/>
      <c r="AN266" s="824"/>
      <c r="AO266" s="827"/>
      <c r="AP266" s="824"/>
      <c r="AQ266" s="930"/>
      <c r="AS266" s="828"/>
      <c r="AT266" s="964"/>
      <c r="AU266" s="824"/>
      <c r="AV266" s="827"/>
      <c r="AW266" s="824"/>
      <c r="AX266" s="934"/>
      <c r="AY266" s="936"/>
      <c r="AZ266" s="936"/>
      <c r="BA266" s="936"/>
      <c r="BB266" s="936"/>
      <c r="BD266" s="924"/>
      <c r="BE266" s="936"/>
      <c r="BF266" s="830"/>
      <c r="BG266" s="936"/>
      <c r="BH266" s="936"/>
      <c r="BJ266" s="936"/>
      <c r="BK266" s="936"/>
      <c r="BL266" s="936"/>
      <c r="BM266" s="936"/>
      <c r="BN266" s="936"/>
      <c r="BO266" s="936"/>
      <c r="BP266" s="936"/>
      <c r="BS266" s="936"/>
      <c r="CH266" s="936"/>
      <c r="CI266" s="938"/>
    </row>
    <row r="267" spans="2:87" s="747" customFormat="1" ht="13.9" hidden="1" customHeight="1" outlineLevel="1">
      <c r="B267" s="921" t="s">
        <v>1491</v>
      </c>
      <c r="C267" s="922"/>
      <c r="D267" s="923"/>
      <c r="E267" s="808"/>
      <c r="F267" s="809"/>
      <c r="G267" s="809"/>
      <c r="H267" s="924" t="s">
        <v>97</v>
      </c>
      <c r="J267" s="828">
        <v>51</v>
      </c>
      <c r="K267" s="808">
        <v>90</v>
      </c>
      <c r="L267" s="809">
        <v>97</v>
      </c>
      <c r="M267" s="860">
        <v>0.81200000000000006</v>
      </c>
      <c r="N267" s="813">
        <f t="shared" si="236"/>
        <v>4.4522999999999996E-4</v>
      </c>
      <c r="O267" s="814">
        <v>1</v>
      </c>
      <c r="P267" s="811">
        <f t="shared" si="237"/>
        <v>3.6152675999999998E-4</v>
      </c>
      <c r="Q267" s="815">
        <v>1</v>
      </c>
      <c r="R267" s="505">
        <f t="shared" si="238"/>
        <v>0</v>
      </c>
      <c r="S267" s="815">
        <f t="shared" si="239"/>
        <v>0</v>
      </c>
      <c r="T267" s="925" t="s">
        <v>46</v>
      </c>
      <c r="U267" s="811">
        <v>37.5</v>
      </c>
      <c r="V267" s="927">
        <f t="shared" si="241"/>
        <v>1</v>
      </c>
      <c r="W267" s="926">
        <v>1</v>
      </c>
      <c r="X267" s="820">
        <v>1</v>
      </c>
      <c r="Y267" s="928">
        <f t="shared" si="242"/>
        <v>0</v>
      </c>
      <c r="Z267" s="929">
        <f t="shared" si="243"/>
        <v>0</v>
      </c>
      <c r="AA267" s="823">
        <v>1</v>
      </c>
      <c r="AC267" s="457">
        <v>1</v>
      </c>
      <c r="AD267" s="457">
        <v>1</v>
      </c>
      <c r="AE267" s="457">
        <v>1</v>
      </c>
      <c r="AF267" s="457">
        <v>1</v>
      </c>
      <c r="AG267" s="824"/>
      <c r="AH267" s="827"/>
      <c r="AI267" s="824"/>
      <c r="AJ267" s="828">
        <f t="shared" si="230"/>
        <v>0</v>
      </c>
      <c r="AK267" s="862"/>
      <c r="AL267" s="828">
        <f t="shared" si="231"/>
        <v>0</v>
      </c>
      <c r="AM267" s="862"/>
      <c r="AN267" s="824"/>
      <c r="AO267" s="827"/>
      <c r="AP267" s="824"/>
      <c r="AQ267" s="930"/>
      <c r="AS267" s="828"/>
      <c r="AT267" s="964"/>
      <c r="AU267" s="824"/>
      <c r="AV267" s="827"/>
      <c r="AW267" s="824"/>
      <c r="AX267" s="934"/>
      <c r="AY267" s="936"/>
      <c r="AZ267" s="936"/>
      <c r="BA267" s="936"/>
      <c r="BB267" s="936"/>
      <c r="BD267" s="924"/>
      <c r="BE267" s="936"/>
      <c r="BF267" s="830"/>
      <c r="BG267" s="936"/>
      <c r="BH267" s="936"/>
      <c r="BJ267" s="936"/>
      <c r="BK267" s="936"/>
      <c r="BL267" s="936"/>
      <c r="BM267" s="936"/>
      <c r="BN267" s="936"/>
      <c r="BO267" s="936"/>
      <c r="BP267" s="936"/>
      <c r="BS267" s="936"/>
      <c r="CH267" s="936"/>
      <c r="CI267" s="938"/>
    </row>
    <row r="268" spans="2:87" s="747" customFormat="1" ht="13.9" hidden="1" customHeight="1" outlineLevel="1">
      <c r="B268" s="1072" t="s">
        <v>1492</v>
      </c>
      <c r="C268" s="1073"/>
      <c r="D268" s="1074"/>
      <c r="E268" s="990"/>
      <c r="F268" s="987"/>
      <c r="G268" s="987"/>
      <c r="H268" s="1075" t="s">
        <v>100</v>
      </c>
      <c r="I268" s="1084"/>
      <c r="J268" s="1077"/>
      <c r="K268" s="990"/>
      <c r="L268" s="987"/>
      <c r="M268" s="992">
        <v>1</v>
      </c>
      <c r="N268" s="993">
        <f>IF(I268&gt;0,22/28*((I268/1000)^2-(I268/1000-2*J268/1000)^2)*K268/1000,IF(J268&gt;0,J268/1000*K268/1000*L268/1000, IF(K268&gt;0,K268/1000*L268/1000, IF(L268=0,1,L268/1000))))</f>
        <v>1</v>
      </c>
      <c r="O268" s="994">
        <v>1</v>
      </c>
      <c r="P268" s="989">
        <f>M268*N268*O268</f>
        <v>1</v>
      </c>
      <c r="Q268" s="1007">
        <v>1</v>
      </c>
      <c r="R268" s="996">
        <f t="shared" si="238"/>
        <v>0</v>
      </c>
      <c r="S268" s="1007">
        <f t="shared" si="239"/>
        <v>0</v>
      </c>
      <c r="T268" s="1078" t="s">
        <v>46</v>
      </c>
      <c r="U268" s="989">
        <v>520</v>
      </c>
      <c r="V268" s="1000">
        <f t="shared" si="241"/>
        <v>1</v>
      </c>
      <c r="W268" s="1019">
        <v>1</v>
      </c>
      <c r="X268" s="1008">
        <v>0.25</v>
      </c>
      <c r="Y268" s="1079">
        <f t="shared" si="242"/>
        <v>0</v>
      </c>
      <c r="Z268" s="1080">
        <f t="shared" si="243"/>
        <v>0</v>
      </c>
      <c r="AA268" s="1004">
        <v>1</v>
      </c>
      <c r="AC268" s="934">
        <v>1</v>
      </c>
      <c r="AD268" s="934">
        <v>1</v>
      </c>
      <c r="AE268" s="934">
        <v>1</v>
      </c>
      <c r="AF268" s="457">
        <v>1</v>
      </c>
      <c r="AG268" s="824"/>
      <c r="AH268" s="827"/>
      <c r="AI268" s="824"/>
      <c r="AJ268" s="828">
        <f>+Y268</f>
        <v>0</v>
      </c>
      <c r="AK268" s="862"/>
      <c r="AL268" s="828">
        <f>+Z268</f>
        <v>0</v>
      </c>
      <c r="AM268" s="862"/>
      <c r="AN268" s="824"/>
      <c r="AO268" s="827"/>
      <c r="AP268" s="824"/>
      <c r="AQ268" s="985"/>
      <c r="AR268" s="1076"/>
      <c r="AS268" s="1077"/>
      <c r="AT268" s="991"/>
      <c r="AU268" s="824"/>
      <c r="AV268" s="827"/>
      <c r="AW268" s="824"/>
      <c r="AX268" s="1085"/>
      <c r="AY268" s="1086"/>
      <c r="AZ268" s="1086"/>
      <c r="BA268" s="1086"/>
      <c r="BB268" s="1086"/>
      <c r="BC268" s="1076"/>
      <c r="BD268" s="1075"/>
      <c r="BE268" s="936"/>
      <c r="BF268" s="830"/>
      <c r="BG268" s="936"/>
      <c r="BH268" s="936"/>
      <c r="BJ268" s="936"/>
      <c r="BK268" s="936"/>
      <c r="BL268" s="936"/>
      <c r="BM268" s="936"/>
      <c r="BN268" s="936"/>
      <c r="BO268" s="936"/>
      <c r="BP268" s="936"/>
      <c r="BS268" s="936"/>
      <c r="CH268" s="936"/>
      <c r="CI268" s="938"/>
    </row>
    <row r="269" spans="2:87" s="370" customFormat="1" ht="15" collapsed="1">
      <c r="B269" s="895" t="s">
        <v>1493</v>
      </c>
      <c r="C269" s="896"/>
      <c r="D269" s="897"/>
      <c r="E269" s="898"/>
      <c r="F269" s="899"/>
      <c r="G269" s="899"/>
      <c r="H269" s="900"/>
      <c r="I269" s="901"/>
      <c r="J269" s="902"/>
      <c r="K269" s="898"/>
      <c r="L269" s="899"/>
      <c r="M269" s="903"/>
      <c r="N269" s="904"/>
      <c r="O269" s="898"/>
      <c r="P269" s="902"/>
      <c r="Q269" s="905"/>
      <c r="R269" s="903"/>
      <c r="S269" s="905"/>
      <c r="T269" s="906"/>
      <c r="U269" s="906"/>
      <c r="V269" s="907"/>
      <c r="W269" s="908"/>
      <c r="X269" s="909"/>
      <c r="Y269" s="910">
        <f>SUM(Y270:Y277)</f>
        <v>0</v>
      </c>
      <c r="Z269" s="1069">
        <f>SUM(Z270:Z277)</f>
        <v>0</v>
      </c>
      <c r="AA269" s="911"/>
      <c r="AB269" s="369"/>
      <c r="AC269" s="912"/>
      <c r="AD269" s="912"/>
      <c r="AE269" s="912"/>
      <c r="AF269" s="913"/>
      <c r="AH269" s="521"/>
      <c r="AJ269" s="483"/>
      <c r="AK269" s="522">
        <f>SUM(AJ270:AJ277)</f>
        <v>0</v>
      </c>
      <c r="AL269" s="401"/>
      <c r="AM269" s="523">
        <f>SUM(AL270:AL277)</f>
        <v>0</v>
      </c>
      <c r="AO269" s="521"/>
      <c r="AQ269" s="914" t="str">
        <f>+B269</f>
        <v>- Electrical Assy</v>
      </c>
      <c r="AR269" s="1070" t="s">
        <v>1058</v>
      </c>
      <c r="AS269" s="1071" t="s">
        <v>97</v>
      </c>
      <c r="AT269" s="915" t="s">
        <v>1345</v>
      </c>
      <c r="AV269" s="521"/>
      <c r="AX269" s="918" t="s">
        <v>1347</v>
      </c>
      <c r="AY269" s="919" t="s">
        <v>1494</v>
      </c>
      <c r="AZ269" s="920" t="s">
        <v>1128</v>
      </c>
      <c r="BA269" s="960"/>
      <c r="BB269" s="960"/>
      <c r="BC269" s="960"/>
      <c r="BD269" s="961"/>
      <c r="BF269" s="524"/>
      <c r="BH269" s="918" t="s">
        <v>1495</v>
      </c>
      <c r="BI269" s="919" t="s">
        <v>1128</v>
      </c>
      <c r="BJ269" s="919" t="s">
        <v>732</v>
      </c>
      <c r="BK269" s="945" t="s">
        <v>1496</v>
      </c>
      <c r="BL269" s="918" t="s">
        <v>1497</v>
      </c>
      <c r="BM269" s="919" t="s">
        <v>1128</v>
      </c>
      <c r="BN269" s="919" t="s">
        <v>732</v>
      </c>
      <c r="BO269" s="945" t="s">
        <v>1496</v>
      </c>
      <c r="BP269" s="395"/>
      <c r="BQ269" s="395"/>
      <c r="BR269" s="395"/>
      <c r="BS269" s="395"/>
      <c r="BT269" s="395"/>
      <c r="BU269" s="395"/>
      <c r="BV269" s="369"/>
      <c r="BW269" s="369"/>
      <c r="BX269" s="369"/>
      <c r="BY269" s="395"/>
      <c r="BZ269" s="369"/>
      <c r="CA269" s="369"/>
      <c r="CB269" s="369"/>
      <c r="CC269" s="369"/>
      <c r="CD269" s="369"/>
      <c r="CE269" s="369"/>
      <c r="CH269" s="395"/>
      <c r="CI269" s="511"/>
    </row>
    <row r="270" spans="2:87" s="747" customFormat="1" ht="13.9" hidden="1" customHeight="1" outlineLevel="1">
      <c r="B270" s="921" t="str">
        <f t="shared" ref="B270:B273" si="244">"Armoured Cable, "&amp;AQ270&amp;": NX2RH "&amp;AR270</f>
        <v>Armoured Cable, 7.5hp: ZR94KCE-TFD: NX2RH N2XRH 4C-4.0/7s</v>
      </c>
      <c r="C270" s="922"/>
      <c r="D270" s="923"/>
      <c r="E270" s="808"/>
      <c r="F270" s="809">
        <f t="shared" ref="F270:F273" si="245">22/7*AZ270*3</f>
        <v>2189.3142857142857</v>
      </c>
      <c r="G270" s="809"/>
      <c r="H270" s="924" t="s">
        <v>1080</v>
      </c>
      <c r="J270" s="828"/>
      <c r="K270" s="808"/>
      <c r="L270" s="809">
        <f t="shared" ref="L270:L273" si="246">+F270</f>
        <v>2189.3142857142857</v>
      </c>
      <c r="M270" s="860">
        <v>1</v>
      </c>
      <c r="N270" s="813">
        <f t="shared" ref="N270:N277" si="247">IF(I270&gt;0,22/28*((I270/1000)^2-(I270/1000-2*J270/1000)^2)*K270/1000,IF(J270&gt;0,J270/1000*K270/1000*L270/1000, IF(K270&gt;0,K270/1000*L270/1000, IF(L270=0,1,L270/1000))))</f>
        <v>2.1893142857142855</v>
      </c>
      <c r="O270" s="814">
        <v>1</v>
      </c>
      <c r="P270" s="811">
        <f t="shared" ref="P270:P277" si="248">M270*N270*O270</f>
        <v>2.1893142857142855</v>
      </c>
      <c r="Q270" s="815">
        <v>1</v>
      </c>
      <c r="R270" s="505">
        <f t="shared" ref="R270:R277" si="249">+R$251</f>
        <v>0</v>
      </c>
      <c r="S270" s="815">
        <f t="shared" ref="S270:S277" si="250">P270*AA270*Q270*R270</f>
        <v>0</v>
      </c>
      <c r="T270" s="925" t="s">
        <v>46</v>
      </c>
      <c r="U270" s="811">
        <v>520</v>
      </c>
      <c r="V270" s="927">
        <f t="shared" ref="V270:V277" si="251">1/VLOOKUP(T270,Y$12:Z$18,2,FALSE)</f>
        <v>1</v>
      </c>
      <c r="W270" s="926">
        <v>1.05</v>
      </c>
      <c r="X270" s="820">
        <v>0.59899999999999998</v>
      </c>
      <c r="Y270" s="928">
        <f t="shared" ref="Y270:Y277" si="252">+P270*R270*AA270*X270</f>
        <v>0</v>
      </c>
      <c r="Z270" s="929">
        <f t="shared" ref="Z270:Z277" si="253">S270*U270*V270*W270</f>
        <v>0</v>
      </c>
      <c r="AA270" s="823">
        <v>1</v>
      </c>
      <c r="AC270" s="457">
        <v>1</v>
      </c>
      <c r="AD270" s="457"/>
      <c r="AE270" s="457"/>
      <c r="AF270" s="457"/>
      <c r="AG270" s="824"/>
      <c r="AH270" s="827"/>
      <c r="AI270" s="824"/>
      <c r="AJ270" s="828">
        <f t="shared" si="230"/>
        <v>0</v>
      </c>
      <c r="AK270" s="862"/>
      <c r="AL270" s="828">
        <f t="shared" si="231"/>
        <v>0</v>
      </c>
      <c r="AM270" s="862"/>
      <c r="AN270" s="824"/>
      <c r="AO270" s="827"/>
      <c r="AQ270" s="930" t="s">
        <v>1459</v>
      </c>
      <c r="AR270" s="930" t="s">
        <v>1498</v>
      </c>
      <c r="AS270" s="1054">
        <v>0.59899999999999998</v>
      </c>
      <c r="AT270" s="1087">
        <v>4.4400000000000004</v>
      </c>
      <c r="AV270" s="827"/>
      <c r="AX270" s="505">
        <v>12.83</v>
      </c>
      <c r="AY270" s="935">
        <v>1.5</v>
      </c>
      <c r="AZ270" s="1088">
        <v>232.2</v>
      </c>
      <c r="BD270" s="964"/>
      <c r="BF270" s="830"/>
      <c r="BH270" s="1089"/>
      <c r="BI270" s="1090"/>
      <c r="BJ270" s="1091"/>
      <c r="BK270" s="1092"/>
      <c r="BL270" s="1089"/>
      <c r="BM270" s="1090"/>
      <c r="BN270" s="1091"/>
      <c r="BO270" s="1093"/>
      <c r="BP270" s="936"/>
      <c r="BQ270" s="936"/>
      <c r="BR270" s="936"/>
      <c r="BS270" s="936"/>
      <c r="BW270" s="936"/>
      <c r="BY270" s="936"/>
      <c r="CH270" s="936"/>
      <c r="CI270" s="938"/>
    </row>
    <row r="271" spans="2:87" s="747" customFormat="1" ht="13.9" hidden="1" customHeight="1" outlineLevel="1">
      <c r="B271" s="921" t="str">
        <f t="shared" si="244"/>
        <v>Armoured Cable, 10.0hp: ZR125KCE-TFD: NX2RH N2XRH 4C-4.0/7s</v>
      </c>
      <c r="C271" s="922"/>
      <c r="D271" s="923"/>
      <c r="E271" s="808"/>
      <c r="F271" s="809">
        <f t="shared" si="245"/>
        <v>2189.3142857142857</v>
      </c>
      <c r="G271" s="809"/>
      <c r="H271" s="924" t="s">
        <v>1080</v>
      </c>
      <c r="J271" s="828"/>
      <c r="K271" s="808"/>
      <c r="L271" s="809">
        <f t="shared" si="246"/>
        <v>2189.3142857142857</v>
      </c>
      <c r="M271" s="860">
        <v>1</v>
      </c>
      <c r="N271" s="813">
        <f t="shared" si="247"/>
        <v>2.1893142857142855</v>
      </c>
      <c r="O271" s="814">
        <v>1</v>
      </c>
      <c r="P271" s="811">
        <f t="shared" si="248"/>
        <v>2.1893142857142855</v>
      </c>
      <c r="Q271" s="815">
        <v>1</v>
      </c>
      <c r="R271" s="505">
        <f t="shared" si="249"/>
        <v>0</v>
      </c>
      <c r="S271" s="815">
        <f t="shared" si="250"/>
        <v>0</v>
      </c>
      <c r="T271" s="925" t="s">
        <v>46</v>
      </c>
      <c r="U271" s="811">
        <v>570</v>
      </c>
      <c r="V271" s="927">
        <f t="shared" si="251"/>
        <v>1</v>
      </c>
      <c r="W271" s="926">
        <v>1.05</v>
      </c>
      <c r="X271" s="820">
        <v>0.59899999999999998</v>
      </c>
      <c r="Y271" s="928">
        <f t="shared" si="252"/>
        <v>0</v>
      </c>
      <c r="Z271" s="929">
        <f t="shared" si="253"/>
        <v>0</v>
      </c>
      <c r="AA271" s="823"/>
      <c r="AC271" s="457"/>
      <c r="AD271" s="457">
        <v>1</v>
      </c>
      <c r="AE271" s="457"/>
      <c r="AF271" s="457"/>
      <c r="AG271" s="824"/>
      <c r="AH271" s="827"/>
      <c r="AI271" s="824"/>
      <c r="AJ271" s="828">
        <f t="shared" si="230"/>
        <v>0</v>
      </c>
      <c r="AK271" s="862"/>
      <c r="AL271" s="828">
        <f t="shared" si="231"/>
        <v>0</v>
      </c>
      <c r="AM271" s="862"/>
      <c r="AN271" s="824"/>
      <c r="AO271" s="827"/>
      <c r="AQ271" s="930" t="s">
        <v>1461</v>
      </c>
      <c r="AR271" s="930" t="s">
        <v>1498</v>
      </c>
      <c r="AS271" s="1054">
        <v>0.59899999999999998</v>
      </c>
      <c r="AT271" s="1087">
        <v>4.4400000000000004</v>
      </c>
      <c r="AV271" s="827"/>
      <c r="AX271" s="505">
        <v>16</v>
      </c>
      <c r="AY271" s="935">
        <v>4</v>
      </c>
      <c r="AZ271" s="1088">
        <v>232.2</v>
      </c>
      <c r="BD271" s="964"/>
      <c r="BF271" s="830"/>
      <c r="BH271" s="1094" t="s">
        <v>1499</v>
      </c>
      <c r="BI271" s="1095">
        <v>18.5</v>
      </c>
      <c r="BJ271" s="1096"/>
      <c r="BK271" s="1096"/>
      <c r="BL271" s="1094" t="s">
        <v>1499</v>
      </c>
      <c r="BM271" s="1095">
        <v>18</v>
      </c>
      <c r="BN271" s="1096">
        <v>0.59899999999999998</v>
      </c>
      <c r="BO271" s="1097">
        <v>4.4400000000000004</v>
      </c>
      <c r="BP271" s="936"/>
      <c r="BQ271" s="936"/>
      <c r="BR271" s="936"/>
      <c r="BS271" s="936"/>
      <c r="BW271" s="936"/>
      <c r="BY271" s="936"/>
      <c r="CH271" s="936"/>
      <c r="CI271" s="938"/>
    </row>
    <row r="272" spans="2:87" s="747" customFormat="1" ht="13.9" hidden="1" customHeight="1" outlineLevel="1">
      <c r="B272" s="921" t="str">
        <f t="shared" si="244"/>
        <v>Armoured Cable, 12.5hp: ZR144KCE-TFD: NX2RH N2XRH 4C-4.0/7s</v>
      </c>
      <c r="C272" s="922"/>
      <c r="D272" s="923"/>
      <c r="E272" s="808"/>
      <c r="F272" s="809">
        <f t="shared" si="245"/>
        <v>2189.3142857142857</v>
      </c>
      <c r="G272" s="809"/>
      <c r="H272" s="924" t="s">
        <v>1080</v>
      </c>
      <c r="J272" s="828"/>
      <c r="K272" s="808"/>
      <c r="L272" s="809">
        <f t="shared" si="246"/>
        <v>2189.3142857142857</v>
      </c>
      <c r="M272" s="860">
        <v>1</v>
      </c>
      <c r="N272" s="813">
        <f t="shared" si="247"/>
        <v>2.1893142857142855</v>
      </c>
      <c r="O272" s="814">
        <v>1</v>
      </c>
      <c r="P272" s="811">
        <f t="shared" si="248"/>
        <v>2.1893142857142855</v>
      </c>
      <c r="Q272" s="815">
        <v>1</v>
      </c>
      <c r="R272" s="505">
        <f t="shared" si="249"/>
        <v>0</v>
      </c>
      <c r="S272" s="815">
        <f t="shared" si="250"/>
        <v>0</v>
      </c>
      <c r="T272" s="925" t="s">
        <v>46</v>
      </c>
      <c r="U272" s="811">
        <v>656.64</v>
      </c>
      <c r="V272" s="927">
        <f t="shared" si="251"/>
        <v>1</v>
      </c>
      <c r="W272" s="926">
        <v>1.05</v>
      </c>
      <c r="X272" s="820">
        <v>0.59899999999999998</v>
      </c>
      <c r="Y272" s="928">
        <f t="shared" si="252"/>
        <v>0</v>
      </c>
      <c r="Z272" s="929">
        <f t="shared" si="253"/>
        <v>0</v>
      </c>
      <c r="AA272" s="823"/>
      <c r="AC272" s="457"/>
      <c r="AD272" s="457"/>
      <c r="AE272" s="457">
        <v>1</v>
      </c>
      <c r="AF272" s="457"/>
      <c r="AG272" s="824"/>
      <c r="AH272" s="827"/>
      <c r="AI272" s="824"/>
      <c r="AJ272" s="828">
        <f t="shared" si="230"/>
        <v>0</v>
      </c>
      <c r="AK272" s="862"/>
      <c r="AL272" s="828">
        <f t="shared" si="231"/>
        <v>0</v>
      </c>
      <c r="AM272" s="862"/>
      <c r="AN272" s="824"/>
      <c r="AO272" s="827"/>
      <c r="AQ272" s="930" t="s">
        <v>1463</v>
      </c>
      <c r="AR272" s="930" t="s">
        <v>1498</v>
      </c>
      <c r="AS272" s="1054">
        <v>0.59899999999999998</v>
      </c>
      <c r="AT272" s="1087">
        <v>4.4400000000000004</v>
      </c>
      <c r="AV272" s="827"/>
      <c r="AX272" s="505">
        <v>17.66</v>
      </c>
      <c r="AY272" s="935">
        <v>4</v>
      </c>
      <c r="AZ272" s="1088">
        <v>232.2</v>
      </c>
      <c r="BD272" s="964"/>
      <c r="BF272" s="830"/>
      <c r="BH272" s="1094" t="s">
        <v>1500</v>
      </c>
      <c r="BI272" s="1095">
        <v>29.5</v>
      </c>
      <c r="BJ272" s="1096"/>
      <c r="BK272" s="1095"/>
      <c r="BL272" s="1094" t="s">
        <v>1500</v>
      </c>
      <c r="BM272" s="1095">
        <v>20.5</v>
      </c>
      <c r="BN272" s="1096">
        <v>0.82499999999999996</v>
      </c>
      <c r="BO272" s="1097">
        <v>5.63</v>
      </c>
      <c r="BP272" s="936"/>
      <c r="BQ272" s="936"/>
      <c r="BR272" s="936"/>
      <c r="BS272" s="936"/>
      <c r="BW272" s="936"/>
      <c r="BY272" s="936"/>
      <c r="CH272" s="936"/>
      <c r="CI272" s="938"/>
    </row>
    <row r="273" spans="2:87" s="747" customFormat="1" ht="13.9" hidden="1" customHeight="1" outlineLevel="1">
      <c r="B273" s="1072" t="str">
        <f t="shared" si="244"/>
        <v>Armoured Cable, 15.0hp: ZR190KCE-TFD: NX2RH N2XRH 4C-6.0/7s</v>
      </c>
      <c r="C273" s="1073"/>
      <c r="D273" s="1074"/>
      <c r="E273" s="990"/>
      <c r="F273" s="987">
        <f t="shared" si="245"/>
        <v>2286.4285714285716</v>
      </c>
      <c r="G273" s="987"/>
      <c r="H273" s="1075" t="s">
        <v>1080</v>
      </c>
      <c r="I273" s="1076"/>
      <c r="J273" s="1077"/>
      <c r="K273" s="990"/>
      <c r="L273" s="987">
        <f t="shared" si="246"/>
        <v>2286.4285714285716</v>
      </c>
      <c r="M273" s="992">
        <v>1</v>
      </c>
      <c r="N273" s="993">
        <f t="shared" si="247"/>
        <v>2.2864285714285715</v>
      </c>
      <c r="O273" s="994">
        <v>1</v>
      </c>
      <c r="P273" s="989">
        <f t="shared" si="248"/>
        <v>2.2864285714285715</v>
      </c>
      <c r="Q273" s="1007">
        <v>1</v>
      </c>
      <c r="R273" s="996">
        <f t="shared" si="249"/>
        <v>0</v>
      </c>
      <c r="S273" s="1007">
        <f t="shared" si="250"/>
        <v>0</v>
      </c>
      <c r="T273" s="1078" t="s">
        <v>46</v>
      </c>
      <c r="U273" s="989">
        <v>870</v>
      </c>
      <c r="V273" s="1000">
        <f t="shared" si="251"/>
        <v>1</v>
      </c>
      <c r="W273" s="1019">
        <v>1.05</v>
      </c>
      <c r="X273" s="1008">
        <v>0.875</v>
      </c>
      <c r="Y273" s="1079">
        <f t="shared" si="252"/>
        <v>0</v>
      </c>
      <c r="Z273" s="1080">
        <f t="shared" si="253"/>
        <v>0</v>
      </c>
      <c r="AA273" s="1004"/>
      <c r="AC273" s="988"/>
      <c r="AD273" s="988"/>
      <c r="AE273" s="988"/>
      <c r="AF273" s="988">
        <v>1</v>
      </c>
      <c r="AG273" s="824"/>
      <c r="AH273" s="827"/>
      <c r="AI273" s="824"/>
      <c r="AJ273" s="828">
        <f t="shared" si="230"/>
        <v>0</v>
      </c>
      <c r="AK273" s="862"/>
      <c r="AL273" s="828">
        <f t="shared" si="231"/>
        <v>0</v>
      </c>
      <c r="AM273" s="862"/>
      <c r="AN273" s="824"/>
      <c r="AO273" s="827"/>
      <c r="AQ273" s="930" t="s">
        <v>1465</v>
      </c>
      <c r="AR273" s="930" t="s">
        <v>1501</v>
      </c>
      <c r="AS273" s="1054">
        <v>0.875</v>
      </c>
      <c r="AT273" s="1087">
        <v>5.63</v>
      </c>
      <c r="AV273" s="827"/>
      <c r="AX273" s="505">
        <v>26.45</v>
      </c>
      <c r="AY273" s="935">
        <v>6</v>
      </c>
      <c r="AZ273" s="1088">
        <v>242.5</v>
      </c>
      <c r="BD273" s="964"/>
      <c r="BF273" s="830"/>
      <c r="BH273" s="1094" t="s">
        <v>1502</v>
      </c>
      <c r="BI273" s="1095"/>
      <c r="BJ273" s="1096"/>
      <c r="BK273" s="1095"/>
      <c r="BL273" s="1094" t="s">
        <v>1502</v>
      </c>
      <c r="BM273" s="1095">
        <v>25</v>
      </c>
      <c r="BN273" s="1096">
        <v>1.288</v>
      </c>
      <c r="BO273" s="1097">
        <v>13.225</v>
      </c>
      <c r="BP273" s="936"/>
      <c r="BQ273" s="936"/>
      <c r="BR273" s="936"/>
      <c r="BS273" s="936"/>
      <c r="BW273" s="936"/>
      <c r="BY273" s="936"/>
      <c r="CH273" s="936"/>
      <c r="CI273" s="938"/>
    </row>
    <row r="274" spans="2:87" s="747" customFormat="1" ht="13.9" hidden="1" customHeight="1" outlineLevel="1">
      <c r="B274" s="921" t="str">
        <f t="shared" ref="B274:B277" si="254">"Armoured Cable Gland, "&amp;AQ274&amp;": NX2RH "&amp;AR274</f>
        <v>Armoured Cable Gland, 7.5hp: N2XRH 4Cx4.0/7s: NX2RH M25a</v>
      </c>
      <c r="C274" s="922"/>
      <c r="D274" s="923"/>
      <c r="E274" s="808"/>
      <c r="F274" s="809"/>
      <c r="G274" s="809"/>
      <c r="H274" s="924" t="s">
        <v>100</v>
      </c>
      <c r="J274" s="828"/>
      <c r="K274" s="808"/>
      <c r="L274" s="809"/>
      <c r="M274" s="860">
        <v>1</v>
      </c>
      <c r="N274" s="813">
        <f t="shared" si="247"/>
        <v>1</v>
      </c>
      <c r="O274" s="814">
        <v>2</v>
      </c>
      <c r="P274" s="811">
        <f t="shared" si="248"/>
        <v>2</v>
      </c>
      <c r="Q274" s="815">
        <v>1</v>
      </c>
      <c r="R274" s="505">
        <f t="shared" si="249"/>
        <v>0</v>
      </c>
      <c r="S274" s="815">
        <f t="shared" si="250"/>
        <v>0</v>
      </c>
      <c r="T274" s="925" t="s">
        <v>46</v>
      </c>
      <c r="U274" s="811">
        <v>30</v>
      </c>
      <c r="V274" s="927">
        <f t="shared" si="251"/>
        <v>1</v>
      </c>
      <c r="W274" s="926">
        <v>1.05</v>
      </c>
      <c r="X274" s="820">
        <v>0.32500000000000001</v>
      </c>
      <c r="Y274" s="928">
        <f t="shared" si="252"/>
        <v>0</v>
      </c>
      <c r="Z274" s="929">
        <f t="shared" si="253"/>
        <v>0</v>
      </c>
      <c r="AA274" s="823">
        <v>1</v>
      </c>
      <c r="AC274" s="457">
        <v>1</v>
      </c>
      <c r="AD274" s="457"/>
      <c r="AE274" s="457"/>
      <c r="AF274" s="457"/>
      <c r="AG274" s="824"/>
      <c r="AH274" s="827"/>
      <c r="AI274" s="824"/>
      <c r="AJ274" s="828">
        <f t="shared" si="230"/>
        <v>0</v>
      </c>
      <c r="AK274" s="862"/>
      <c r="AL274" s="828">
        <f t="shared" si="231"/>
        <v>0</v>
      </c>
      <c r="AM274" s="862"/>
      <c r="AN274" s="824"/>
      <c r="AO274" s="827"/>
      <c r="AQ274" s="930" t="s">
        <v>1503</v>
      </c>
      <c r="AR274" s="930" t="s">
        <v>1504</v>
      </c>
      <c r="AS274" s="1054">
        <v>0.32500000000000001</v>
      </c>
      <c r="AT274" s="1087">
        <v>30</v>
      </c>
      <c r="AV274" s="827"/>
      <c r="AX274" s="505">
        <v>18</v>
      </c>
      <c r="AY274" s="841"/>
      <c r="AZ274" s="1088" t="s">
        <v>1505</v>
      </c>
      <c r="BD274" s="964"/>
      <c r="BF274" s="830"/>
      <c r="BH274" s="1094" t="s">
        <v>1506</v>
      </c>
      <c r="BI274" s="1098" t="s">
        <v>1507</v>
      </c>
      <c r="BJ274" s="1096">
        <v>1.4359999999999999</v>
      </c>
      <c r="BK274" s="1099">
        <v>100</v>
      </c>
      <c r="BL274" s="1094" t="s">
        <v>1506</v>
      </c>
      <c r="BM274" s="1098" t="s">
        <v>1507</v>
      </c>
      <c r="BN274" s="1096">
        <v>1.4359999999999999</v>
      </c>
      <c r="BO274" s="1099">
        <v>100</v>
      </c>
      <c r="BP274" s="936"/>
      <c r="BS274" s="936"/>
      <c r="CH274" s="936"/>
      <c r="CI274" s="938"/>
    </row>
    <row r="275" spans="2:87" s="747" customFormat="1" ht="13.9" hidden="1" customHeight="1" outlineLevel="1">
      <c r="B275" s="921" t="str">
        <f t="shared" si="254"/>
        <v>Armoured Cable Gland, 10.0hp: N2XRH 4Cx4.0/7s: NX2RH M25a</v>
      </c>
      <c r="C275" s="922"/>
      <c r="D275" s="923"/>
      <c r="E275" s="808"/>
      <c r="F275" s="809"/>
      <c r="G275" s="809"/>
      <c r="H275" s="924" t="s">
        <v>100</v>
      </c>
      <c r="J275" s="828"/>
      <c r="K275" s="808"/>
      <c r="L275" s="809"/>
      <c r="M275" s="860">
        <v>1</v>
      </c>
      <c r="N275" s="813">
        <f t="shared" si="247"/>
        <v>1</v>
      </c>
      <c r="O275" s="814">
        <v>2</v>
      </c>
      <c r="P275" s="811">
        <f t="shared" si="248"/>
        <v>2</v>
      </c>
      <c r="Q275" s="815">
        <v>1</v>
      </c>
      <c r="R275" s="505">
        <f t="shared" si="249"/>
        <v>0</v>
      </c>
      <c r="S275" s="815">
        <f t="shared" si="250"/>
        <v>0</v>
      </c>
      <c r="T275" s="925" t="s">
        <v>46</v>
      </c>
      <c r="U275" s="811">
        <v>30</v>
      </c>
      <c r="V275" s="927">
        <f t="shared" si="251"/>
        <v>1</v>
      </c>
      <c r="W275" s="926">
        <v>1.05</v>
      </c>
      <c r="X275" s="820">
        <v>0.32500000000000001</v>
      </c>
      <c r="Y275" s="928">
        <f t="shared" si="252"/>
        <v>0</v>
      </c>
      <c r="Z275" s="929">
        <f t="shared" si="253"/>
        <v>0</v>
      </c>
      <c r="AA275" s="823"/>
      <c r="AC275" s="457"/>
      <c r="AD275" s="457">
        <v>1</v>
      </c>
      <c r="AE275" s="457"/>
      <c r="AF275" s="457"/>
      <c r="AG275" s="824"/>
      <c r="AH275" s="827"/>
      <c r="AI275" s="824"/>
      <c r="AJ275" s="828">
        <f t="shared" si="230"/>
        <v>0</v>
      </c>
      <c r="AK275" s="862"/>
      <c r="AL275" s="828">
        <f t="shared" si="231"/>
        <v>0</v>
      </c>
      <c r="AM275" s="862"/>
      <c r="AN275" s="824"/>
      <c r="AO275" s="827"/>
      <c r="AQ275" s="930" t="s">
        <v>1508</v>
      </c>
      <c r="AR275" s="930" t="s">
        <v>1504</v>
      </c>
      <c r="AS275" s="1054">
        <v>0.32500000000000001</v>
      </c>
      <c r="AT275" s="1087">
        <v>30</v>
      </c>
      <c r="AV275" s="827"/>
      <c r="AX275" s="505">
        <v>18</v>
      </c>
      <c r="AY275" s="841"/>
      <c r="AZ275" s="1088" t="s">
        <v>1505</v>
      </c>
      <c r="BD275" s="964"/>
      <c r="BF275" s="830"/>
      <c r="BH275" s="1094"/>
      <c r="BI275" s="1098"/>
      <c r="BJ275" s="1096"/>
      <c r="BK275" s="1099"/>
      <c r="BL275" s="1094"/>
      <c r="BM275" s="1098"/>
      <c r="BN275" s="1096"/>
      <c r="BO275" s="1099"/>
      <c r="BP275" s="936"/>
      <c r="BS275" s="936"/>
      <c r="CH275" s="936"/>
      <c r="CI275" s="938"/>
    </row>
    <row r="276" spans="2:87" s="747" customFormat="1" ht="13.9" hidden="1" customHeight="1" outlineLevel="1">
      <c r="B276" s="921" t="str">
        <f t="shared" si="254"/>
        <v>Armoured Cable Gland, 12.5hp: N2XRH 4Cx4.0/7s: NX2RH M25a</v>
      </c>
      <c r="C276" s="922"/>
      <c r="D276" s="923"/>
      <c r="E276" s="808"/>
      <c r="F276" s="809"/>
      <c r="G276" s="809"/>
      <c r="H276" s="924" t="s">
        <v>100</v>
      </c>
      <c r="J276" s="828"/>
      <c r="K276" s="808"/>
      <c r="L276" s="809"/>
      <c r="M276" s="860">
        <v>1</v>
      </c>
      <c r="N276" s="813">
        <f t="shared" si="247"/>
        <v>1</v>
      </c>
      <c r="O276" s="814">
        <v>2</v>
      </c>
      <c r="P276" s="811">
        <f t="shared" si="248"/>
        <v>2</v>
      </c>
      <c r="Q276" s="815">
        <v>1</v>
      </c>
      <c r="R276" s="505">
        <f t="shared" si="249"/>
        <v>0</v>
      </c>
      <c r="S276" s="815">
        <f t="shared" si="250"/>
        <v>0</v>
      </c>
      <c r="T276" s="925" t="s">
        <v>46</v>
      </c>
      <c r="U276" s="811">
        <v>30</v>
      </c>
      <c r="V276" s="927">
        <f t="shared" si="251"/>
        <v>1</v>
      </c>
      <c r="W276" s="926">
        <v>1.05</v>
      </c>
      <c r="X276" s="820">
        <v>0.32500000000000001</v>
      </c>
      <c r="Y276" s="928">
        <f t="shared" si="252"/>
        <v>0</v>
      </c>
      <c r="Z276" s="929">
        <f t="shared" si="253"/>
        <v>0</v>
      </c>
      <c r="AA276" s="823"/>
      <c r="AC276" s="457"/>
      <c r="AD276" s="457"/>
      <c r="AE276" s="457">
        <v>1</v>
      </c>
      <c r="AF276" s="457"/>
      <c r="AG276" s="824"/>
      <c r="AH276" s="827"/>
      <c r="AI276" s="824"/>
      <c r="AJ276" s="828">
        <f t="shared" si="230"/>
        <v>0</v>
      </c>
      <c r="AK276" s="862"/>
      <c r="AL276" s="828">
        <f t="shared" si="231"/>
        <v>0</v>
      </c>
      <c r="AM276" s="862"/>
      <c r="AN276" s="824"/>
      <c r="AO276" s="827"/>
      <c r="AQ276" s="930" t="s">
        <v>1509</v>
      </c>
      <c r="AR276" s="930" t="s">
        <v>1504</v>
      </c>
      <c r="AS276" s="1054">
        <v>0.32500000000000001</v>
      </c>
      <c r="AT276" s="1087">
        <v>30</v>
      </c>
      <c r="AV276" s="827"/>
      <c r="AX276" s="505">
        <v>18</v>
      </c>
      <c r="AY276" s="841"/>
      <c r="AZ276" s="1088" t="s">
        <v>1505</v>
      </c>
      <c r="BD276" s="964"/>
      <c r="BF276" s="830"/>
      <c r="BH276" s="1094"/>
      <c r="BI276" s="1095"/>
      <c r="BJ276" s="1096"/>
      <c r="BK276" s="1099"/>
      <c r="BL276" s="1094"/>
      <c r="BM276" s="1095"/>
      <c r="BN276" s="1096"/>
      <c r="BO276" s="1099"/>
      <c r="BP276" s="936"/>
      <c r="BS276" s="936"/>
      <c r="CH276" s="936"/>
      <c r="CI276" s="938"/>
    </row>
    <row r="277" spans="2:87" s="747" customFormat="1" ht="13.9" hidden="1" customHeight="1" outlineLevel="1">
      <c r="B277" s="921" t="str">
        <f t="shared" si="254"/>
        <v>Armoured Cable Gland, 15.0hp: N2XRH 4Cx6.0/7s: NX2RH M25a</v>
      </c>
      <c r="C277" s="922"/>
      <c r="D277" s="923"/>
      <c r="E277" s="808"/>
      <c r="F277" s="809"/>
      <c r="G277" s="809"/>
      <c r="H277" s="924" t="s">
        <v>100</v>
      </c>
      <c r="J277" s="828"/>
      <c r="K277" s="808"/>
      <c r="L277" s="809"/>
      <c r="M277" s="860">
        <v>1</v>
      </c>
      <c r="N277" s="813">
        <f t="shared" si="247"/>
        <v>1</v>
      </c>
      <c r="O277" s="814">
        <v>2</v>
      </c>
      <c r="P277" s="811">
        <f t="shared" si="248"/>
        <v>2</v>
      </c>
      <c r="Q277" s="815">
        <v>1</v>
      </c>
      <c r="R277" s="505">
        <f t="shared" si="249"/>
        <v>0</v>
      </c>
      <c r="S277" s="815">
        <f t="shared" si="250"/>
        <v>0</v>
      </c>
      <c r="T277" s="925" t="s">
        <v>46</v>
      </c>
      <c r="U277" s="811">
        <v>30</v>
      </c>
      <c r="V277" s="927">
        <f t="shared" si="251"/>
        <v>1</v>
      </c>
      <c r="W277" s="926">
        <v>1.05</v>
      </c>
      <c r="X277" s="820">
        <v>0.32500000000000001</v>
      </c>
      <c r="Y277" s="928">
        <f t="shared" si="252"/>
        <v>0</v>
      </c>
      <c r="Z277" s="929">
        <f t="shared" si="253"/>
        <v>0</v>
      </c>
      <c r="AA277" s="823"/>
      <c r="AC277" s="457"/>
      <c r="AD277" s="457"/>
      <c r="AE277" s="457"/>
      <c r="AF277" s="457">
        <v>1</v>
      </c>
      <c r="AG277" s="824"/>
      <c r="AH277" s="827"/>
      <c r="AI277" s="824"/>
      <c r="AJ277" s="828">
        <f t="shared" si="230"/>
        <v>0</v>
      </c>
      <c r="AK277" s="862"/>
      <c r="AL277" s="828">
        <f t="shared" si="231"/>
        <v>0</v>
      </c>
      <c r="AM277" s="862"/>
      <c r="AN277" s="824"/>
      <c r="AO277" s="827"/>
      <c r="AQ277" s="930" t="s">
        <v>1510</v>
      </c>
      <c r="AR277" s="930" t="s">
        <v>1504</v>
      </c>
      <c r="AS277" s="1054">
        <v>0.32500000000000001</v>
      </c>
      <c r="AT277" s="1087">
        <v>30</v>
      </c>
      <c r="AV277" s="827"/>
      <c r="AX277" s="505">
        <v>20.5</v>
      </c>
      <c r="AY277" s="841"/>
      <c r="AZ277" s="1088" t="s">
        <v>1505</v>
      </c>
      <c r="BD277" s="964"/>
      <c r="BF277" s="830"/>
      <c r="BH277" s="1094"/>
      <c r="BI277" s="1095"/>
      <c r="BJ277" s="1096"/>
      <c r="BK277" s="1099"/>
      <c r="BL277" s="1094"/>
      <c r="BM277" s="1095"/>
      <c r="BN277" s="1096"/>
      <c r="BO277" s="1099"/>
      <c r="BP277" s="936"/>
      <c r="BS277" s="936"/>
      <c r="CH277" s="936"/>
      <c r="CI277" s="938"/>
    </row>
    <row r="278" spans="2:87" s="370" customFormat="1" ht="15" collapsed="1">
      <c r="B278" s="783" t="s">
        <v>1511</v>
      </c>
      <c r="C278" s="784" t="s">
        <v>1309</v>
      </c>
      <c r="D278" s="785">
        <f>+I$73</f>
        <v>950</v>
      </c>
      <c r="E278" s="786">
        <f>+J$73</f>
        <v>875</v>
      </c>
      <c r="F278" s="787">
        <f>+K$73</f>
        <v>1188</v>
      </c>
      <c r="G278" s="787"/>
      <c r="H278" s="788" t="s">
        <v>30</v>
      </c>
      <c r="I278" s="789" t="s">
        <v>1162</v>
      </c>
      <c r="J278" s="790" t="s">
        <v>1071</v>
      </c>
      <c r="K278" s="786" t="s">
        <v>1072</v>
      </c>
      <c r="L278" s="787" t="s">
        <v>21</v>
      </c>
      <c r="M278" s="791" t="s">
        <v>82</v>
      </c>
      <c r="N278" s="839" t="s">
        <v>1163</v>
      </c>
      <c r="O278" s="786" t="s">
        <v>1154</v>
      </c>
      <c r="P278" s="790" t="s">
        <v>1164</v>
      </c>
      <c r="Q278" s="793" t="s">
        <v>34</v>
      </c>
      <c r="R278" s="791">
        <f>R$219+R$227+R$235+R$243+R$251</f>
        <v>1</v>
      </c>
      <c r="S278" s="793" t="s">
        <v>13</v>
      </c>
      <c r="T278" s="794" t="s">
        <v>128</v>
      </c>
      <c r="U278" s="794" t="s">
        <v>111</v>
      </c>
      <c r="V278" s="795" t="s">
        <v>32</v>
      </c>
      <c r="W278" s="796" t="s">
        <v>33</v>
      </c>
      <c r="X278" s="797"/>
      <c r="Y278" s="798"/>
      <c r="Z278" s="799"/>
      <c r="AA278" s="800" t="str">
        <f>+AA$2</f>
        <v>SCU75M1</v>
      </c>
      <c r="AB278" s="747"/>
      <c r="AC278" s="801" t="str">
        <f>+AC$2</f>
        <v>SCU75M1</v>
      </c>
      <c r="AD278" s="801" t="str">
        <f>+AD$2</f>
        <v>SCU100M1</v>
      </c>
      <c r="AE278" s="801" t="str">
        <f>+AE$2</f>
        <v>SCU125M1</v>
      </c>
      <c r="AF278" s="802" t="str">
        <f>+AF$2</f>
        <v>SCU150M1</v>
      </c>
      <c r="AH278" s="521"/>
      <c r="AJ278" s="483"/>
      <c r="AK278" s="522"/>
      <c r="AL278" s="401"/>
      <c r="AM278" s="523"/>
      <c r="AO278" s="521"/>
      <c r="AQ278" s="2143" t="str">
        <f>+B278</f>
        <v>COMPRESSOR: Scroll Pipework</v>
      </c>
      <c r="AR278" s="2144"/>
      <c r="AS278" s="2144"/>
      <c r="AT278" s="2145"/>
      <c r="AV278" s="521"/>
      <c r="AX278" s="2143" t="str">
        <f>+AQ278</f>
        <v>COMPRESSOR: Scroll Pipework</v>
      </c>
      <c r="AY278" s="2144"/>
      <c r="AZ278" s="2144"/>
      <c r="BA278" s="2144"/>
      <c r="BB278" s="2144"/>
      <c r="BC278" s="2144"/>
      <c r="BD278" s="2145"/>
      <c r="BE278" s="369"/>
      <c r="BF278" s="524"/>
      <c r="BG278" s="395"/>
      <c r="BH278" s="2143" t="str">
        <f>+AX278</f>
        <v>COMPRESSOR: Scroll Pipework</v>
      </c>
      <c r="BI278" s="2144"/>
      <c r="BJ278" s="2144"/>
      <c r="BK278" s="2144"/>
      <c r="BL278" s="2144"/>
      <c r="BM278" s="2144"/>
      <c r="BN278" s="2144"/>
      <c r="BO278" s="2145"/>
      <c r="BP278" s="395"/>
      <c r="BQ278" s="369"/>
      <c r="BR278" s="395"/>
      <c r="BS278" s="395"/>
      <c r="BT278" s="369"/>
      <c r="BU278" s="369"/>
      <c r="BV278" s="369"/>
      <c r="BW278" s="395"/>
      <c r="BX278" s="369"/>
      <c r="BY278" s="395"/>
      <c r="BZ278" s="369"/>
      <c r="CA278" s="369"/>
      <c r="CB278" s="369"/>
      <c r="CC278" s="369"/>
      <c r="CH278" s="395"/>
      <c r="CI278" s="511"/>
    </row>
    <row r="279" spans="2:87" s="370" customFormat="1" ht="15" collapsed="1">
      <c r="B279" s="895" t="s">
        <v>1512</v>
      </c>
      <c r="C279" s="896" t="s">
        <v>1513</v>
      </c>
      <c r="D279" s="897"/>
      <c r="E279" s="898"/>
      <c r="F279" s="899"/>
      <c r="G279" s="899"/>
      <c r="H279" s="900"/>
      <c r="I279" s="901"/>
      <c r="J279" s="902"/>
      <c r="K279" s="898"/>
      <c r="L279" s="899"/>
      <c r="M279" s="903"/>
      <c r="N279" s="904"/>
      <c r="O279" s="898"/>
      <c r="P279" s="902"/>
      <c r="Q279" s="905"/>
      <c r="R279" s="903"/>
      <c r="S279" s="905"/>
      <c r="T279" s="906"/>
      <c r="U279" s="906"/>
      <c r="V279" s="907"/>
      <c r="W279" s="908"/>
      <c r="X279" s="909"/>
      <c r="Y279" s="910">
        <f>SUM(Y280:Y283)</f>
        <v>0.89313330857142814</v>
      </c>
      <c r="Z279" s="910">
        <f>SUM(Z280:Z283)</f>
        <v>13.247067327555614</v>
      </c>
      <c r="AA279" s="911"/>
      <c r="AB279" s="747"/>
      <c r="AC279" s="912"/>
      <c r="AD279" s="912"/>
      <c r="AE279" s="912"/>
      <c r="AF279" s="913"/>
      <c r="AH279" s="521"/>
      <c r="AJ279" s="483"/>
      <c r="AK279" s="522">
        <f>SUM(AJ280:AJ283)</f>
        <v>0.89313330857142814</v>
      </c>
      <c r="AL279" s="401"/>
      <c r="AM279" s="523">
        <f>SUM(AL280:AL283)</f>
        <v>13.247067327555614</v>
      </c>
      <c r="AO279" s="521"/>
      <c r="AQ279" s="914" t="str">
        <f>+B279</f>
        <v>- Suction Pipe Assy</v>
      </c>
      <c r="AR279" s="1070" t="s">
        <v>87</v>
      </c>
      <c r="AS279" s="1071" t="s">
        <v>97</v>
      </c>
      <c r="AT279" s="915" t="s">
        <v>1345</v>
      </c>
      <c r="AV279" s="521"/>
      <c r="AX279" s="918" t="s">
        <v>19</v>
      </c>
      <c r="AY279" s="919" t="s">
        <v>1436</v>
      </c>
      <c r="AZ279" s="920"/>
      <c r="BA279" s="918" t="s">
        <v>1437</v>
      </c>
      <c r="BB279" s="920"/>
      <c r="BC279" s="918" t="s">
        <v>1438</v>
      </c>
      <c r="BD279" s="920"/>
      <c r="BE279" s="369"/>
      <c r="BF279" s="524"/>
      <c r="BG279" s="395"/>
      <c r="BH279" s="918" t="s">
        <v>1128</v>
      </c>
      <c r="BI279" s="919" t="s">
        <v>1514</v>
      </c>
      <c r="BJ279" s="919" t="s">
        <v>1515</v>
      </c>
      <c r="BK279" s="919" t="s">
        <v>1516</v>
      </c>
      <c r="BL279" s="919" t="s">
        <v>1517</v>
      </c>
      <c r="BM279" s="919" t="s">
        <v>1518</v>
      </c>
      <c r="BN279" s="919"/>
      <c r="BO279" s="920"/>
      <c r="BP279" s="395"/>
      <c r="BQ279" s="395"/>
      <c r="BR279" s="369"/>
      <c r="BS279" s="369"/>
      <c r="BT279" s="369"/>
      <c r="BU279" s="395"/>
      <c r="BV279" s="369"/>
      <c r="BW279" s="369"/>
      <c r="BX279" s="369"/>
      <c r="BY279" s="395"/>
      <c r="BZ279" s="369"/>
      <c r="CA279" s="369"/>
      <c r="CH279" s="395"/>
      <c r="CI279" s="511"/>
    </row>
    <row r="280" spans="2:87" s="747" customFormat="1" ht="13.9" hidden="1" customHeight="1" outlineLevel="1">
      <c r="B280" s="931" t="str">
        <f t="shared" ref="B280:B283" si="255">"Suction Pipe "&amp;AQ280</f>
        <v>Suction Pipe 7.5hp: ZR94KCE-TFD</v>
      </c>
      <c r="C280" s="817"/>
      <c r="D280" s="1100">
        <f t="shared" ref="D280:E283" si="256">+AY280</f>
        <v>1.125</v>
      </c>
      <c r="E280" s="811">
        <f t="shared" si="256"/>
        <v>1.2</v>
      </c>
      <c r="F280" s="1101">
        <f>+D$278/4+E$278/2+F$278/4</f>
        <v>972</v>
      </c>
      <c r="G280" s="978"/>
      <c r="H280" s="924" t="s">
        <v>97</v>
      </c>
      <c r="I280" s="811">
        <f t="shared" ref="I280:I297" si="257">+D280*25.4</f>
        <v>28.574999999999999</v>
      </c>
      <c r="J280" s="811">
        <f t="shared" ref="J280:K283" si="258">+E280</f>
        <v>1.2</v>
      </c>
      <c r="K280" s="808">
        <f t="shared" si="258"/>
        <v>972</v>
      </c>
      <c r="L280" s="809"/>
      <c r="M280" s="860">
        <v>8900</v>
      </c>
      <c r="N280" s="813">
        <f t="shared" ref="N280:N297" si="259">IF(I280&gt;0,22/28*((I280/1000)^2-(I280/1000-2*J280/1000)^2)*K280/1000,IF(J280&gt;0,J280/1000*K280/1000*L280/1000, IF(K280&gt;0,K280/1000*L280/1000, IF(L280=0,1,L280/1000))))</f>
        <v>1.003520571428571E-4</v>
      </c>
      <c r="O280" s="814">
        <v>1</v>
      </c>
      <c r="P280" s="811">
        <f t="shared" ref="P280:P297" si="260">M280*N280*O280</f>
        <v>0.89313330857142814</v>
      </c>
      <c r="Q280" s="978">
        <v>1.05</v>
      </c>
      <c r="R280" s="505">
        <f t="shared" ref="R280:R297" si="261">+R$278</f>
        <v>1</v>
      </c>
      <c r="S280" s="980">
        <f t="shared" ref="S280:S283" si="262">P280*AA280*Q280*R280</f>
        <v>0.93778997399999964</v>
      </c>
      <c r="T280" s="925" t="s">
        <v>115</v>
      </c>
      <c r="U280" s="946">
        <f t="shared" ref="U280:U297" si="263">+P$65</f>
        <v>207000</v>
      </c>
      <c r="V280" s="927">
        <f t="shared" ref="V280:V297" si="264">1/VLOOKUP(T280,Y$12:Z$18,2,FALSE)</f>
        <v>6.8240753377917299E-5</v>
      </c>
      <c r="W280" s="926">
        <v>1</v>
      </c>
      <c r="X280" s="820">
        <v>1</v>
      </c>
      <c r="Y280" s="928">
        <f t="shared" ref="Y280:Y297" si="265">+P280*R280*AA280*X280</f>
        <v>0.89313330857142814</v>
      </c>
      <c r="Z280" s="929">
        <f t="shared" ref="Z280:Z297" si="266">S280*U280*V280*W280</f>
        <v>13.247067327555614</v>
      </c>
      <c r="AA280" s="823">
        <v>1</v>
      </c>
      <c r="AC280" s="825">
        <v>1</v>
      </c>
      <c r="AD280" s="825"/>
      <c r="AE280" s="825"/>
      <c r="AF280" s="825"/>
      <c r="AG280" s="824"/>
      <c r="AH280" s="827"/>
      <c r="AI280" s="824"/>
      <c r="AJ280" s="828">
        <f t="shared" ref="AJ280:AJ297" si="267">+Y280</f>
        <v>0.89313330857142814</v>
      </c>
      <c r="AK280" s="862"/>
      <c r="AL280" s="828">
        <f t="shared" ref="AL280:AL297" si="268">+Z280</f>
        <v>13.247067327555614</v>
      </c>
      <c r="AM280" s="862"/>
      <c r="AN280" s="824"/>
      <c r="AO280" s="827"/>
      <c r="AQ280" s="930" t="s">
        <v>1459</v>
      </c>
      <c r="AR280" s="1102" t="s">
        <v>1519</v>
      </c>
      <c r="AS280" s="1054">
        <f t="shared" ref="AS280:AS283" si="269">+BM280</f>
        <v>0.91886142857142861</v>
      </c>
      <c r="AT280" s="931"/>
      <c r="AV280" s="827"/>
      <c r="AX280" s="1103">
        <v>476.3</v>
      </c>
      <c r="AY280" s="1104">
        <v>1.125</v>
      </c>
      <c r="AZ280" s="1105">
        <v>1.2</v>
      </c>
      <c r="BA280" s="1106">
        <v>0.875</v>
      </c>
      <c r="BB280" s="1107">
        <v>0.9</v>
      </c>
      <c r="BC280" s="1022">
        <v>0.5</v>
      </c>
      <c r="BD280" s="1107">
        <v>0.8</v>
      </c>
      <c r="BF280" s="830"/>
      <c r="BH280" s="1108">
        <f t="shared" ref="BH280:BH283" si="270">+AY280*25.4</f>
        <v>28.574999999999999</v>
      </c>
      <c r="BI280" s="1109">
        <f t="shared" ref="BI280:BI283" si="271">+BH280-2*AZ280</f>
        <v>26.175000000000001</v>
      </c>
      <c r="BJ280" s="1110">
        <f t="shared" ref="BJ280:BK283" si="272">22/28*(BH280/1000)^2</f>
        <v>6.415597767857143E-4</v>
      </c>
      <c r="BK280" s="1110">
        <f t="shared" si="272"/>
        <v>5.3831691964285715E-4</v>
      </c>
      <c r="BL280" s="1111">
        <f t="shared" ref="BL280:BL288" si="273">+BJ280-BK280</f>
        <v>1.0324285714285715E-4</v>
      </c>
      <c r="BM280" s="1096">
        <f t="shared" ref="BM280:BM293" si="274">+BL280*8900</f>
        <v>0.91886142857142861</v>
      </c>
      <c r="BN280" s="1109"/>
      <c r="BO280" s="1112"/>
      <c r="BP280" s="936"/>
      <c r="BR280" s="936"/>
      <c r="BS280" s="936"/>
      <c r="BW280" s="936"/>
      <c r="BY280" s="936"/>
      <c r="CH280" s="936"/>
      <c r="CI280" s="938"/>
    </row>
    <row r="281" spans="2:87" s="747" customFormat="1" ht="13.9" hidden="1" customHeight="1" outlineLevel="1">
      <c r="B281" s="931" t="str">
        <f t="shared" si="255"/>
        <v>Suction Pipe 10.0hp: ZR125KCE-TFD</v>
      </c>
      <c r="C281" s="817"/>
      <c r="D281" s="1100">
        <f t="shared" si="256"/>
        <v>1.375</v>
      </c>
      <c r="E281" s="811">
        <f t="shared" si="256"/>
        <v>1.2</v>
      </c>
      <c r="F281" s="1101">
        <f t="shared" ref="F281:F283" si="275">+D$278/4+E$278/2+F$278/4</f>
        <v>972</v>
      </c>
      <c r="G281" s="978"/>
      <c r="H281" s="924" t="s">
        <v>97</v>
      </c>
      <c r="I281" s="811">
        <f t="shared" si="257"/>
        <v>34.924999999999997</v>
      </c>
      <c r="J281" s="811">
        <f t="shared" si="258"/>
        <v>1.2</v>
      </c>
      <c r="K281" s="808">
        <f t="shared" si="258"/>
        <v>972</v>
      </c>
      <c r="L281" s="809"/>
      <c r="M281" s="860">
        <v>8900</v>
      </c>
      <c r="N281" s="813">
        <f t="shared" si="259"/>
        <v>1.2363006857142849E-4</v>
      </c>
      <c r="O281" s="814">
        <v>1</v>
      </c>
      <c r="P281" s="811">
        <f t="shared" si="260"/>
        <v>1.1003076102857137</v>
      </c>
      <c r="Q281" s="978">
        <v>1.05</v>
      </c>
      <c r="R281" s="505">
        <f t="shared" si="261"/>
        <v>1</v>
      </c>
      <c r="S281" s="980">
        <f t="shared" si="262"/>
        <v>0</v>
      </c>
      <c r="T281" s="925" t="s">
        <v>115</v>
      </c>
      <c r="U281" s="946">
        <f t="shared" si="263"/>
        <v>207000</v>
      </c>
      <c r="V281" s="927">
        <f t="shared" si="264"/>
        <v>6.8240753377917299E-5</v>
      </c>
      <c r="W281" s="926">
        <v>1</v>
      </c>
      <c r="X281" s="820">
        <v>1</v>
      </c>
      <c r="Y281" s="928">
        <f t="shared" si="265"/>
        <v>0</v>
      </c>
      <c r="Z281" s="929">
        <f t="shared" si="266"/>
        <v>0</v>
      </c>
      <c r="AA281" s="823"/>
      <c r="AC281" s="825"/>
      <c r="AD281" s="825">
        <v>1</v>
      </c>
      <c r="AE281" s="825"/>
      <c r="AF281" s="825"/>
      <c r="AG281" s="824"/>
      <c r="AH281" s="827"/>
      <c r="AI281" s="824"/>
      <c r="AJ281" s="828">
        <f t="shared" si="267"/>
        <v>0</v>
      </c>
      <c r="AK281" s="862"/>
      <c r="AL281" s="828">
        <f t="shared" si="268"/>
        <v>0</v>
      </c>
      <c r="AM281" s="862"/>
      <c r="AN281" s="824"/>
      <c r="AO281" s="827"/>
      <c r="AQ281" s="930" t="s">
        <v>1461</v>
      </c>
      <c r="AR281" s="1102" t="s">
        <v>1520</v>
      </c>
      <c r="AS281" s="1054">
        <f t="shared" si="269"/>
        <v>1.1320037142857133</v>
      </c>
      <c r="AT281" s="931"/>
      <c r="AV281" s="827"/>
      <c r="AX281" s="1103">
        <v>533.1</v>
      </c>
      <c r="AY281" s="1104">
        <v>1.375</v>
      </c>
      <c r="AZ281" s="1105">
        <v>1.2</v>
      </c>
      <c r="BA281" s="1106">
        <v>0.875</v>
      </c>
      <c r="BB281" s="1107">
        <v>0.9</v>
      </c>
      <c r="BC281" s="1022">
        <v>0.625</v>
      </c>
      <c r="BD281" s="1107">
        <v>0.8</v>
      </c>
      <c r="BF281" s="830"/>
      <c r="BH281" s="1108">
        <f t="shared" si="270"/>
        <v>34.924999999999997</v>
      </c>
      <c r="BI281" s="1109">
        <f t="shared" si="271"/>
        <v>32.524999999999999</v>
      </c>
      <c r="BJ281" s="1110">
        <f t="shared" si="272"/>
        <v>9.583794196428569E-4</v>
      </c>
      <c r="BK281" s="1110">
        <f t="shared" si="272"/>
        <v>8.3118799107142842E-4</v>
      </c>
      <c r="BL281" s="1111">
        <f t="shared" si="273"/>
        <v>1.2719142857142848E-4</v>
      </c>
      <c r="BM281" s="1096">
        <f t="shared" si="274"/>
        <v>1.1320037142857133</v>
      </c>
      <c r="BN281" s="1109"/>
      <c r="BO281" s="1112"/>
      <c r="BP281" s="936"/>
      <c r="BR281" s="936"/>
      <c r="BS281" s="936"/>
      <c r="BW281" s="936"/>
      <c r="BY281" s="936"/>
      <c r="CH281" s="936"/>
      <c r="CI281" s="938"/>
    </row>
    <row r="282" spans="2:87" s="747" customFormat="1" ht="13.9" hidden="1" customHeight="1" outlineLevel="1">
      <c r="B282" s="931" t="str">
        <f t="shared" si="255"/>
        <v>Suction Pipe 12.5hp: ZR144KCE-TFD</v>
      </c>
      <c r="C282" s="817"/>
      <c r="D282" s="1100">
        <f t="shared" si="256"/>
        <v>1.375</v>
      </c>
      <c r="E282" s="811">
        <f t="shared" si="256"/>
        <v>1.2</v>
      </c>
      <c r="F282" s="1101">
        <f t="shared" si="275"/>
        <v>972</v>
      </c>
      <c r="G282" s="978"/>
      <c r="H282" s="924" t="s">
        <v>97</v>
      </c>
      <c r="I282" s="811">
        <f t="shared" si="257"/>
        <v>34.924999999999997</v>
      </c>
      <c r="J282" s="811">
        <f t="shared" si="258"/>
        <v>1.2</v>
      </c>
      <c r="K282" s="808">
        <f t="shared" si="258"/>
        <v>972</v>
      </c>
      <c r="L282" s="809"/>
      <c r="M282" s="860">
        <v>8900</v>
      </c>
      <c r="N282" s="813">
        <f t="shared" si="259"/>
        <v>1.2363006857142849E-4</v>
      </c>
      <c r="O282" s="814">
        <v>1</v>
      </c>
      <c r="P282" s="811">
        <f t="shared" si="260"/>
        <v>1.1003076102857137</v>
      </c>
      <c r="Q282" s="978">
        <v>1.05</v>
      </c>
      <c r="R282" s="505">
        <f t="shared" si="261"/>
        <v>1</v>
      </c>
      <c r="S282" s="980">
        <f t="shared" si="262"/>
        <v>0</v>
      </c>
      <c r="T282" s="925" t="s">
        <v>115</v>
      </c>
      <c r="U282" s="946">
        <f t="shared" si="263"/>
        <v>207000</v>
      </c>
      <c r="V282" s="927">
        <f t="shared" si="264"/>
        <v>6.8240753377917299E-5</v>
      </c>
      <c r="W282" s="926">
        <v>1</v>
      </c>
      <c r="X282" s="820">
        <v>1</v>
      </c>
      <c r="Y282" s="928">
        <f t="shared" si="265"/>
        <v>0</v>
      </c>
      <c r="Z282" s="929">
        <f t="shared" si="266"/>
        <v>0</v>
      </c>
      <c r="AA282" s="823"/>
      <c r="AC282" s="825"/>
      <c r="AD282" s="825"/>
      <c r="AE282" s="825">
        <v>1</v>
      </c>
      <c r="AF282" s="825"/>
      <c r="AG282" s="824"/>
      <c r="AH282" s="827"/>
      <c r="AI282" s="824"/>
      <c r="AJ282" s="828">
        <f t="shared" si="267"/>
        <v>0</v>
      </c>
      <c r="AK282" s="862"/>
      <c r="AL282" s="828">
        <f t="shared" si="268"/>
        <v>0</v>
      </c>
      <c r="AM282" s="862"/>
      <c r="AN282" s="824"/>
      <c r="AO282" s="827"/>
      <c r="AQ282" s="930" t="s">
        <v>1463</v>
      </c>
      <c r="AR282" s="1102" t="s">
        <v>1520</v>
      </c>
      <c r="AS282" s="1054">
        <f t="shared" si="269"/>
        <v>1.1320037142857133</v>
      </c>
      <c r="AT282" s="931"/>
      <c r="AV282" s="827"/>
      <c r="AX282" s="1103">
        <v>533.1</v>
      </c>
      <c r="AY282" s="1104">
        <v>1.375</v>
      </c>
      <c r="AZ282" s="1105">
        <v>1.2</v>
      </c>
      <c r="BA282" s="1106">
        <v>0.875</v>
      </c>
      <c r="BB282" s="1107">
        <v>0.9</v>
      </c>
      <c r="BC282" s="1022">
        <v>0.75</v>
      </c>
      <c r="BD282" s="1107">
        <v>0.8</v>
      </c>
      <c r="BF282" s="830"/>
      <c r="BH282" s="1108">
        <f t="shared" si="270"/>
        <v>34.924999999999997</v>
      </c>
      <c r="BI282" s="1109">
        <f t="shared" si="271"/>
        <v>32.524999999999999</v>
      </c>
      <c r="BJ282" s="1110">
        <f t="shared" si="272"/>
        <v>9.583794196428569E-4</v>
      </c>
      <c r="BK282" s="1110">
        <f t="shared" si="272"/>
        <v>8.3118799107142842E-4</v>
      </c>
      <c r="BL282" s="1111">
        <f t="shared" si="273"/>
        <v>1.2719142857142848E-4</v>
      </c>
      <c r="BM282" s="1096">
        <f t="shared" si="274"/>
        <v>1.1320037142857133</v>
      </c>
      <c r="BN282" s="1109"/>
      <c r="BO282" s="1112"/>
      <c r="BP282" s="936"/>
      <c r="BR282" s="936"/>
      <c r="BS282" s="936"/>
      <c r="BW282" s="936"/>
      <c r="BY282" s="936"/>
      <c r="CH282" s="936"/>
      <c r="CI282" s="938"/>
    </row>
    <row r="283" spans="2:87" s="747" customFormat="1" ht="13.9" hidden="1" customHeight="1" outlineLevel="1">
      <c r="B283" s="931" t="str">
        <f t="shared" si="255"/>
        <v>Suction Pipe 15.0hp: ZR190KCE-TFD</v>
      </c>
      <c r="C283" s="817"/>
      <c r="D283" s="1100">
        <f t="shared" si="256"/>
        <v>1.375</v>
      </c>
      <c r="E283" s="811">
        <f t="shared" si="256"/>
        <v>1.2</v>
      </c>
      <c r="F283" s="1101">
        <f t="shared" si="275"/>
        <v>972</v>
      </c>
      <c r="G283" s="978"/>
      <c r="H283" s="924" t="s">
        <v>97</v>
      </c>
      <c r="I283" s="811">
        <f t="shared" si="257"/>
        <v>34.924999999999997</v>
      </c>
      <c r="J283" s="811">
        <f t="shared" si="258"/>
        <v>1.2</v>
      </c>
      <c r="K283" s="808">
        <f t="shared" si="258"/>
        <v>972</v>
      </c>
      <c r="L283" s="809"/>
      <c r="M283" s="860">
        <v>8900</v>
      </c>
      <c r="N283" s="813">
        <f t="shared" si="259"/>
        <v>1.2363006857142849E-4</v>
      </c>
      <c r="O283" s="814">
        <v>1</v>
      </c>
      <c r="P283" s="811">
        <f t="shared" si="260"/>
        <v>1.1003076102857137</v>
      </c>
      <c r="Q283" s="978">
        <v>1.05</v>
      </c>
      <c r="R283" s="505">
        <f t="shared" si="261"/>
        <v>1</v>
      </c>
      <c r="S283" s="980">
        <f t="shared" si="262"/>
        <v>0</v>
      </c>
      <c r="T283" s="925" t="s">
        <v>115</v>
      </c>
      <c r="U283" s="946">
        <f t="shared" si="263"/>
        <v>207000</v>
      </c>
      <c r="V283" s="927">
        <f t="shared" si="264"/>
        <v>6.8240753377917299E-5</v>
      </c>
      <c r="W283" s="926">
        <v>1</v>
      </c>
      <c r="X283" s="820">
        <v>1</v>
      </c>
      <c r="Y283" s="928">
        <f t="shared" si="265"/>
        <v>0</v>
      </c>
      <c r="Z283" s="929">
        <f t="shared" si="266"/>
        <v>0</v>
      </c>
      <c r="AA283" s="823"/>
      <c r="AC283" s="825"/>
      <c r="AD283" s="825"/>
      <c r="AE283" s="825"/>
      <c r="AF283" s="825">
        <v>1</v>
      </c>
      <c r="AG283" s="824"/>
      <c r="AH283" s="827"/>
      <c r="AI283" s="824"/>
      <c r="AJ283" s="828">
        <f t="shared" si="267"/>
        <v>0</v>
      </c>
      <c r="AK283" s="862"/>
      <c r="AL283" s="828">
        <f t="shared" si="268"/>
        <v>0</v>
      </c>
      <c r="AM283" s="862"/>
      <c r="AN283" s="824"/>
      <c r="AO283" s="827"/>
      <c r="AQ283" s="930" t="s">
        <v>1465</v>
      </c>
      <c r="AR283" s="1102" t="s">
        <v>1520</v>
      </c>
      <c r="AS283" s="1054">
        <f t="shared" si="269"/>
        <v>1.1320037142857133</v>
      </c>
      <c r="AT283" s="931"/>
      <c r="AV283" s="827"/>
      <c r="AX283" s="1103">
        <v>551.5</v>
      </c>
      <c r="AY283" s="1104">
        <v>1.375</v>
      </c>
      <c r="AZ283" s="1105">
        <v>1.2</v>
      </c>
      <c r="BA283" s="1106">
        <v>0.875</v>
      </c>
      <c r="BB283" s="1107">
        <v>0.9</v>
      </c>
      <c r="BC283" s="1022">
        <v>0.625</v>
      </c>
      <c r="BD283" s="1107">
        <v>0.8</v>
      </c>
      <c r="BF283" s="830"/>
      <c r="BH283" s="1108">
        <f t="shared" si="270"/>
        <v>34.924999999999997</v>
      </c>
      <c r="BI283" s="1109">
        <f t="shared" si="271"/>
        <v>32.524999999999999</v>
      </c>
      <c r="BJ283" s="1110">
        <f t="shared" si="272"/>
        <v>9.583794196428569E-4</v>
      </c>
      <c r="BK283" s="1110">
        <f t="shared" si="272"/>
        <v>8.3118799107142842E-4</v>
      </c>
      <c r="BL283" s="1111">
        <f t="shared" si="273"/>
        <v>1.2719142857142848E-4</v>
      </c>
      <c r="BM283" s="1096">
        <f t="shared" si="274"/>
        <v>1.1320037142857133</v>
      </c>
      <c r="BN283" s="1109"/>
      <c r="BO283" s="1112"/>
      <c r="BP283" s="936"/>
      <c r="BR283" s="936"/>
      <c r="BS283" s="936"/>
      <c r="BW283" s="936"/>
      <c r="BY283" s="936"/>
      <c r="CH283" s="936"/>
      <c r="CI283" s="938"/>
    </row>
    <row r="284" spans="2:87" s="370" customFormat="1" ht="15" collapsed="1">
      <c r="B284" s="895" t="s">
        <v>1521</v>
      </c>
      <c r="C284" s="896" t="s">
        <v>1522</v>
      </c>
      <c r="D284" s="897"/>
      <c r="E284" s="898"/>
      <c r="F284" s="899"/>
      <c r="G284" s="899"/>
      <c r="H284" s="900"/>
      <c r="I284" s="901"/>
      <c r="J284" s="902"/>
      <c r="K284" s="898"/>
      <c r="L284" s="899"/>
      <c r="M284" s="903"/>
      <c r="N284" s="904"/>
      <c r="O284" s="898"/>
      <c r="P284" s="902"/>
      <c r="Q284" s="905"/>
      <c r="R284" s="903"/>
      <c r="S284" s="905"/>
      <c r="T284" s="906"/>
      <c r="U284" s="906"/>
      <c r="V284" s="907"/>
      <c r="W284" s="908"/>
      <c r="X284" s="909"/>
      <c r="Y284" s="910">
        <f>SUM(Y285:Y288)</f>
        <v>1.0650557887200001</v>
      </c>
      <c r="Z284" s="910">
        <f>SUM(Z285:Z288)</f>
        <v>15.797043515647061</v>
      </c>
      <c r="AA284" s="911"/>
      <c r="AB284" s="747"/>
      <c r="AC284" s="912"/>
      <c r="AD284" s="912"/>
      <c r="AE284" s="912"/>
      <c r="AF284" s="913"/>
      <c r="AH284" s="521"/>
      <c r="AJ284" s="483"/>
      <c r="AK284" s="522">
        <f>SUM(AJ285:AJ288)</f>
        <v>1.0650557887200001</v>
      </c>
      <c r="AL284" s="401"/>
      <c r="AM284" s="523">
        <f>SUM(AL285:AL288)</f>
        <v>15.797043515647061</v>
      </c>
      <c r="AO284" s="521"/>
      <c r="AQ284" s="914" t="str">
        <f>+B284</f>
        <v>- Discharge Pipe Assy</v>
      </c>
      <c r="AR284" s="1070" t="s">
        <v>87</v>
      </c>
      <c r="AS284" s="1071" t="s">
        <v>97</v>
      </c>
      <c r="AT284" s="915" t="s">
        <v>1345</v>
      </c>
      <c r="AV284" s="521"/>
      <c r="AX284" s="918" t="s">
        <v>19</v>
      </c>
      <c r="AY284" s="919" t="s">
        <v>1436</v>
      </c>
      <c r="AZ284" s="920"/>
      <c r="BA284" s="918" t="s">
        <v>1437</v>
      </c>
      <c r="BB284" s="920"/>
      <c r="BC284" s="918" t="s">
        <v>1438</v>
      </c>
      <c r="BD284" s="920"/>
      <c r="BF284" s="524"/>
      <c r="BH284" s="918" t="s">
        <v>1128</v>
      </c>
      <c r="BI284" s="919" t="s">
        <v>1514</v>
      </c>
      <c r="BJ284" s="919" t="s">
        <v>1515</v>
      </c>
      <c r="BK284" s="919" t="s">
        <v>1516</v>
      </c>
      <c r="BL284" s="919" t="s">
        <v>1517</v>
      </c>
      <c r="BM284" s="919" t="s">
        <v>1518</v>
      </c>
      <c r="BN284" s="919"/>
      <c r="BO284" s="920"/>
      <c r="BP284" s="395"/>
      <c r="BQ284" s="395"/>
      <c r="BR284" s="369"/>
      <c r="BS284" s="369"/>
      <c r="BT284" s="369"/>
      <c r="BU284" s="395"/>
      <c r="BV284" s="369"/>
      <c r="BW284" s="369"/>
      <c r="BX284" s="369"/>
      <c r="BY284" s="395"/>
      <c r="BZ284" s="369"/>
      <c r="CA284" s="369"/>
      <c r="CH284" s="395"/>
      <c r="CI284" s="511"/>
    </row>
    <row r="285" spans="2:87" s="747" customFormat="1" ht="13.9" hidden="1" customHeight="1" outlineLevel="1">
      <c r="B285" s="931" t="str">
        <f t="shared" ref="B285:B288" si="276">"Discharge Pipe "&amp;AQ285</f>
        <v>Discharge Pipe 7.5hp: ZR94KCE-TFD</v>
      </c>
      <c r="C285" s="817"/>
      <c r="D285" s="1100">
        <v>0.875</v>
      </c>
      <c r="E285" s="811">
        <v>1.2</v>
      </c>
      <c r="F285" s="1101">
        <f>+D$278/4+E$278+F$278/3</f>
        <v>1508.5</v>
      </c>
      <c r="G285" s="978"/>
      <c r="H285" s="924" t="s">
        <v>97</v>
      </c>
      <c r="I285" s="811">
        <f t="shared" si="257"/>
        <v>22.224999999999998</v>
      </c>
      <c r="J285" s="811">
        <f t="shared" ref="J285:K288" si="277">+E285</f>
        <v>1.2</v>
      </c>
      <c r="K285" s="808">
        <f t="shared" si="277"/>
        <v>1508.5</v>
      </c>
      <c r="L285" s="809"/>
      <c r="M285" s="860">
        <v>8904</v>
      </c>
      <c r="N285" s="813">
        <f t="shared" si="259"/>
        <v>1.1961543E-4</v>
      </c>
      <c r="O285" s="814">
        <v>1</v>
      </c>
      <c r="P285" s="811">
        <f t="shared" si="260"/>
        <v>1.0650557887200001</v>
      </c>
      <c r="Q285" s="978">
        <v>1.05</v>
      </c>
      <c r="R285" s="505">
        <f t="shared" si="261"/>
        <v>1</v>
      </c>
      <c r="S285" s="980">
        <f t="shared" ref="S285:S308" si="278">P285*AA285*Q285*R285</f>
        <v>1.118308578156</v>
      </c>
      <c r="T285" s="925" t="s">
        <v>115</v>
      </c>
      <c r="U285" s="946">
        <f t="shared" si="263"/>
        <v>207000</v>
      </c>
      <c r="V285" s="927">
        <f t="shared" si="264"/>
        <v>6.8240753377917299E-5</v>
      </c>
      <c r="W285" s="926">
        <v>1</v>
      </c>
      <c r="X285" s="820">
        <v>1</v>
      </c>
      <c r="Y285" s="928">
        <f t="shared" si="265"/>
        <v>1.0650557887200001</v>
      </c>
      <c r="Z285" s="929">
        <f t="shared" si="266"/>
        <v>15.797043515647061</v>
      </c>
      <c r="AA285" s="823">
        <v>1</v>
      </c>
      <c r="AC285" s="825">
        <v>1</v>
      </c>
      <c r="AD285" s="825"/>
      <c r="AE285" s="825"/>
      <c r="AF285" s="825"/>
      <c r="AG285" s="824"/>
      <c r="AH285" s="827"/>
      <c r="AI285" s="824"/>
      <c r="AJ285" s="828">
        <f t="shared" si="267"/>
        <v>1.0650557887200001</v>
      </c>
      <c r="AK285" s="862"/>
      <c r="AL285" s="828">
        <f t="shared" si="268"/>
        <v>15.797043515647061</v>
      </c>
      <c r="AM285" s="862"/>
      <c r="AN285" s="824"/>
      <c r="AO285" s="827"/>
      <c r="AQ285" s="930" t="s">
        <v>1459</v>
      </c>
      <c r="AR285" s="1113" t="s">
        <v>1523</v>
      </c>
      <c r="AS285" s="1054">
        <f t="shared" ref="AS285:AS288" si="279">+BM285</f>
        <v>0.53684164285714275</v>
      </c>
      <c r="AT285" s="931"/>
      <c r="AV285" s="827"/>
      <c r="AX285" s="1103">
        <v>476.3</v>
      </c>
      <c r="AY285" s="1022"/>
      <c r="AZ285" s="935"/>
      <c r="BA285" s="1114">
        <v>0.875</v>
      </c>
      <c r="BB285" s="1115">
        <v>0.9</v>
      </c>
      <c r="BC285" s="1022"/>
      <c r="BD285" s="1107"/>
      <c r="BF285" s="830"/>
      <c r="BH285" s="1108">
        <f t="shared" ref="BH285:BH288" si="280">+BA285*25.4</f>
        <v>22.224999999999998</v>
      </c>
      <c r="BI285" s="1096">
        <f t="shared" ref="BI285:BI288" si="281">+BH285-2*BB285</f>
        <v>20.424999999999997</v>
      </c>
      <c r="BJ285" s="1110">
        <f t="shared" ref="BJ285:BK288" si="282">22/28*(BH285/1000)^2</f>
        <v>3.8810406249999992E-4</v>
      </c>
      <c r="BK285" s="1110">
        <f t="shared" si="282"/>
        <v>3.2778477678571422E-4</v>
      </c>
      <c r="BL285" s="1111">
        <f t="shared" si="273"/>
        <v>6.0319285714285702E-5</v>
      </c>
      <c r="BM285" s="1096">
        <f t="shared" si="274"/>
        <v>0.53684164285714275</v>
      </c>
      <c r="BN285" s="1109"/>
      <c r="BO285" s="1112"/>
      <c r="BP285" s="936"/>
      <c r="BQ285" s="936"/>
      <c r="BU285" s="936"/>
      <c r="BY285" s="936"/>
      <c r="CH285" s="936"/>
      <c r="CI285" s="938"/>
    </row>
    <row r="286" spans="2:87" s="747" customFormat="1" ht="13.9" hidden="1" customHeight="1" outlineLevel="1">
      <c r="B286" s="931" t="str">
        <f t="shared" si="276"/>
        <v>Discharge Pipe 10.0hp: ZR125KCE-TFD</v>
      </c>
      <c r="C286" s="817"/>
      <c r="D286" s="1100">
        <v>0.875</v>
      </c>
      <c r="E286" s="811">
        <v>1.2</v>
      </c>
      <c r="F286" s="1101">
        <f t="shared" ref="F286:F288" si="283">+D$278/4+E$278+F$278/3</f>
        <v>1508.5</v>
      </c>
      <c r="G286" s="978"/>
      <c r="H286" s="924" t="s">
        <v>97</v>
      </c>
      <c r="I286" s="811">
        <f t="shared" si="257"/>
        <v>22.224999999999998</v>
      </c>
      <c r="J286" s="811">
        <f t="shared" si="277"/>
        <v>1.2</v>
      </c>
      <c r="K286" s="808">
        <f t="shared" si="277"/>
        <v>1508.5</v>
      </c>
      <c r="L286" s="809"/>
      <c r="M286" s="860">
        <v>8906</v>
      </c>
      <c r="N286" s="813">
        <f t="shared" si="259"/>
        <v>1.1961543E-4</v>
      </c>
      <c r="O286" s="814">
        <v>1</v>
      </c>
      <c r="P286" s="811">
        <f t="shared" si="260"/>
        <v>1.0652950195799999</v>
      </c>
      <c r="Q286" s="978">
        <v>1.05</v>
      </c>
      <c r="R286" s="505">
        <f t="shared" si="261"/>
        <v>1</v>
      </c>
      <c r="S286" s="980">
        <f t="shared" si="278"/>
        <v>0</v>
      </c>
      <c r="T286" s="925" t="s">
        <v>115</v>
      </c>
      <c r="U286" s="946">
        <f t="shared" si="263"/>
        <v>207000</v>
      </c>
      <c r="V286" s="927">
        <f t="shared" si="264"/>
        <v>6.8240753377917299E-5</v>
      </c>
      <c r="W286" s="926">
        <v>1</v>
      </c>
      <c r="X286" s="820">
        <v>1</v>
      </c>
      <c r="Y286" s="928">
        <f t="shared" si="265"/>
        <v>0</v>
      </c>
      <c r="Z286" s="929">
        <f t="shared" si="266"/>
        <v>0</v>
      </c>
      <c r="AA286" s="823"/>
      <c r="AC286" s="825"/>
      <c r="AD286" s="825">
        <v>1</v>
      </c>
      <c r="AE286" s="825"/>
      <c r="AF286" s="825"/>
      <c r="AG286" s="824"/>
      <c r="AH286" s="827"/>
      <c r="AI286" s="824"/>
      <c r="AJ286" s="828">
        <f t="shared" si="267"/>
        <v>0</v>
      </c>
      <c r="AK286" s="862"/>
      <c r="AL286" s="828">
        <f t="shared" si="268"/>
        <v>0</v>
      </c>
      <c r="AM286" s="862"/>
      <c r="AN286" s="824"/>
      <c r="AO286" s="827"/>
      <c r="AQ286" s="930" t="s">
        <v>1461</v>
      </c>
      <c r="AR286" s="1113" t="s">
        <v>1523</v>
      </c>
      <c r="AS286" s="1054">
        <f t="shared" si="279"/>
        <v>0.53684164285714275</v>
      </c>
      <c r="AT286" s="931"/>
      <c r="AV286" s="827"/>
      <c r="AX286" s="1103">
        <v>533.1</v>
      </c>
      <c r="AY286" s="1022"/>
      <c r="AZ286" s="935"/>
      <c r="BA286" s="1114">
        <v>0.875</v>
      </c>
      <c r="BB286" s="1115">
        <v>0.9</v>
      </c>
      <c r="BC286" s="1022"/>
      <c r="BD286" s="1107"/>
      <c r="BF286" s="830"/>
      <c r="BH286" s="1108">
        <f t="shared" si="280"/>
        <v>22.224999999999998</v>
      </c>
      <c r="BI286" s="1096">
        <f t="shared" si="281"/>
        <v>20.424999999999997</v>
      </c>
      <c r="BJ286" s="1110">
        <f t="shared" si="282"/>
        <v>3.8810406249999992E-4</v>
      </c>
      <c r="BK286" s="1110">
        <f t="shared" si="282"/>
        <v>3.2778477678571422E-4</v>
      </c>
      <c r="BL286" s="1111">
        <f t="shared" si="273"/>
        <v>6.0319285714285702E-5</v>
      </c>
      <c r="BM286" s="1096">
        <f t="shared" si="274"/>
        <v>0.53684164285714275</v>
      </c>
      <c r="BN286" s="1109"/>
      <c r="BO286" s="1112"/>
      <c r="BP286" s="936"/>
      <c r="BQ286" s="936"/>
      <c r="BU286" s="936"/>
      <c r="BY286" s="936"/>
      <c r="CH286" s="936"/>
      <c r="CI286" s="938"/>
    </row>
    <row r="287" spans="2:87" s="747" customFormat="1" ht="13.9" hidden="1" customHeight="1" outlineLevel="1">
      <c r="B287" s="931" t="str">
        <f t="shared" si="276"/>
        <v>Discharge Pipe 12.5hp: ZR144KCE-TFD</v>
      </c>
      <c r="C287" s="817"/>
      <c r="D287" s="1100">
        <v>0.875</v>
      </c>
      <c r="E287" s="811">
        <v>1.2</v>
      </c>
      <c r="F287" s="1101">
        <f t="shared" si="283"/>
        <v>1508.5</v>
      </c>
      <c r="G287" s="978"/>
      <c r="H287" s="924" t="s">
        <v>97</v>
      </c>
      <c r="I287" s="811">
        <f t="shared" si="257"/>
        <v>22.224999999999998</v>
      </c>
      <c r="J287" s="811">
        <f t="shared" si="277"/>
        <v>1.2</v>
      </c>
      <c r="K287" s="808">
        <f t="shared" si="277"/>
        <v>1508.5</v>
      </c>
      <c r="L287" s="809"/>
      <c r="M287" s="860">
        <v>8907</v>
      </c>
      <c r="N287" s="813">
        <f t="shared" si="259"/>
        <v>1.1961543E-4</v>
      </c>
      <c r="O287" s="814">
        <v>1</v>
      </c>
      <c r="P287" s="811">
        <f t="shared" si="260"/>
        <v>1.06541463501</v>
      </c>
      <c r="Q287" s="978">
        <v>1.05</v>
      </c>
      <c r="R287" s="505">
        <f t="shared" si="261"/>
        <v>1</v>
      </c>
      <c r="S287" s="980">
        <f t="shared" si="278"/>
        <v>0</v>
      </c>
      <c r="T287" s="925" t="s">
        <v>115</v>
      </c>
      <c r="U287" s="946">
        <f t="shared" si="263"/>
        <v>207000</v>
      </c>
      <c r="V287" s="927">
        <f t="shared" si="264"/>
        <v>6.8240753377917299E-5</v>
      </c>
      <c r="W287" s="926">
        <v>1</v>
      </c>
      <c r="X287" s="820">
        <v>1</v>
      </c>
      <c r="Y287" s="928">
        <f t="shared" si="265"/>
        <v>0</v>
      </c>
      <c r="Z287" s="929">
        <f t="shared" si="266"/>
        <v>0</v>
      </c>
      <c r="AA287" s="823"/>
      <c r="AC287" s="825"/>
      <c r="AD287" s="825"/>
      <c r="AE287" s="825">
        <v>1</v>
      </c>
      <c r="AF287" s="825"/>
      <c r="AG287" s="824"/>
      <c r="AH287" s="827"/>
      <c r="AI287" s="824"/>
      <c r="AJ287" s="828">
        <f t="shared" si="267"/>
        <v>0</v>
      </c>
      <c r="AK287" s="862"/>
      <c r="AL287" s="828">
        <f t="shared" si="268"/>
        <v>0</v>
      </c>
      <c r="AM287" s="862"/>
      <c r="AN287" s="824"/>
      <c r="AO287" s="827"/>
      <c r="AQ287" s="930" t="s">
        <v>1463</v>
      </c>
      <c r="AR287" s="1113" t="s">
        <v>1523</v>
      </c>
      <c r="AS287" s="1054">
        <f t="shared" si="279"/>
        <v>0.53684164285714275</v>
      </c>
      <c r="AT287" s="931"/>
      <c r="AV287" s="827"/>
      <c r="AX287" s="1103">
        <v>533.1</v>
      </c>
      <c r="AY287" s="1022"/>
      <c r="AZ287" s="935"/>
      <c r="BA287" s="1114">
        <v>0.875</v>
      </c>
      <c r="BB287" s="1115">
        <v>0.9</v>
      </c>
      <c r="BC287" s="1022"/>
      <c r="BD287" s="1107"/>
      <c r="BF287" s="830"/>
      <c r="BH287" s="1108">
        <f t="shared" si="280"/>
        <v>22.224999999999998</v>
      </c>
      <c r="BI287" s="1096">
        <f t="shared" si="281"/>
        <v>20.424999999999997</v>
      </c>
      <c r="BJ287" s="1110">
        <f t="shared" si="282"/>
        <v>3.8810406249999992E-4</v>
      </c>
      <c r="BK287" s="1110">
        <f t="shared" si="282"/>
        <v>3.2778477678571422E-4</v>
      </c>
      <c r="BL287" s="1111">
        <f t="shared" si="273"/>
        <v>6.0319285714285702E-5</v>
      </c>
      <c r="BM287" s="1096">
        <f t="shared" si="274"/>
        <v>0.53684164285714275</v>
      </c>
      <c r="BN287" s="1109"/>
      <c r="BO287" s="1112"/>
      <c r="BP287" s="936"/>
      <c r="BQ287" s="936"/>
      <c r="BU287" s="936"/>
      <c r="BY287" s="936"/>
      <c r="CH287" s="936"/>
      <c r="CI287" s="938"/>
    </row>
    <row r="288" spans="2:87" s="747" customFormat="1" ht="13.9" hidden="1" customHeight="1" outlineLevel="1">
      <c r="B288" s="931" t="str">
        <f t="shared" si="276"/>
        <v>Discharge Pipe 15.0hp: ZR190KCE-TFD</v>
      </c>
      <c r="C288" s="817"/>
      <c r="D288" s="1100">
        <v>0.875</v>
      </c>
      <c r="E288" s="811">
        <v>1.2</v>
      </c>
      <c r="F288" s="1101">
        <f t="shared" si="283"/>
        <v>1508.5</v>
      </c>
      <c r="G288" s="978"/>
      <c r="H288" s="924" t="s">
        <v>97</v>
      </c>
      <c r="I288" s="811">
        <f t="shared" si="257"/>
        <v>22.224999999999998</v>
      </c>
      <c r="J288" s="811">
        <f t="shared" si="277"/>
        <v>1.2</v>
      </c>
      <c r="K288" s="808">
        <f t="shared" si="277"/>
        <v>1508.5</v>
      </c>
      <c r="L288" s="809"/>
      <c r="M288" s="860">
        <v>8909</v>
      </c>
      <c r="N288" s="813">
        <f t="shared" si="259"/>
        <v>1.1961543E-4</v>
      </c>
      <c r="O288" s="814">
        <v>1</v>
      </c>
      <c r="P288" s="811">
        <f t="shared" si="260"/>
        <v>1.0656538658700001</v>
      </c>
      <c r="Q288" s="978">
        <v>1.05</v>
      </c>
      <c r="R288" s="505">
        <f t="shared" si="261"/>
        <v>1</v>
      </c>
      <c r="S288" s="980">
        <f t="shared" si="278"/>
        <v>0</v>
      </c>
      <c r="T288" s="925" t="s">
        <v>115</v>
      </c>
      <c r="U288" s="946">
        <f t="shared" si="263"/>
        <v>207000</v>
      </c>
      <c r="V288" s="927">
        <f t="shared" si="264"/>
        <v>6.8240753377917299E-5</v>
      </c>
      <c r="W288" s="926">
        <v>1</v>
      </c>
      <c r="X288" s="820">
        <v>1</v>
      </c>
      <c r="Y288" s="928">
        <f t="shared" si="265"/>
        <v>0</v>
      </c>
      <c r="Z288" s="929">
        <f t="shared" si="266"/>
        <v>0</v>
      </c>
      <c r="AA288" s="823"/>
      <c r="AC288" s="825"/>
      <c r="AD288" s="825"/>
      <c r="AE288" s="825"/>
      <c r="AF288" s="825">
        <v>1</v>
      </c>
      <c r="AG288" s="824"/>
      <c r="AH288" s="827"/>
      <c r="AI288" s="824"/>
      <c r="AJ288" s="828">
        <f t="shared" si="267"/>
        <v>0</v>
      </c>
      <c r="AK288" s="862"/>
      <c r="AL288" s="828">
        <f t="shared" si="268"/>
        <v>0</v>
      </c>
      <c r="AM288" s="862"/>
      <c r="AN288" s="824"/>
      <c r="AO288" s="827"/>
      <c r="AQ288" s="930" t="s">
        <v>1465</v>
      </c>
      <c r="AR288" s="1113" t="s">
        <v>1523</v>
      </c>
      <c r="AS288" s="1054">
        <f t="shared" si="279"/>
        <v>0.53684164285714275</v>
      </c>
      <c r="AT288" s="931"/>
      <c r="AV288" s="827"/>
      <c r="AX288" s="1103">
        <v>551.5</v>
      </c>
      <c r="AY288" s="1022"/>
      <c r="AZ288" s="935"/>
      <c r="BA288" s="1114">
        <v>0.875</v>
      </c>
      <c r="BB288" s="1115">
        <v>0.9</v>
      </c>
      <c r="BC288" s="1022"/>
      <c r="BD288" s="1107"/>
      <c r="BF288" s="830"/>
      <c r="BH288" s="1108">
        <f t="shared" si="280"/>
        <v>22.224999999999998</v>
      </c>
      <c r="BI288" s="1096">
        <f t="shared" si="281"/>
        <v>20.424999999999997</v>
      </c>
      <c r="BJ288" s="1110">
        <f t="shared" si="282"/>
        <v>3.8810406249999992E-4</v>
      </c>
      <c r="BK288" s="1110">
        <f t="shared" si="282"/>
        <v>3.2778477678571422E-4</v>
      </c>
      <c r="BL288" s="1111">
        <f t="shared" si="273"/>
        <v>6.0319285714285702E-5</v>
      </c>
      <c r="BM288" s="1096">
        <f t="shared" si="274"/>
        <v>0.53684164285714275</v>
      </c>
      <c r="BN288" s="1109"/>
      <c r="BO288" s="1112"/>
      <c r="BP288" s="936"/>
      <c r="BQ288" s="936"/>
      <c r="BU288" s="936"/>
      <c r="BY288" s="936"/>
      <c r="CH288" s="936"/>
      <c r="CI288" s="938"/>
    </row>
    <row r="289" spans="2:87" s="370" customFormat="1" ht="15" collapsed="1">
      <c r="B289" s="895" t="s">
        <v>1524</v>
      </c>
      <c r="C289" s="896" t="s">
        <v>1525</v>
      </c>
      <c r="D289" s="897"/>
      <c r="E289" s="898"/>
      <c r="F289" s="899"/>
      <c r="G289" s="899"/>
      <c r="H289" s="900"/>
      <c r="I289" s="901"/>
      <c r="J289" s="902"/>
      <c r="K289" s="898"/>
      <c r="L289" s="899"/>
      <c r="M289" s="903"/>
      <c r="N289" s="904"/>
      <c r="O289" s="898"/>
      <c r="P289" s="902"/>
      <c r="Q289" s="905"/>
      <c r="R289" s="903"/>
      <c r="S289" s="905"/>
      <c r="T289" s="906"/>
      <c r="U289" s="906"/>
      <c r="V289" s="907"/>
      <c r="W289" s="908"/>
      <c r="X289" s="909"/>
      <c r="Y289" s="910">
        <f>SUM(Y290:Y293)</f>
        <v>1.8775081248000005</v>
      </c>
      <c r="Z289" s="910">
        <f>SUM(Z290:Z293)</f>
        <v>27.847440352482607</v>
      </c>
      <c r="AA289" s="911"/>
      <c r="AB289" s="747"/>
      <c r="AC289" s="912"/>
      <c r="AD289" s="912"/>
      <c r="AE289" s="912"/>
      <c r="AF289" s="913"/>
      <c r="AH289" s="521"/>
      <c r="AJ289" s="483"/>
      <c r="AK289" s="522">
        <f>SUM(AJ290:AJ293)</f>
        <v>1.8775081248000005</v>
      </c>
      <c r="AL289" s="401"/>
      <c r="AM289" s="523">
        <f>SUM(AL290:AL293)</f>
        <v>27.847440352482607</v>
      </c>
      <c r="AO289" s="521"/>
      <c r="AQ289" s="914" t="str">
        <f>+B289</f>
        <v>- Liquid Pipe Assy</v>
      </c>
      <c r="AR289" s="1070" t="s">
        <v>87</v>
      </c>
      <c r="AS289" s="1071" t="s">
        <v>97</v>
      </c>
      <c r="AT289" s="915" t="s">
        <v>1345</v>
      </c>
      <c r="AV289" s="521"/>
      <c r="AX289" s="918" t="s">
        <v>19</v>
      </c>
      <c r="AY289" s="919" t="s">
        <v>1436</v>
      </c>
      <c r="AZ289" s="920"/>
      <c r="BA289" s="918" t="s">
        <v>1437</v>
      </c>
      <c r="BB289" s="920"/>
      <c r="BC289" s="918" t="s">
        <v>1438</v>
      </c>
      <c r="BD289" s="920"/>
      <c r="BF289" s="524"/>
      <c r="BH289" s="918" t="s">
        <v>1128</v>
      </c>
      <c r="BI289" s="919" t="s">
        <v>1514</v>
      </c>
      <c r="BJ289" s="919" t="s">
        <v>1515</v>
      </c>
      <c r="BK289" s="919" t="s">
        <v>1516</v>
      </c>
      <c r="BL289" s="919" t="s">
        <v>1517</v>
      </c>
      <c r="BM289" s="919" t="s">
        <v>1518</v>
      </c>
      <c r="BN289" s="919"/>
      <c r="BO289" s="920"/>
      <c r="BP289" s="395"/>
      <c r="BQ289" s="395"/>
      <c r="BR289" s="369"/>
      <c r="BS289" s="369"/>
      <c r="BT289" s="369"/>
      <c r="BU289" s="395"/>
      <c r="BV289" s="369"/>
      <c r="BW289" s="369"/>
      <c r="BX289" s="369"/>
      <c r="BY289" s="395"/>
      <c r="BZ289" s="369"/>
      <c r="CA289" s="369"/>
      <c r="CH289" s="395"/>
      <c r="CI289" s="511"/>
    </row>
    <row r="290" spans="2:87" s="747" customFormat="1" ht="13.9" hidden="1" customHeight="1" outlineLevel="1">
      <c r="B290" s="931" t="str">
        <f t="shared" ref="B290:B293" si="284">"Liquid Pipe "&amp;AQ290</f>
        <v>Liquid Pipe 7.5hp: ZR94KCE-TFD</v>
      </c>
      <c r="C290" s="817"/>
      <c r="D290" s="1100">
        <f t="shared" ref="D290:E293" si="285">+BC290</f>
        <v>0.5</v>
      </c>
      <c r="E290" s="811">
        <f t="shared" si="285"/>
        <v>0.8</v>
      </c>
      <c r="F290" s="1101">
        <f t="shared" ref="F290:F293" si="286">+D$278/4+E$278+F$278/4</f>
        <v>1409.5</v>
      </c>
      <c r="G290" s="978"/>
      <c r="H290" s="924" t="s">
        <v>97</v>
      </c>
      <c r="I290" s="811">
        <f t="shared" si="257"/>
        <v>12.7</v>
      </c>
      <c r="J290" s="811">
        <f t="shared" ref="J290:K297" si="287">+E290</f>
        <v>0.8</v>
      </c>
      <c r="K290" s="808">
        <f t="shared" si="287"/>
        <v>1409.5</v>
      </c>
      <c r="L290" s="809"/>
      <c r="M290" s="860">
        <v>8904</v>
      </c>
      <c r="N290" s="813">
        <f t="shared" si="259"/>
        <v>4.2172240000000012E-5</v>
      </c>
      <c r="O290" s="814">
        <v>5</v>
      </c>
      <c r="P290" s="811">
        <f t="shared" si="260"/>
        <v>1.8775081248000005</v>
      </c>
      <c r="Q290" s="978">
        <v>1.05</v>
      </c>
      <c r="R290" s="505">
        <f t="shared" si="261"/>
        <v>1</v>
      </c>
      <c r="S290" s="980">
        <f t="shared" si="278"/>
        <v>1.9713835310400005</v>
      </c>
      <c r="T290" s="925" t="s">
        <v>115</v>
      </c>
      <c r="U290" s="946">
        <f t="shared" si="263"/>
        <v>207000</v>
      </c>
      <c r="V290" s="927">
        <f t="shared" si="264"/>
        <v>6.8240753377917299E-5</v>
      </c>
      <c r="W290" s="926">
        <v>1</v>
      </c>
      <c r="X290" s="820">
        <v>1</v>
      </c>
      <c r="Y290" s="928">
        <f t="shared" si="265"/>
        <v>1.8775081248000005</v>
      </c>
      <c r="Z290" s="929">
        <f t="shared" si="266"/>
        <v>27.847440352482607</v>
      </c>
      <c r="AA290" s="823">
        <v>1</v>
      </c>
      <c r="AC290" s="825">
        <v>1</v>
      </c>
      <c r="AD290" s="825"/>
      <c r="AE290" s="825"/>
      <c r="AF290" s="825"/>
      <c r="AG290" s="824"/>
      <c r="AH290" s="827"/>
      <c r="AI290" s="824"/>
      <c r="AJ290" s="828">
        <f t="shared" si="267"/>
        <v>1.8775081248000005</v>
      </c>
      <c r="AK290" s="862"/>
      <c r="AL290" s="828">
        <f t="shared" si="268"/>
        <v>27.847440352482607</v>
      </c>
      <c r="AM290" s="862"/>
      <c r="AN290" s="824"/>
      <c r="AO290" s="827"/>
      <c r="AQ290" s="930" t="s">
        <v>1459</v>
      </c>
      <c r="AR290" s="1113" t="s">
        <v>1526</v>
      </c>
      <c r="AS290" s="1054">
        <f t="shared" ref="AS290:AS293" si="288">+BM290</f>
        <v>0.26628799999999986</v>
      </c>
      <c r="AT290" s="931"/>
      <c r="AV290" s="827"/>
      <c r="AX290" s="1103">
        <v>476.3</v>
      </c>
      <c r="AY290" s="1022"/>
      <c r="AZ290" s="935"/>
      <c r="BA290" s="1106"/>
      <c r="BB290" s="1107"/>
      <c r="BC290" s="1104">
        <v>0.5</v>
      </c>
      <c r="BD290" s="1115">
        <v>0.8</v>
      </c>
      <c r="BF290" s="830"/>
      <c r="BH290" s="1108">
        <f t="shared" ref="BH290:BH293" si="289">+BC290*25.4</f>
        <v>12.7</v>
      </c>
      <c r="BI290" s="1096">
        <f t="shared" ref="BI290:BI293" si="290">+BH290-2*BD290</f>
        <v>11.1</v>
      </c>
      <c r="BJ290" s="1110">
        <f t="shared" ref="BJ290:BK293" si="291">22/28*(BH290/1000)^2</f>
        <v>1.2672785714285713E-4</v>
      </c>
      <c r="BK290" s="1110">
        <f t="shared" si="291"/>
        <v>9.6807857142857149E-5</v>
      </c>
      <c r="BL290" s="1111">
        <f t="shared" ref="BL290:BL293" si="292">+BJ290-BK290</f>
        <v>2.9919999999999985E-5</v>
      </c>
      <c r="BM290" s="1096">
        <f t="shared" si="274"/>
        <v>0.26628799999999986</v>
      </c>
      <c r="BN290" s="1109"/>
      <c r="BO290" s="1112"/>
      <c r="BP290" s="936"/>
      <c r="BQ290" s="936"/>
      <c r="BU290" s="936"/>
      <c r="BY290" s="936"/>
      <c r="CH290" s="936"/>
      <c r="CI290" s="938"/>
    </row>
    <row r="291" spans="2:87" s="747" customFormat="1" ht="13.9" hidden="1" customHeight="1" outlineLevel="1">
      <c r="B291" s="931" t="str">
        <f t="shared" si="284"/>
        <v>Liquid Pipe 10.0hp: ZR125KCE-TFD</v>
      </c>
      <c r="C291" s="817"/>
      <c r="D291" s="1100">
        <f t="shared" si="285"/>
        <v>0.625</v>
      </c>
      <c r="E291" s="811">
        <f t="shared" si="285"/>
        <v>0.8</v>
      </c>
      <c r="F291" s="1101">
        <f t="shared" si="286"/>
        <v>1409.5</v>
      </c>
      <c r="G291" s="978"/>
      <c r="H291" s="924" t="s">
        <v>97</v>
      </c>
      <c r="I291" s="811">
        <f t="shared" si="257"/>
        <v>15.875</v>
      </c>
      <c r="J291" s="811">
        <f t="shared" si="287"/>
        <v>0.8</v>
      </c>
      <c r="K291" s="808">
        <f t="shared" si="287"/>
        <v>1409.5</v>
      </c>
      <c r="L291" s="809"/>
      <c r="M291" s="860">
        <v>8906</v>
      </c>
      <c r="N291" s="813">
        <f t="shared" si="259"/>
        <v>5.3424077142857175E-5</v>
      </c>
      <c r="O291" s="814">
        <v>7</v>
      </c>
      <c r="P291" s="811">
        <f t="shared" si="260"/>
        <v>3.3305638172400021</v>
      </c>
      <c r="Q291" s="978">
        <v>1.05</v>
      </c>
      <c r="R291" s="505">
        <f t="shared" si="261"/>
        <v>1</v>
      </c>
      <c r="S291" s="980">
        <f t="shared" si="278"/>
        <v>0</v>
      </c>
      <c r="T291" s="925" t="s">
        <v>115</v>
      </c>
      <c r="U291" s="946">
        <f t="shared" si="263"/>
        <v>207000</v>
      </c>
      <c r="V291" s="927">
        <f t="shared" si="264"/>
        <v>6.8240753377917299E-5</v>
      </c>
      <c r="W291" s="926">
        <v>1</v>
      </c>
      <c r="X291" s="820">
        <v>1</v>
      </c>
      <c r="Y291" s="928">
        <f t="shared" si="265"/>
        <v>0</v>
      </c>
      <c r="Z291" s="929">
        <f t="shared" si="266"/>
        <v>0</v>
      </c>
      <c r="AA291" s="823"/>
      <c r="AC291" s="825"/>
      <c r="AD291" s="825">
        <v>1</v>
      </c>
      <c r="AE291" s="825"/>
      <c r="AF291" s="825"/>
      <c r="AG291" s="824"/>
      <c r="AH291" s="827"/>
      <c r="AI291" s="824"/>
      <c r="AJ291" s="828">
        <f t="shared" si="267"/>
        <v>0</v>
      </c>
      <c r="AK291" s="862"/>
      <c r="AL291" s="828">
        <f t="shared" si="268"/>
        <v>0</v>
      </c>
      <c r="AM291" s="862"/>
      <c r="AN291" s="824"/>
      <c r="AO291" s="827"/>
      <c r="AQ291" s="930" t="s">
        <v>1461</v>
      </c>
      <c r="AR291" s="1113" t="s">
        <v>1527</v>
      </c>
      <c r="AS291" s="1054">
        <f t="shared" si="288"/>
        <v>0.33733542857142867</v>
      </c>
      <c r="AT291" s="931"/>
      <c r="AV291" s="827"/>
      <c r="AX291" s="1103">
        <v>533.1</v>
      </c>
      <c r="AY291" s="1022"/>
      <c r="AZ291" s="935"/>
      <c r="BA291" s="1106"/>
      <c r="BB291" s="1107"/>
      <c r="BC291" s="1104">
        <v>0.625</v>
      </c>
      <c r="BD291" s="1115">
        <v>0.8</v>
      </c>
      <c r="BF291" s="830"/>
      <c r="BH291" s="1108">
        <f t="shared" si="289"/>
        <v>15.875</v>
      </c>
      <c r="BI291" s="1096">
        <f t="shared" si="290"/>
        <v>14.275</v>
      </c>
      <c r="BJ291" s="1110">
        <f t="shared" si="291"/>
        <v>1.9801227678571429E-4</v>
      </c>
      <c r="BK291" s="1110">
        <f t="shared" si="291"/>
        <v>1.6010941964285713E-4</v>
      </c>
      <c r="BL291" s="1111">
        <f t="shared" si="292"/>
        <v>3.7902857142857157E-5</v>
      </c>
      <c r="BM291" s="1096">
        <f t="shared" si="274"/>
        <v>0.33733542857142867</v>
      </c>
      <c r="BN291" s="1109"/>
      <c r="BO291" s="1112"/>
      <c r="BP291" s="936"/>
      <c r="BQ291" s="936"/>
      <c r="BU291" s="936"/>
      <c r="BY291" s="936"/>
      <c r="CH291" s="936"/>
      <c r="CI291" s="938"/>
    </row>
    <row r="292" spans="2:87" s="747" customFormat="1" ht="13.9" hidden="1" customHeight="1" outlineLevel="1">
      <c r="B292" s="931" t="str">
        <f t="shared" si="284"/>
        <v>Liquid Pipe 12.5hp: ZR144KCE-TFD</v>
      </c>
      <c r="C292" s="817"/>
      <c r="D292" s="1100">
        <f t="shared" si="285"/>
        <v>0.75</v>
      </c>
      <c r="E292" s="811">
        <f t="shared" si="285"/>
        <v>0.8</v>
      </c>
      <c r="F292" s="1101">
        <f t="shared" si="286"/>
        <v>1409.5</v>
      </c>
      <c r="G292" s="978"/>
      <c r="H292" s="924" t="s">
        <v>97</v>
      </c>
      <c r="I292" s="811">
        <f t="shared" si="257"/>
        <v>19.049999999999997</v>
      </c>
      <c r="J292" s="811">
        <f t="shared" si="287"/>
        <v>0.8</v>
      </c>
      <c r="K292" s="808">
        <f t="shared" si="287"/>
        <v>1409.5</v>
      </c>
      <c r="L292" s="809"/>
      <c r="M292" s="860">
        <v>8907</v>
      </c>
      <c r="N292" s="813">
        <f t="shared" si="259"/>
        <v>6.4675914285714303E-5</v>
      </c>
      <c r="O292" s="814">
        <v>8</v>
      </c>
      <c r="P292" s="811">
        <f t="shared" si="260"/>
        <v>4.6085469483428581</v>
      </c>
      <c r="Q292" s="978">
        <v>1.05</v>
      </c>
      <c r="R292" s="505">
        <f t="shared" si="261"/>
        <v>1</v>
      </c>
      <c r="S292" s="980">
        <f t="shared" si="278"/>
        <v>0</v>
      </c>
      <c r="T292" s="925" t="s">
        <v>115</v>
      </c>
      <c r="U292" s="946">
        <f t="shared" si="263"/>
        <v>207000</v>
      </c>
      <c r="V292" s="927">
        <f t="shared" si="264"/>
        <v>6.8240753377917299E-5</v>
      </c>
      <c r="W292" s="926">
        <v>1</v>
      </c>
      <c r="X292" s="820">
        <v>1</v>
      </c>
      <c r="Y292" s="928">
        <f t="shared" si="265"/>
        <v>0</v>
      </c>
      <c r="Z292" s="929">
        <f t="shared" si="266"/>
        <v>0</v>
      </c>
      <c r="AA292" s="823"/>
      <c r="AC292" s="825"/>
      <c r="AD292" s="825"/>
      <c r="AE292" s="825">
        <v>1</v>
      </c>
      <c r="AF292" s="825"/>
      <c r="AG292" s="824"/>
      <c r="AH292" s="827"/>
      <c r="AI292" s="824"/>
      <c r="AJ292" s="828">
        <f t="shared" si="267"/>
        <v>0</v>
      </c>
      <c r="AK292" s="862"/>
      <c r="AL292" s="828">
        <f t="shared" si="268"/>
        <v>0</v>
      </c>
      <c r="AM292" s="862"/>
      <c r="AN292" s="824"/>
      <c r="AO292" s="827"/>
      <c r="AQ292" s="930" t="s">
        <v>1463</v>
      </c>
      <c r="AR292" s="1113" t="s">
        <v>1528</v>
      </c>
      <c r="AS292" s="1054">
        <f t="shared" si="288"/>
        <v>0.40838285714285727</v>
      </c>
      <c r="AT292" s="931"/>
      <c r="AV292" s="827"/>
      <c r="AX292" s="1103">
        <v>533.1</v>
      </c>
      <c r="AY292" s="1022"/>
      <c r="AZ292" s="935"/>
      <c r="BA292" s="1106"/>
      <c r="BB292" s="1107"/>
      <c r="BC292" s="1104">
        <v>0.75</v>
      </c>
      <c r="BD292" s="1115">
        <v>0.8</v>
      </c>
      <c r="BF292" s="830"/>
      <c r="BH292" s="1108">
        <f t="shared" si="289"/>
        <v>19.049999999999997</v>
      </c>
      <c r="BI292" s="1096">
        <f t="shared" si="290"/>
        <v>17.449999999999996</v>
      </c>
      <c r="BJ292" s="1110">
        <f t="shared" si="291"/>
        <v>2.8513767857142852E-4</v>
      </c>
      <c r="BK292" s="1110">
        <f t="shared" si="291"/>
        <v>2.3925196428571422E-4</v>
      </c>
      <c r="BL292" s="1111">
        <f t="shared" si="292"/>
        <v>4.5885714285714301E-5</v>
      </c>
      <c r="BM292" s="1096">
        <f t="shared" si="274"/>
        <v>0.40838285714285727</v>
      </c>
      <c r="BN292" s="1109"/>
      <c r="BO292" s="1112"/>
      <c r="BP292" s="936"/>
      <c r="BQ292" s="936"/>
      <c r="BU292" s="936"/>
      <c r="BY292" s="936"/>
      <c r="CH292" s="936"/>
      <c r="CI292" s="938"/>
    </row>
    <row r="293" spans="2:87" s="747" customFormat="1" ht="13.9" hidden="1" customHeight="1" outlineLevel="1">
      <c r="B293" s="931" t="str">
        <f t="shared" si="284"/>
        <v>Liquid Pipe 15.0hp: ZR190KCE-TFD</v>
      </c>
      <c r="C293" s="817"/>
      <c r="D293" s="1100">
        <f t="shared" si="285"/>
        <v>0.625</v>
      </c>
      <c r="E293" s="811">
        <f t="shared" si="285"/>
        <v>0.8</v>
      </c>
      <c r="F293" s="1101">
        <f t="shared" si="286"/>
        <v>1409.5</v>
      </c>
      <c r="G293" s="978"/>
      <c r="H293" s="924" t="s">
        <v>97</v>
      </c>
      <c r="I293" s="811">
        <f t="shared" si="257"/>
        <v>15.875</v>
      </c>
      <c r="J293" s="811">
        <f t="shared" si="287"/>
        <v>0.8</v>
      </c>
      <c r="K293" s="808">
        <f t="shared" si="287"/>
        <v>1409.5</v>
      </c>
      <c r="L293" s="809"/>
      <c r="M293" s="860">
        <v>8909</v>
      </c>
      <c r="N293" s="813">
        <f t="shared" si="259"/>
        <v>5.3424077142857175E-5</v>
      </c>
      <c r="O293" s="814">
        <v>10</v>
      </c>
      <c r="P293" s="811">
        <f t="shared" si="260"/>
        <v>4.7595510326571455</v>
      </c>
      <c r="Q293" s="978">
        <v>1.05</v>
      </c>
      <c r="R293" s="505">
        <f t="shared" si="261"/>
        <v>1</v>
      </c>
      <c r="S293" s="980">
        <f t="shared" si="278"/>
        <v>0</v>
      </c>
      <c r="T293" s="925" t="s">
        <v>115</v>
      </c>
      <c r="U293" s="946">
        <f t="shared" si="263"/>
        <v>207000</v>
      </c>
      <c r="V293" s="927">
        <f t="shared" si="264"/>
        <v>6.8240753377917299E-5</v>
      </c>
      <c r="W293" s="926">
        <v>1</v>
      </c>
      <c r="X293" s="820">
        <v>1</v>
      </c>
      <c r="Y293" s="928">
        <f t="shared" si="265"/>
        <v>0</v>
      </c>
      <c r="Z293" s="929">
        <f t="shared" si="266"/>
        <v>0</v>
      </c>
      <c r="AA293" s="823"/>
      <c r="AC293" s="825"/>
      <c r="AD293" s="825"/>
      <c r="AE293" s="825"/>
      <c r="AF293" s="825">
        <v>1</v>
      </c>
      <c r="AG293" s="824"/>
      <c r="AH293" s="827"/>
      <c r="AI293" s="824"/>
      <c r="AJ293" s="828">
        <f t="shared" si="267"/>
        <v>0</v>
      </c>
      <c r="AK293" s="862"/>
      <c r="AL293" s="828">
        <f t="shared" si="268"/>
        <v>0</v>
      </c>
      <c r="AM293" s="862"/>
      <c r="AN293" s="824"/>
      <c r="AO293" s="827"/>
      <c r="AQ293" s="930" t="s">
        <v>1465</v>
      </c>
      <c r="AR293" s="1113" t="s">
        <v>1527</v>
      </c>
      <c r="AS293" s="1054">
        <f t="shared" si="288"/>
        <v>0.33733542857142867</v>
      </c>
      <c r="AT293" s="931"/>
      <c r="AV293" s="827"/>
      <c r="AX293" s="1103">
        <v>551.5</v>
      </c>
      <c r="AY293" s="1022"/>
      <c r="AZ293" s="935"/>
      <c r="BA293" s="1106"/>
      <c r="BB293" s="1107"/>
      <c r="BC293" s="1104">
        <v>0.625</v>
      </c>
      <c r="BD293" s="1115">
        <v>0.8</v>
      </c>
      <c r="BF293" s="830"/>
      <c r="BH293" s="1108">
        <f t="shared" si="289"/>
        <v>15.875</v>
      </c>
      <c r="BI293" s="1096">
        <f t="shared" si="290"/>
        <v>14.275</v>
      </c>
      <c r="BJ293" s="1110">
        <f t="shared" si="291"/>
        <v>1.9801227678571429E-4</v>
      </c>
      <c r="BK293" s="1110">
        <f t="shared" si="291"/>
        <v>1.6010941964285713E-4</v>
      </c>
      <c r="BL293" s="1111">
        <f t="shared" si="292"/>
        <v>3.7902857142857157E-5</v>
      </c>
      <c r="BM293" s="1096">
        <f t="shared" si="274"/>
        <v>0.33733542857142867</v>
      </c>
      <c r="BN293" s="1109"/>
      <c r="BO293" s="1112"/>
      <c r="BP293" s="936"/>
      <c r="BQ293" s="936"/>
      <c r="BU293" s="936"/>
      <c r="BY293" s="936"/>
      <c r="CH293" s="936"/>
      <c r="CI293" s="938"/>
    </row>
    <row r="294" spans="2:87" s="370" customFormat="1" ht="15" collapsed="1">
      <c r="B294" s="895" t="s">
        <v>1529</v>
      </c>
      <c r="C294" s="896"/>
      <c r="D294" s="897"/>
      <c r="E294" s="898"/>
      <c r="F294" s="899"/>
      <c r="G294" s="899"/>
      <c r="H294" s="900"/>
      <c r="I294" s="901"/>
      <c r="J294" s="902"/>
      <c r="K294" s="898"/>
      <c r="L294" s="899"/>
      <c r="M294" s="903"/>
      <c r="N294" s="904"/>
      <c r="O294" s="898"/>
      <c r="P294" s="902"/>
      <c r="Q294" s="905"/>
      <c r="R294" s="903"/>
      <c r="S294" s="905"/>
      <c r="T294" s="906"/>
      <c r="U294" s="906"/>
      <c r="V294" s="907"/>
      <c r="W294" s="908"/>
      <c r="X294" s="909"/>
      <c r="Y294" s="910">
        <f>SUM(Y295:Y297)</f>
        <v>6.7550999999999972E-2</v>
      </c>
      <c r="Z294" s="910">
        <f>SUM(Z295:Z297)</f>
        <v>1.0019250614166779</v>
      </c>
      <c r="AA294" s="911"/>
      <c r="AB294" s="747"/>
      <c r="AC294" s="912"/>
      <c r="AD294" s="912"/>
      <c r="AE294" s="912"/>
      <c r="AF294" s="913"/>
      <c r="AH294" s="521"/>
      <c r="AJ294" s="483"/>
      <c r="AK294" s="522">
        <f>SUM(AJ295:AJ297)</f>
        <v>6.7550999999999972E-2</v>
      </c>
      <c r="AL294" s="401"/>
      <c r="AM294" s="523">
        <f>SUM(AL295:AL297)</f>
        <v>1.0019250614166779</v>
      </c>
      <c r="AO294" s="521"/>
      <c r="AQ294" s="914" t="str">
        <f>+B294</f>
        <v>- Line Component Pipe Assy</v>
      </c>
      <c r="AR294" s="1070" t="s">
        <v>1058</v>
      </c>
      <c r="AS294" s="1071" t="s">
        <v>97</v>
      </c>
      <c r="AT294" s="915" t="s">
        <v>1345</v>
      </c>
      <c r="AV294" s="521"/>
      <c r="AX294" s="918" t="s">
        <v>19</v>
      </c>
      <c r="AY294" s="919" t="s">
        <v>1436</v>
      </c>
      <c r="AZ294" s="920"/>
      <c r="BA294" s="918" t="s">
        <v>1437</v>
      </c>
      <c r="BB294" s="920"/>
      <c r="BC294" s="918" t="s">
        <v>1438</v>
      </c>
      <c r="BD294" s="920"/>
      <c r="BF294" s="524"/>
      <c r="BH294" s="918" t="s">
        <v>1128</v>
      </c>
      <c r="BI294" s="919" t="s">
        <v>1514</v>
      </c>
      <c r="BJ294" s="919" t="s">
        <v>1515</v>
      </c>
      <c r="BK294" s="919" t="s">
        <v>1516</v>
      </c>
      <c r="BL294" s="919" t="s">
        <v>1517</v>
      </c>
      <c r="BM294" s="919" t="s">
        <v>1518</v>
      </c>
      <c r="BN294" s="919"/>
      <c r="BO294" s="920"/>
      <c r="BP294" s="395"/>
      <c r="BQ294" s="395"/>
      <c r="BR294" s="369"/>
      <c r="BS294" s="369"/>
      <c r="BT294" s="369"/>
      <c r="BU294" s="395"/>
      <c r="BV294" s="369"/>
      <c r="BW294" s="369"/>
      <c r="BX294" s="369"/>
      <c r="BY294" s="395"/>
      <c r="BZ294" s="369"/>
      <c r="CA294" s="369"/>
      <c r="CH294" s="395"/>
      <c r="CI294" s="511"/>
    </row>
    <row r="295" spans="2:87" s="747" customFormat="1" ht="13.9" hidden="1" customHeight="1" outlineLevel="1">
      <c r="B295" s="931" t="s">
        <v>1530</v>
      </c>
      <c r="D295" s="1100">
        <v>0.25</v>
      </c>
      <c r="E295" s="811">
        <v>0.6</v>
      </c>
      <c r="F295" s="1116">
        <v>250</v>
      </c>
      <c r="G295" s="978"/>
      <c r="H295" s="924" t="s">
        <v>97</v>
      </c>
      <c r="I295" s="811">
        <f t="shared" si="257"/>
        <v>6.35</v>
      </c>
      <c r="J295" s="811">
        <f t="shared" si="287"/>
        <v>0.6</v>
      </c>
      <c r="K295" s="808">
        <f t="shared" si="287"/>
        <v>250</v>
      </c>
      <c r="L295" s="809"/>
      <c r="M295" s="860">
        <v>8900</v>
      </c>
      <c r="N295" s="813">
        <f t="shared" si="259"/>
        <v>2.7107142857142849E-6</v>
      </c>
      <c r="O295" s="814">
        <v>2</v>
      </c>
      <c r="P295" s="811">
        <f t="shared" si="260"/>
        <v>4.8250714285714272E-2</v>
      </c>
      <c r="Q295" s="978">
        <v>1.05</v>
      </c>
      <c r="R295" s="505">
        <f t="shared" si="261"/>
        <v>1</v>
      </c>
      <c r="S295" s="980">
        <f t="shared" si="278"/>
        <v>5.0663249999999986E-2</v>
      </c>
      <c r="T295" s="925" t="s">
        <v>115</v>
      </c>
      <c r="U295" s="946">
        <f t="shared" si="263"/>
        <v>207000</v>
      </c>
      <c r="V295" s="927">
        <f t="shared" si="264"/>
        <v>6.8240753377917299E-5</v>
      </c>
      <c r="W295" s="926">
        <v>1</v>
      </c>
      <c r="X295" s="820">
        <v>1</v>
      </c>
      <c r="Y295" s="928">
        <f t="shared" si="265"/>
        <v>4.8250714285714272E-2</v>
      </c>
      <c r="Z295" s="929">
        <f t="shared" si="266"/>
        <v>0.71566075815476993</v>
      </c>
      <c r="AA295" s="823">
        <v>1</v>
      </c>
      <c r="AC295" s="825">
        <v>1</v>
      </c>
      <c r="AD295" s="825">
        <v>1</v>
      </c>
      <c r="AE295" s="825">
        <v>1</v>
      </c>
      <c r="AF295" s="825">
        <v>1</v>
      </c>
      <c r="AG295" s="824"/>
      <c r="AH295" s="827"/>
      <c r="AI295" s="824"/>
      <c r="AJ295" s="828">
        <f t="shared" si="267"/>
        <v>4.8250714285714272E-2</v>
      </c>
      <c r="AK295" s="862"/>
      <c r="AL295" s="828">
        <f t="shared" si="268"/>
        <v>0.71566075815476993</v>
      </c>
      <c r="AM295" s="862"/>
      <c r="AN295" s="824"/>
      <c r="AO295" s="827"/>
      <c r="AP295" s="824"/>
      <c r="AQ295" s="965" t="s">
        <v>1531</v>
      </c>
      <c r="AR295" s="1117" t="s">
        <v>1532</v>
      </c>
      <c r="AS295" s="1082">
        <f>+BM295</f>
        <v>9.6501428571428613E-2</v>
      </c>
      <c r="AT295" s="1117"/>
      <c r="AU295" s="824"/>
      <c r="AV295" s="827"/>
      <c r="AW295" s="824"/>
      <c r="AX295" s="941"/>
      <c r="AY295" s="942"/>
      <c r="AZ295" s="942"/>
      <c r="BA295" s="942"/>
      <c r="BB295" s="966"/>
      <c r="BC295" s="1118">
        <v>0.25</v>
      </c>
      <c r="BD295" s="1119">
        <v>0.6</v>
      </c>
      <c r="BF295" s="830"/>
      <c r="BH295" s="1108">
        <f>+BC295*25.4</f>
        <v>6.35</v>
      </c>
      <c r="BI295" s="1096">
        <f>+BH295-2*BD295</f>
        <v>5.1499999999999995</v>
      </c>
      <c r="BJ295" s="1110">
        <f t="shared" ref="BJ295:BK297" si="293">22/28*(BH295/1000)^2</f>
        <v>3.1681964285714283E-5</v>
      </c>
      <c r="BK295" s="1110">
        <f t="shared" si="293"/>
        <v>2.0839107142857135E-5</v>
      </c>
      <c r="BL295" s="1111">
        <f>+BJ295-BK295</f>
        <v>1.0842857142857148E-5</v>
      </c>
      <c r="BM295" s="1096">
        <f>+BL295*8900</f>
        <v>9.6501428571428613E-2</v>
      </c>
      <c r="BN295" s="1109"/>
      <c r="BO295" s="1112"/>
      <c r="BP295" s="936"/>
      <c r="BS295" s="936"/>
      <c r="CH295" s="936"/>
      <c r="CI295" s="938"/>
    </row>
    <row r="296" spans="2:87" s="747" customFormat="1" ht="13.9" hidden="1" customHeight="1" outlineLevel="1">
      <c r="B296" s="931" t="s">
        <v>1533</v>
      </c>
      <c r="D296" s="1100">
        <v>0.25</v>
      </c>
      <c r="E296" s="811">
        <v>0.6</v>
      </c>
      <c r="F296" s="1116">
        <v>250</v>
      </c>
      <c r="G296" s="978"/>
      <c r="H296" s="924" t="s">
        <v>97</v>
      </c>
      <c r="I296" s="811">
        <f t="shared" si="257"/>
        <v>6.35</v>
      </c>
      <c r="J296" s="811">
        <f t="shared" si="287"/>
        <v>0.6</v>
      </c>
      <c r="K296" s="808">
        <f t="shared" si="287"/>
        <v>250</v>
      </c>
      <c r="L296" s="809"/>
      <c r="M296" s="860">
        <v>8900</v>
      </c>
      <c r="N296" s="813">
        <f t="shared" si="259"/>
        <v>2.7107142857142849E-6</v>
      </c>
      <c r="O296" s="814">
        <v>2</v>
      </c>
      <c r="P296" s="811">
        <f t="shared" si="260"/>
        <v>4.8250714285714272E-2</v>
      </c>
      <c r="Q296" s="978">
        <v>1.05</v>
      </c>
      <c r="R296" s="505">
        <f t="shared" si="261"/>
        <v>1</v>
      </c>
      <c r="S296" s="980">
        <f t="shared" si="278"/>
        <v>0</v>
      </c>
      <c r="T296" s="925" t="s">
        <v>115</v>
      </c>
      <c r="U296" s="946">
        <f t="shared" si="263"/>
        <v>207000</v>
      </c>
      <c r="V296" s="927">
        <f t="shared" si="264"/>
        <v>6.8240753377917299E-5</v>
      </c>
      <c r="W296" s="926">
        <v>1</v>
      </c>
      <c r="X296" s="820">
        <v>1</v>
      </c>
      <c r="Y296" s="928">
        <f t="shared" si="265"/>
        <v>0</v>
      </c>
      <c r="Z296" s="929">
        <f t="shared" si="266"/>
        <v>0</v>
      </c>
      <c r="AA296" s="823"/>
      <c r="AC296" s="825"/>
      <c r="AD296" s="825"/>
      <c r="AE296" s="825"/>
      <c r="AF296" s="825"/>
      <c r="AG296" s="824"/>
      <c r="AH296" s="827"/>
      <c r="AI296" s="824"/>
      <c r="AJ296" s="828">
        <f t="shared" si="267"/>
        <v>0</v>
      </c>
      <c r="AK296" s="862"/>
      <c r="AL296" s="828">
        <f t="shared" si="268"/>
        <v>0</v>
      </c>
      <c r="AM296" s="862"/>
      <c r="AN296" s="824"/>
      <c r="AO296" s="827"/>
      <c r="AP296" s="824"/>
      <c r="AQ296" s="930" t="s">
        <v>1534</v>
      </c>
      <c r="AR296" s="931" t="s">
        <v>1532</v>
      </c>
      <c r="AS296" s="828">
        <f>+BM296</f>
        <v>9.6501428571428613E-2</v>
      </c>
      <c r="AT296" s="931"/>
      <c r="AU296" s="824"/>
      <c r="AV296" s="827"/>
      <c r="AW296" s="824"/>
      <c r="AX296" s="934"/>
      <c r="AY296" s="936"/>
      <c r="AZ296" s="936"/>
      <c r="BA296" s="936"/>
      <c r="BC296" s="1114">
        <v>0.25</v>
      </c>
      <c r="BD296" s="1115">
        <v>0.6</v>
      </c>
      <c r="BF296" s="830"/>
      <c r="BH296" s="1108">
        <f>+BC296*25.4</f>
        <v>6.35</v>
      </c>
      <c r="BI296" s="1096">
        <f>+BH296-2*BD296</f>
        <v>5.1499999999999995</v>
      </c>
      <c r="BJ296" s="1110">
        <f t="shared" si="293"/>
        <v>3.1681964285714283E-5</v>
      </c>
      <c r="BK296" s="1110">
        <f t="shared" si="293"/>
        <v>2.0839107142857135E-5</v>
      </c>
      <c r="BL296" s="1111">
        <f>+BJ296-BK296</f>
        <v>1.0842857142857148E-5</v>
      </c>
      <c r="BM296" s="1096">
        <f>+BL296*8900</f>
        <v>9.6501428571428613E-2</v>
      </c>
      <c r="BN296" s="1109"/>
      <c r="BO296" s="1112"/>
      <c r="BP296" s="936"/>
      <c r="BS296" s="936"/>
      <c r="CH296" s="936"/>
      <c r="CI296" s="938"/>
    </row>
    <row r="297" spans="2:87" s="747" customFormat="1" ht="13.9" hidden="1" customHeight="1" outlineLevel="1">
      <c r="B297" s="931" t="s">
        <v>1535</v>
      </c>
      <c r="D297" s="1100">
        <v>0.25</v>
      </c>
      <c r="E297" s="811">
        <v>0.6</v>
      </c>
      <c r="F297" s="1101">
        <v>100</v>
      </c>
      <c r="G297" s="978"/>
      <c r="H297" s="924" t="s">
        <v>97</v>
      </c>
      <c r="I297" s="811">
        <f t="shared" si="257"/>
        <v>6.35</v>
      </c>
      <c r="J297" s="811">
        <f t="shared" si="287"/>
        <v>0.6</v>
      </c>
      <c r="K297" s="808">
        <f t="shared" si="287"/>
        <v>100</v>
      </c>
      <c r="L297" s="809"/>
      <c r="M297" s="860">
        <v>8900</v>
      </c>
      <c r="N297" s="813">
        <f t="shared" si="259"/>
        <v>1.0842857142857139E-6</v>
      </c>
      <c r="O297" s="814">
        <v>2</v>
      </c>
      <c r="P297" s="811">
        <f t="shared" si="260"/>
        <v>1.9300285714285707E-2</v>
      </c>
      <c r="Q297" s="978">
        <v>1.05</v>
      </c>
      <c r="R297" s="505">
        <f t="shared" si="261"/>
        <v>1</v>
      </c>
      <c r="S297" s="980">
        <f t="shared" si="278"/>
        <v>2.0265299999999993E-2</v>
      </c>
      <c r="T297" s="925" t="s">
        <v>115</v>
      </c>
      <c r="U297" s="946">
        <f t="shared" si="263"/>
        <v>207000</v>
      </c>
      <c r="V297" s="927">
        <f t="shared" si="264"/>
        <v>6.8240753377917299E-5</v>
      </c>
      <c r="W297" s="926">
        <v>1</v>
      </c>
      <c r="X297" s="820">
        <v>1</v>
      </c>
      <c r="Y297" s="928">
        <f t="shared" si="265"/>
        <v>1.9300285714285707E-2</v>
      </c>
      <c r="Z297" s="929">
        <f t="shared" si="266"/>
        <v>0.28626430326190794</v>
      </c>
      <c r="AA297" s="823">
        <v>1</v>
      </c>
      <c r="AC297" s="825">
        <v>1</v>
      </c>
      <c r="AD297" s="825">
        <v>1</v>
      </c>
      <c r="AE297" s="825">
        <v>1</v>
      </c>
      <c r="AF297" s="825">
        <v>1</v>
      </c>
      <c r="AG297" s="824"/>
      <c r="AH297" s="827"/>
      <c r="AI297" s="824"/>
      <c r="AJ297" s="828">
        <f t="shared" si="267"/>
        <v>1.9300285714285707E-2</v>
      </c>
      <c r="AK297" s="862"/>
      <c r="AL297" s="828">
        <f t="shared" si="268"/>
        <v>0.28626430326190794</v>
      </c>
      <c r="AM297" s="862"/>
      <c r="AN297" s="824"/>
      <c r="AO297" s="827"/>
      <c r="AP297" s="824"/>
      <c r="AQ297" s="985" t="s">
        <v>1536</v>
      </c>
      <c r="AR297" s="983" t="s">
        <v>1532</v>
      </c>
      <c r="AS297" s="1077">
        <f>+BM297</f>
        <v>9.6501428571428613E-2</v>
      </c>
      <c r="AT297" s="983"/>
      <c r="AU297" s="824"/>
      <c r="AV297" s="827"/>
      <c r="AW297" s="824"/>
      <c r="AX297" s="1085"/>
      <c r="AY297" s="1086"/>
      <c r="AZ297" s="1086"/>
      <c r="BA297" s="1086"/>
      <c r="BB297" s="1076"/>
      <c r="BC297" s="1120">
        <v>0.25</v>
      </c>
      <c r="BD297" s="1121">
        <v>0.6</v>
      </c>
      <c r="BF297" s="830"/>
      <c r="BH297" s="1122">
        <f>+BC297*25.4</f>
        <v>6.35</v>
      </c>
      <c r="BI297" s="1091">
        <f>+BH297-2*BD297</f>
        <v>5.1499999999999995</v>
      </c>
      <c r="BJ297" s="1123">
        <f t="shared" si="293"/>
        <v>3.1681964285714283E-5</v>
      </c>
      <c r="BK297" s="1123">
        <f t="shared" si="293"/>
        <v>2.0839107142857135E-5</v>
      </c>
      <c r="BL297" s="1124">
        <f>+BJ297-BK297</f>
        <v>1.0842857142857148E-5</v>
      </c>
      <c r="BM297" s="1091">
        <f>+BL297*8900</f>
        <v>9.6501428571428613E-2</v>
      </c>
      <c r="BN297" s="1125"/>
      <c r="BO297" s="1126"/>
      <c r="BP297" s="936"/>
      <c r="BS297" s="936"/>
      <c r="CH297" s="936"/>
      <c r="CI297" s="938"/>
    </row>
    <row r="298" spans="2:87" s="370" customFormat="1" ht="15" collapsed="1">
      <c r="B298" s="783" t="s">
        <v>1537</v>
      </c>
      <c r="C298" s="784"/>
      <c r="D298" s="785"/>
      <c r="E298" s="786"/>
      <c r="F298" s="787"/>
      <c r="G298" s="787"/>
      <c r="H298" s="788" t="s">
        <v>30</v>
      </c>
      <c r="I298" s="789" t="s">
        <v>1162</v>
      </c>
      <c r="J298" s="790" t="s">
        <v>1071</v>
      </c>
      <c r="K298" s="786" t="s">
        <v>1072</v>
      </c>
      <c r="L298" s="787" t="s">
        <v>21</v>
      </c>
      <c r="M298" s="791" t="s">
        <v>82</v>
      </c>
      <c r="N298" s="839" t="s">
        <v>1163</v>
      </c>
      <c r="O298" s="786" t="s">
        <v>1154</v>
      </c>
      <c r="P298" s="790" t="s">
        <v>1164</v>
      </c>
      <c r="Q298" s="793" t="s">
        <v>34</v>
      </c>
      <c r="R298" s="791">
        <f>R$219+R$227+R$235+R$243+R$251</f>
        <v>1</v>
      </c>
      <c r="S298" s="793" t="s">
        <v>13</v>
      </c>
      <c r="T298" s="794" t="s">
        <v>128</v>
      </c>
      <c r="U298" s="794" t="s">
        <v>111</v>
      </c>
      <c r="V298" s="795" t="s">
        <v>32</v>
      </c>
      <c r="W298" s="796" t="s">
        <v>33</v>
      </c>
      <c r="X298" s="797"/>
      <c r="Y298" s="798"/>
      <c r="Z298" s="799"/>
      <c r="AA298" s="800" t="str">
        <f>+AA$2</f>
        <v>SCU75M1</v>
      </c>
      <c r="AB298" s="747"/>
      <c r="AC298" s="801" t="str">
        <f>+AC$2</f>
        <v>SCU75M1</v>
      </c>
      <c r="AD298" s="801" t="str">
        <f>+AD$2</f>
        <v>SCU100M1</v>
      </c>
      <c r="AE298" s="801" t="str">
        <f>+AE$2</f>
        <v>SCU125M1</v>
      </c>
      <c r="AF298" s="802" t="str">
        <f>+AF$2</f>
        <v>SCU150M1</v>
      </c>
      <c r="AH298" s="521"/>
      <c r="AJ298" s="483"/>
      <c r="AK298" s="522"/>
      <c r="AL298" s="401"/>
      <c r="AM298" s="523"/>
      <c r="AO298" s="521"/>
      <c r="AQ298" s="2143" t="str">
        <f>+B298</f>
        <v>COMPRESSOR: Scroll In Line Components</v>
      </c>
      <c r="AR298" s="2144"/>
      <c r="AS298" s="2144"/>
      <c r="AT298" s="2145"/>
      <c r="AV298" s="521"/>
      <c r="AX298" s="2143" t="str">
        <f>+AQ298</f>
        <v>COMPRESSOR: Scroll In Line Components</v>
      </c>
      <c r="AY298" s="2144"/>
      <c r="AZ298" s="2144"/>
      <c r="BA298" s="2144"/>
      <c r="BB298" s="2144"/>
      <c r="BC298" s="2144"/>
      <c r="BD298" s="2145"/>
      <c r="BF298" s="524"/>
      <c r="BG298" s="395"/>
      <c r="BH298" s="2143" t="str">
        <f>+AX298</f>
        <v>COMPRESSOR: Scroll In Line Components</v>
      </c>
      <c r="BI298" s="2144"/>
      <c r="BJ298" s="2144"/>
      <c r="BK298" s="2144"/>
      <c r="BL298" s="2144"/>
      <c r="BM298" s="2144"/>
      <c r="BN298" s="2144"/>
      <c r="BO298" s="2145"/>
      <c r="BP298" s="395"/>
      <c r="BQ298" s="369"/>
      <c r="BR298" s="369"/>
      <c r="BS298" s="395"/>
      <c r="BT298" s="369"/>
      <c r="BU298" s="369"/>
      <c r="BV298" s="369"/>
      <c r="BW298" s="369"/>
      <c r="BX298" s="369"/>
      <c r="BY298" s="369"/>
      <c r="CH298" s="395"/>
      <c r="CI298" s="511"/>
    </row>
    <row r="299" spans="2:87" s="370" customFormat="1" ht="15">
      <c r="B299" s="895" t="s">
        <v>1538</v>
      </c>
      <c r="C299" s="896"/>
      <c r="D299" s="897"/>
      <c r="E299" s="898"/>
      <c r="F299" s="899"/>
      <c r="G299" s="899"/>
      <c r="H299" s="900"/>
      <c r="I299" s="901"/>
      <c r="J299" s="902"/>
      <c r="K299" s="898"/>
      <c r="L299" s="899"/>
      <c r="M299" s="903"/>
      <c r="N299" s="904"/>
      <c r="O299" s="898"/>
      <c r="P299" s="902"/>
      <c r="Q299" s="905"/>
      <c r="R299" s="894">
        <f>IF(AND(L$8=1,R$298=1),1,0)</f>
        <v>0</v>
      </c>
      <c r="S299" s="905"/>
      <c r="T299" s="906"/>
      <c r="U299" s="906"/>
      <c r="V299" s="907"/>
      <c r="W299" s="908"/>
      <c r="X299" s="909"/>
      <c r="Y299" s="910">
        <f>SUM(Y300:Y303)</f>
        <v>0</v>
      </c>
      <c r="Z299" s="1069">
        <f>SUM(Z300:Z303)</f>
        <v>0</v>
      </c>
      <c r="AA299" s="911"/>
      <c r="AB299" s="747"/>
      <c r="AC299" s="912"/>
      <c r="AD299" s="912"/>
      <c r="AE299" s="912"/>
      <c r="AF299" s="913"/>
      <c r="AH299" s="521"/>
      <c r="AJ299" s="483"/>
      <c r="AK299" s="522">
        <f>SUM(AJ300:AJ303)</f>
        <v>0</v>
      </c>
      <c r="AL299" s="401"/>
      <c r="AM299" s="523">
        <f>SUM(AL300:AL303)</f>
        <v>0</v>
      </c>
      <c r="AO299" s="521"/>
      <c r="AQ299" s="914" t="str">
        <f>+B299</f>
        <v>- Suction Accummulator</v>
      </c>
      <c r="AR299" s="1070" t="s">
        <v>1539</v>
      </c>
      <c r="AS299" s="1071" t="s">
        <v>97</v>
      </c>
      <c r="AT299" s="915" t="s">
        <v>1345</v>
      </c>
      <c r="AV299" s="521"/>
      <c r="AX299" s="918" t="s">
        <v>1433</v>
      </c>
      <c r="AY299" s="919" t="s">
        <v>1436</v>
      </c>
      <c r="AZ299" s="960"/>
      <c r="BA299" s="960"/>
      <c r="BB299" s="960"/>
      <c r="BC299" s="960"/>
      <c r="BD299" s="961"/>
      <c r="BF299" s="524"/>
      <c r="BG299" s="395"/>
      <c r="BH299" s="918" t="s">
        <v>1540</v>
      </c>
      <c r="BI299" s="1127" t="s">
        <v>1541</v>
      </c>
      <c r="BJ299" s="919" t="s">
        <v>1542</v>
      </c>
      <c r="BK299" s="919" t="s">
        <v>1543</v>
      </c>
      <c r="BL299" s="919" t="s">
        <v>1544</v>
      </c>
      <c r="BM299" s="919" t="s">
        <v>734</v>
      </c>
      <c r="BN299" s="919" t="s">
        <v>1545</v>
      </c>
      <c r="BO299" s="920"/>
      <c r="BP299" s="395"/>
      <c r="BQ299" s="369"/>
      <c r="BR299" s="395"/>
      <c r="BS299" s="369"/>
      <c r="BT299" s="369"/>
      <c r="BU299" s="369"/>
      <c r="BV299" s="369"/>
      <c r="BW299" s="369"/>
      <c r="BX299" s="369"/>
      <c r="BY299" s="369"/>
      <c r="CH299" s="395"/>
      <c r="CI299" s="524"/>
    </row>
    <row r="300" spans="2:87" s="747" customFormat="1" ht="13.9" hidden="1" customHeight="1" outlineLevel="1">
      <c r="B300" s="921" t="str">
        <f t="shared" ref="B300:B303" si="294">"Suction Accummulator "&amp;AQ300&amp;"- "&amp;AR300</f>
        <v>Suction Accummulator 7.5hp: ZR94KCE-TFD- RA211</v>
      </c>
      <c r="C300" s="922" t="s">
        <v>1546</v>
      </c>
      <c r="D300" s="923"/>
      <c r="E300" s="808"/>
      <c r="F300" s="809"/>
      <c r="G300" s="809"/>
      <c r="H300" s="924" t="s">
        <v>100</v>
      </c>
      <c r="J300" s="828"/>
      <c r="K300" s="808"/>
      <c r="L300" s="809"/>
      <c r="M300" s="860">
        <v>1</v>
      </c>
      <c r="N300" s="813">
        <f t="shared" ref="N300:N303" si="295">IF(I300&gt;0,22/28*((I300/1000)^2-(I300/1000-2*J300/1000)^2)*K300/1000,IF(J300&gt;0,J300/1000*K300/1000*L300/1000, IF(K300&gt;0,K300/1000*L300/1000, IF(L300=0,1,L300/1000))))</f>
        <v>1</v>
      </c>
      <c r="O300" s="814">
        <v>1</v>
      </c>
      <c r="P300" s="811">
        <f t="shared" ref="P300:P303" si="296">M300*N300*O300</f>
        <v>1</v>
      </c>
      <c r="Q300" s="815">
        <v>1</v>
      </c>
      <c r="R300" s="505">
        <f t="shared" ref="R300:R303" si="297">+R$299</f>
        <v>0</v>
      </c>
      <c r="S300" s="815">
        <f t="shared" si="278"/>
        <v>0</v>
      </c>
      <c r="T300" s="925" t="s">
        <v>46</v>
      </c>
      <c r="U300" s="1128"/>
      <c r="V300" s="927">
        <f t="shared" ref="V300:V303" si="298">1/VLOOKUP(T300,Y$12:Z$18,2,FALSE)</f>
        <v>1</v>
      </c>
      <c r="W300" s="926">
        <v>1</v>
      </c>
      <c r="X300" s="820"/>
      <c r="Y300" s="928">
        <f t="shared" ref="Y300:Y303" si="299">+P300*R300*AA300*X300</f>
        <v>0</v>
      </c>
      <c r="Z300" s="929">
        <f t="shared" ref="Z300:Z303" si="300">S300*U300*V300*W300</f>
        <v>0</v>
      </c>
      <c r="AA300" s="823">
        <v>1</v>
      </c>
      <c r="AC300" s="457">
        <v>1</v>
      </c>
      <c r="AD300" s="457"/>
      <c r="AE300" s="457"/>
      <c r="AF300" s="457"/>
      <c r="AG300" s="824"/>
      <c r="AH300" s="827"/>
      <c r="AI300" s="824"/>
      <c r="AJ300" s="828">
        <f t="shared" ref="AJ300:AJ303" si="301">+Y300</f>
        <v>0</v>
      </c>
      <c r="AK300" s="862"/>
      <c r="AL300" s="828">
        <f t="shared" ref="AL300:AL303" si="302">+Z300</f>
        <v>0</v>
      </c>
      <c r="AM300" s="862"/>
      <c r="AN300" s="824"/>
      <c r="AO300" s="827"/>
      <c r="AQ300" s="930" t="s">
        <v>1459</v>
      </c>
      <c r="AR300" s="930" t="s">
        <v>1547</v>
      </c>
      <c r="AS300" s="1054"/>
      <c r="AT300" s="931"/>
      <c r="AV300" s="827"/>
      <c r="AX300" s="505">
        <v>23</v>
      </c>
      <c r="AY300" s="1022">
        <v>1.125</v>
      </c>
      <c r="BD300" s="964"/>
      <c r="BF300" s="830"/>
      <c r="BG300" s="936"/>
      <c r="BH300" s="1129" t="s">
        <v>1548</v>
      </c>
      <c r="BI300" s="1104">
        <v>1.375</v>
      </c>
      <c r="BJ300" s="1105">
        <v>6.5</v>
      </c>
      <c r="BK300" s="1105">
        <v>20.87</v>
      </c>
      <c r="BL300" s="1105">
        <v>9.9</v>
      </c>
      <c r="BM300" s="1109"/>
      <c r="BN300" s="1109"/>
      <c r="BO300" s="1112"/>
      <c r="BP300" s="936"/>
      <c r="BR300" s="936"/>
      <c r="CH300" s="936"/>
      <c r="CI300" s="830"/>
    </row>
    <row r="301" spans="2:87" s="747" customFormat="1" ht="13.9" hidden="1" customHeight="1" outlineLevel="1">
      <c r="B301" s="921" t="str">
        <f t="shared" si="294"/>
        <v>Suction Accummulator 10.0hp: ZR125KCE-TFD- RA213</v>
      </c>
      <c r="C301" s="922" t="s">
        <v>1549</v>
      </c>
      <c r="D301" s="923"/>
      <c r="E301" s="808"/>
      <c r="F301" s="809"/>
      <c r="G301" s="809"/>
      <c r="H301" s="924" t="s">
        <v>100</v>
      </c>
      <c r="J301" s="828"/>
      <c r="K301" s="808"/>
      <c r="L301" s="809"/>
      <c r="M301" s="860">
        <v>1</v>
      </c>
      <c r="N301" s="813">
        <f t="shared" si="295"/>
        <v>1</v>
      </c>
      <c r="O301" s="814">
        <v>1</v>
      </c>
      <c r="P301" s="811">
        <f t="shared" si="296"/>
        <v>1</v>
      </c>
      <c r="Q301" s="815">
        <v>1</v>
      </c>
      <c r="R301" s="505">
        <f t="shared" si="297"/>
        <v>0</v>
      </c>
      <c r="S301" s="815">
        <f t="shared" si="278"/>
        <v>0</v>
      </c>
      <c r="T301" s="925" t="s">
        <v>46</v>
      </c>
      <c r="U301" s="1128"/>
      <c r="V301" s="927">
        <f t="shared" si="298"/>
        <v>1</v>
      </c>
      <c r="W301" s="926">
        <v>1</v>
      </c>
      <c r="X301" s="820"/>
      <c r="Y301" s="928">
        <f t="shared" si="299"/>
        <v>0</v>
      </c>
      <c r="Z301" s="929">
        <f t="shared" si="300"/>
        <v>0</v>
      </c>
      <c r="AA301" s="823"/>
      <c r="AC301" s="457"/>
      <c r="AD301" s="457">
        <v>1</v>
      </c>
      <c r="AE301" s="457"/>
      <c r="AF301" s="457"/>
      <c r="AG301" s="824"/>
      <c r="AH301" s="827"/>
      <c r="AI301" s="824"/>
      <c r="AJ301" s="828">
        <f t="shared" si="301"/>
        <v>0</v>
      </c>
      <c r="AK301" s="862"/>
      <c r="AL301" s="828">
        <f t="shared" si="302"/>
        <v>0</v>
      </c>
      <c r="AM301" s="862"/>
      <c r="AN301" s="824"/>
      <c r="AO301" s="827"/>
      <c r="AQ301" s="930" t="s">
        <v>1461</v>
      </c>
      <c r="AR301" s="930" t="s">
        <v>1548</v>
      </c>
      <c r="AS301" s="1054"/>
      <c r="AT301" s="931"/>
      <c r="AV301" s="827"/>
      <c r="AX301" s="505">
        <v>30.2</v>
      </c>
      <c r="AY301" s="1022">
        <v>1.375</v>
      </c>
      <c r="BD301" s="964"/>
      <c r="BF301" s="830"/>
      <c r="BG301" s="936"/>
      <c r="BH301" s="1129" t="s">
        <v>1550</v>
      </c>
      <c r="BI301" s="1104">
        <v>2.125</v>
      </c>
      <c r="BJ301" s="1105">
        <v>8.5</v>
      </c>
      <c r="BK301" s="1105">
        <v>29.53</v>
      </c>
      <c r="BL301" s="1105">
        <v>24.2</v>
      </c>
      <c r="BM301" s="1109"/>
      <c r="BN301" s="1109"/>
      <c r="BO301" s="1112"/>
      <c r="BP301" s="936"/>
      <c r="BR301" s="936"/>
      <c r="CH301" s="936"/>
      <c r="CI301" s="830"/>
    </row>
    <row r="302" spans="2:87" s="747" customFormat="1" ht="13.9" hidden="1" customHeight="1" outlineLevel="1">
      <c r="B302" s="921" t="str">
        <f t="shared" si="294"/>
        <v>Suction Accummulator 12.5hp: ZR144KCE-TFD- RA213</v>
      </c>
      <c r="C302" s="922" t="s">
        <v>1551</v>
      </c>
      <c r="D302" s="923"/>
      <c r="E302" s="808"/>
      <c r="F302" s="809"/>
      <c r="G302" s="809"/>
      <c r="H302" s="924" t="s">
        <v>100</v>
      </c>
      <c r="J302" s="828"/>
      <c r="K302" s="808"/>
      <c r="L302" s="809"/>
      <c r="M302" s="860">
        <v>1</v>
      </c>
      <c r="N302" s="813">
        <f t="shared" si="295"/>
        <v>1</v>
      </c>
      <c r="O302" s="814">
        <v>1</v>
      </c>
      <c r="P302" s="811">
        <f t="shared" si="296"/>
        <v>1</v>
      </c>
      <c r="Q302" s="815">
        <v>1</v>
      </c>
      <c r="R302" s="505">
        <f t="shared" si="297"/>
        <v>0</v>
      </c>
      <c r="S302" s="815">
        <f t="shared" si="278"/>
        <v>0</v>
      </c>
      <c r="T302" s="925" t="s">
        <v>46</v>
      </c>
      <c r="U302" s="1128"/>
      <c r="V302" s="927">
        <f t="shared" si="298"/>
        <v>1</v>
      </c>
      <c r="W302" s="926">
        <v>1</v>
      </c>
      <c r="X302" s="820"/>
      <c r="Y302" s="928">
        <f t="shared" si="299"/>
        <v>0</v>
      </c>
      <c r="Z302" s="929">
        <f t="shared" si="300"/>
        <v>0</v>
      </c>
      <c r="AA302" s="823"/>
      <c r="AC302" s="457"/>
      <c r="AD302" s="457"/>
      <c r="AE302" s="457">
        <v>1</v>
      </c>
      <c r="AF302" s="457"/>
      <c r="AG302" s="824"/>
      <c r="AH302" s="827"/>
      <c r="AI302" s="824"/>
      <c r="AJ302" s="828">
        <f t="shared" si="301"/>
        <v>0</v>
      </c>
      <c r="AK302" s="862"/>
      <c r="AL302" s="828">
        <f t="shared" si="302"/>
        <v>0</v>
      </c>
      <c r="AM302" s="862"/>
      <c r="AN302" s="824"/>
      <c r="AO302" s="827"/>
      <c r="AQ302" s="930" t="s">
        <v>1463</v>
      </c>
      <c r="AR302" s="930" t="s">
        <v>1548</v>
      </c>
      <c r="AS302" s="1054"/>
      <c r="AT302" s="931"/>
      <c r="AV302" s="827"/>
      <c r="AX302" s="505">
        <v>34.6</v>
      </c>
      <c r="AY302" s="1022">
        <v>1.375</v>
      </c>
      <c r="BD302" s="964"/>
      <c r="BF302" s="830"/>
      <c r="BG302" s="936"/>
      <c r="BH302" s="1129" t="s">
        <v>1552</v>
      </c>
      <c r="BI302" s="1104">
        <v>2.625</v>
      </c>
      <c r="BJ302" s="1105">
        <v>10.75</v>
      </c>
      <c r="BK302" s="1105">
        <v>25.6</v>
      </c>
      <c r="BL302" s="1105">
        <v>33.4</v>
      </c>
      <c r="BM302" s="1109"/>
      <c r="BN302" s="1109"/>
      <c r="BO302" s="1112"/>
      <c r="BP302" s="936"/>
      <c r="BR302" s="936"/>
      <c r="CH302" s="936"/>
      <c r="CI302" s="830"/>
    </row>
    <row r="303" spans="2:87" s="747" customFormat="1" ht="13.9" hidden="1" customHeight="1" outlineLevel="1">
      <c r="B303" s="921" t="str">
        <f t="shared" si="294"/>
        <v>Suction Accummulator 15.0hp: ZR190KCE-TFD- RA213</v>
      </c>
      <c r="C303" s="922" t="s">
        <v>1553</v>
      </c>
      <c r="D303" s="923"/>
      <c r="E303" s="808"/>
      <c r="F303" s="809"/>
      <c r="G303" s="809"/>
      <c r="H303" s="924" t="s">
        <v>100</v>
      </c>
      <c r="J303" s="828"/>
      <c r="K303" s="808"/>
      <c r="L303" s="809"/>
      <c r="M303" s="860">
        <v>1</v>
      </c>
      <c r="N303" s="813">
        <f t="shared" si="295"/>
        <v>1</v>
      </c>
      <c r="O303" s="814">
        <v>1</v>
      </c>
      <c r="P303" s="811">
        <f t="shared" si="296"/>
        <v>1</v>
      </c>
      <c r="Q303" s="815">
        <v>1</v>
      </c>
      <c r="R303" s="505">
        <f t="shared" si="297"/>
        <v>0</v>
      </c>
      <c r="S303" s="815">
        <f t="shared" si="278"/>
        <v>0</v>
      </c>
      <c r="T303" s="925" t="s">
        <v>46</v>
      </c>
      <c r="U303" s="1128"/>
      <c r="V303" s="927">
        <f t="shared" si="298"/>
        <v>1</v>
      </c>
      <c r="W303" s="926">
        <v>1</v>
      </c>
      <c r="X303" s="820"/>
      <c r="Y303" s="928">
        <f t="shared" si="299"/>
        <v>0</v>
      </c>
      <c r="Z303" s="929">
        <f t="shared" si="300"/>
        <v>0</v>
      </c>
      <c r="AA303" s="823"/>
      <c r="AC303" s="457"/>
      <c r="AD303" s="457"/>
      <c r="AE303" s="457"/>
      <c r="AF303" s="457">
        <v>1</v>
      </c>
      <c r="AG303" s="824"/>
      <c r="AH303" s="827"/>
      <c r="AI303" s="824"/>
      <c r="AJ303" s="828">
        <f t="shared" si="301"/>
        <v>0</v>
      </c>
      <c r="AK303" s="862"/>
      <c r="AL303" s="828">
        <f t="shared" si="302"/>
        <v>0</v>
      </c>
      <c r="AM303" s="862"/>
      <c r="AN303" s="824"/>
      <c r="AO303" s="827"/>
      <c r="AQ303" s="930" t="s">
        <v>1465</v>
      </c>
      <c r="AR303" s="930" t="s">
        <v>1548</v>
      </c>
      <c r="AS303" s="1054"/>
      <c r="AT303" s="931"/>
      <c r="AV303" s="827"/>
      <c r="AX303" s="505">
        <v>44</v>
      </c>
      <c r="AY303" s="1022">
        <v>1.375</v>
      </c>
      <c r="BD303" s="964"/>
      <c r="BF303" s="830"/>
      <c r="BG303" s="936"/>
      <c r="BH303" s="1129"/>
      <c r="BI303" s="1104"/>
      <c r="BJ303" s="1105"/>
      <c r="BK303" s="1105"/>
      <c r="BL303" s="1105"/>
      <c r="BM303" s="1109"/>
      <c r="BN303" s="1109"/>
      <c r="BO303" s="1112"/>
      <c r="BP303" s="936"/>
      <c r="BR303" s="936"/>
      <c r="CH303" s="936"/>
      <c r="CI303" s="830"/>
    </row>
    <row r="304" spans="2:87" s="370" customFormat="1" ht="15" collapsed="1">
      <c r="B304" s="1130" t="s">
        <v>1554</v>
      </c>
      <c r="C304" s="1131"/>
      <c r="D304" s="1132"/>
      <c r="E304" s="1133"/>
      <c r="F304" s="1134"/>
      <c r="G304" s="1134"/>
      <c r="H304" s="1135"/>
      <c r="I304" s="1136"/>
      <c r="J304" s="1137"/>
      <c r="K304" s="1133"/>
      <c r="L304" s="1134"/>
      <c r="M304" s="1138"/>
      <c r="N304" s="1139"/>
      <c r="O304" s="1133"/>
      <c r="P304" s="1137"/>
      <c r="Q304" s="1140"/>
      <c r="R304" s="1141">
        <f>IF(AND(M$8=1,R$298=1),1,0)</f>
        <v>0</v>
      </c>
      <c r="S304" s="1140"/>
      <c r="T304" s="1142"/>
      <c r="U304" s="1142"/>
      <c r="V304" s="1143"/>
      <c r="W304" s="1144"/>
      <c r="X304" s="454"/>
      <c r="Y304" s="1145">
        <f>SUM(Y305:Y308)</f>
        <v>0</v>
      </c>
      <c r="Z304" s="1146">
        <f>SUM(Z305:Z308)</f>
        <v>0</v>
      </c>
      <c r="AA304" s="1147"/>
      <c r="AB304" s="747"/>
      <c r="AC304" s="1148"/>
      <c r="AD304" s="1148"/>
      <c r="AE304" s="1148"/>
      <c r="AF304" s="1149"/>
      <c r="AH304" s="521"/>
      <c r="AJ304" s="483"/>
      <c r="AK304" s="522">
        <f>SUM(AJ305:AJ308)</f>
        <v>0</v>
      </c>
      <c r="AL304" s="401"/>
      <c r="AM304" s="523">
        <f>SUM(AL305:AL308)</f>
        <v>0</v>
      </c>
      <c r="AO304" s="521"/>
      <c r="AQ304" s="914" t="str">
        <f>+B304</f>
        <v>- Filter Drier</v>
      </c>
      <c r="AR304" s="1070" t="s">
        <v>1555</v>
      </c>
      <c r="AS304" s="1071" t="s">
        <v>97</v>
      </c>
      <c r="AT304" s="915" t="s">
        <v>1345</v>
      </c>
      <c r="AV304" s="521"/>
      <c r="AX304" s="918" t="s">
        <v>1433</v>
      </c>
      <c r="AY304" s="919" t="s">
        <v>1438</v>
      </c>
      <c r="AZ304" s="960"/>
      <c r="BA304" s="960"/>
      <c r="BB304" s="960"/>
      <c r="BC304" s="960"/>
      <c r="BD304" s="961"/>
      <c r="BF304" s="524"/>
      <c r="BG304" s="395"/>
      <c r="BH304" s="918" t="s">
        <v>1555</v>
      </c>
      <c r="BI304" s="1127" t="s">
        <v>1556</v>
      </c>
      <c r="BJ304" s="919" t="s">
        <v>1152</v>
      </c>
      <c r="BK304" s="919" t="s">
        <v>1544</v>
      </c>
      <c r="BL304" s="919"/>
      <c r="BM304" s="919" t="s">
        <v>734</v>
      </c>
      <c r="BN304" s="919" t="s">
        <v>1545</v>
      </c>
      <c r="BO304" s="940"/>
      <c r="BP304" s="369"/>
      <c r="BQ304" s="369"/>
      <c r="BR304" s="369"/>
      <c r="BS304" s="369"/>
      <c r="BT304" s="369"/>
      <c r="BU304" s="369"/>
      <c r="BV304" s="369"/>
      <c r="BY304" s="395"/>
      <c r="CH304" s="369"/>
      <c r="CI304" s="524"/>
    </row>
    <row r="305" spans="2:87" s="747" customFormat="1" ht="13.9" hidden="1" customHeight="1" outlineLevel="1">
      <c r="B305" s="921" t="str">
        <f t="shared" ref="B305:B308" si="303">"Filter Drier "&amp;AQ305&amp;" - "&amp;AR305</f>
        <v>Filter Drier 7.5hp: ZR94KCE-TFD - DML34s</v>
      </c>
      <c r="C305" s="922"/>
      <c r="D305" s="923"/>
      <c r="E305" s="808"/>
      <c r="F305" s="809"/>
      <c r="G305" s="809"/>
      <c r="H305" s="924" t="s">
        <v>100</v>
      </c>
      <c r="J305" s="828"/>
      <c r="K305" s="808"/>
      <c r="L305" s="809"/>
      <c r="M305" s="860">
        <v>1</v>
      </c>
      <c r="N305" s="813">
        <f t="shared" ref="N305:N313" si="304">IF(I305&gt;0,22/28*((I305/1000)^2-(I305/1000-2*J305/1000)^2)*K305/1000,IF(J305&gt;0,J305/1000*K305/1000*L305/1000, IF(K305&gt;0,K305/1000*L305/1000, IF(L305=0,1,L305/1000))))</f>
        <v>1</v>
      </c>
      <c r="O305" s="814">
        <v>1</v>
      </c>
      <c r="P305" s="811">
        <f t="shared" ref="P305:P313" si="305">M305*N305*O305</f>
        <v>1</v>
      </c>
      <c r="Q305" s="815">
        <v>1</v>
      </c>
      <c r="R305" s="505">
        <f t="shared" ref="R305:R308" si="306">+R$304</f>
        <v>0</v>
      </c>
      <c r="S305" s="815">
        <f t="shared" si="278"/>
        <v>0</v>
      </c>
      <c r="T305" s="925" t="s">
        <v>46</v>
      </c>
      <c r="U305" s="1128"/>
      <c r="V305" s="927">
        <f t="shared" ref="V305:V313" si="307">1/VLOOKUP(T305,Y$12:Z$18,2,FALSE)</f>
        <v>1</v>
      </c>
      <c r="W305" s="926">
        <v>1</v>
      </c>
      <c r="X305" s="820">
        <v>0.23</v>
      </c>
      <c r="Y305" s="928">
        <f t="shared" ref="Y305:Y308" si="308">+P305*R305*AA305*X305</f>
        <v>0</v>
      </c>
      <c r="Z305" s="929">
        <f t="shared" ref="Z305:Z308" si="309">S305*U305*V305*W305</f>
        <v>0</v>
      </c>
      <c r="AA305" s="823">
        <v>1</v>
      </c>
      <c r="AC305" s="457">
        <v>1</v>
      </c>
      <c r="AD305" s="457"/>
      <c r="AE305" s="457"/>
      <c r="AF305" s="457"/>
      <c r="AG305" s="824"/>
      <c r="AH305" s="827"/>
      <c r="AI305" s="824"/>
      <c r="AJ305" s="828">
        <f t="shared" ref="AJ305:AJ328" si="310">+Y305</f>
        <v>0</v>
      </c>
      <c r="AK305" s="862"/>
      <c r="AL305" s="828">
        <f t="shared" ref="AL305:AL328" si="311">+Z305</f>
        <v>0</v>
      </c>
      <c r="AM305" s="862"/>
      <c r="AN305" s="824"/>
      <c r="AO305" s="827"/>
      <c r="AQ305" s="930" t="s">
        <v>1459</v>
      </c>
      <c r="AR305" s="930" t="s">
        <v>1557</v>
      </c>
      <c r="AS305" s="1054">
        <v>0.23</v>
      </c>
      <c r="AT305" s="1150"/>
      <c r="AV305" s="827"/>
      <c r="AX305" s="505">
        <v>23</v>
      </c>
      <c r="AY305" s="1022">
        <v>0.5</v>
      </c>
      <c r="BD305" s="964"/>
      <c r="BF305" s="830"/>
      <c r="BG305" s="936"/>
      <c r="BH305" s="1129"/>
      <c r="BI305" s="1104"/>
      <c r="BJ305" s="1105"/>
      <c r="BK305" s="1105"/>
      <c r="BL305" s="1105"/>
      <c r="BM305" s="1105"/>
      <c r="BN305" s="1151"/>
      <c r="BO305" s="1112"/>
      <c r="BP305" s="936"/>
      <c r="BR305" s="936"/>
      <c r="CH305" s="936"/>
      <c r="CI305" s="830"/>
    </row>
    <row r="306" spans="2:87" s="747" customFormat="1" ht="13.9" hidden="1" customHeight="1" outlineLevel="1">
      <c r="B306" s="921" t="str">
        <f t="shared" si="303"/>
        <v>Filter Drier 10.0hp: ZR125KCE-TFD - DML55s</v>
      </c>
      <c r="C306" s="922"/>
      <c r="D306" s="923"/>
      <c r="E306" s="808"/>
      <c r="F306" s="809"/>
      <c r="G306" s="809"/>
      <c r="H306" s="924" t="s">
        <v>100</v>
      </c>
      <c r="J306" s="828"/>
      <c r="K306" s="808"/>
      <c r="L306" s="809"/>
      <c r="M306" s="860">
        <v>1</v>
      </c>
      <c r="N306" s="813">
        <f t="shared" si="304"/>
        <v>1</v>
      </c>
      <c r="O306" s="814">
        <v>1</v>
      </c>
      <c r="P306" s="811">
        <f t="shared" si="305"/>
        <v>1</v>
      </c>
      <c r="Q306" s="815">
        <v>1</v>
      </c>
      <c r="R306" s="505">
        <f t="shared" si="306"/>
        <v>0</v>
      </c>
      <c r="S306" s="815">
        <f t="shared" si="278"/>
        <v>0</v>
      </c>
      <c r="T306" s="925" t="s">
        <v>46</v>
      </c>
      <c r="U306" s="1128"/>
      <c r="V306" s="927">
        <f t="shared" si="307"/>
        <v>1</v>
      </c>
      <c r="W306" s="926">
        <v>1</v>
      </c>
      <c r="X306" s="820">
        <v>0.42</v>
      </c>
      <c r="Y306" s="928">
        <f t="shared" si="308"/>
        <v>0</v>
      </c>
      <c r="Z306" s="929">
        <f t="shared" si="309"/>
        <v>0</v>
      </c>
      <c r="AA306" s="823"/>
      <c r="AC306" s="457"/>
      <c r="AD306" s="457">
        <v>1</v>
      </c>
      <c r="AE306" s="457"/>
      <c r="AF306" s="457"/>
      <c r="AG306" s="824"/>
      <c r="AH306" s="827"/>
      <c r="AI306" s="824"/>
      <c r="AJ306" s="828">
        <f t="shared" si="310"/>
        <v>0</v>
      </c>
      <c r="AK306" s="862"/>
      <c r="AL306" s="828">
        <f t="shared" si="311"/>
        <v>0</v>
      </c>
      <c r="AM306" s="862"/>
      <c r="AN306" s="824"/>
      <c r="AO306" s="827"/>
      <c r="AQ306" s="930" t="s">
        <v>1461</v>
      </c>
      <c r="AR306" s="930" t="s">
        <v>1558</v>
      </c>
      <c r="AS306" s="1054">
        <v>0.42</v>
      </c>
      <c r="AT306" s="1150"/>
      <c r="AV306" s="827"/>
      <c r="AX306" s="505">
        <v>30.2</v>
      </c>
      <c r="AY306" s="1022">
        <v>0.625</v>
      </c>
      <c r="BD306" s="964"/>
      <c r="BF306" s="830"/>
      <c r="BG306" s="936"/>
      <c r="BH306" s="1129"/>
      <c r="BI306" s="1104"/>
      <c r="BJ306" s="1105"/>
      <c r="BK306" s="1105"/>
      <c r="BL306" s="1105"/>
      <c r="BM306" s="1105"/>
      <c r="BN306" s="1151"/>
      <c r="BO306" s="1112"/>
      <c r="BP306" s="936"/>
      <c r="BR306" s="936"/>
      <c r="CH306" s="936"/>
      <c r="CI306" s="830"/>
    </row>
    <row r="307" spans="2:87" s="747" customFormat="1" ht="13.9" hidden="1" customHeight="1" outlineLevel="1">
      <c r="B307" s="921" t="str">
        <f t="shared" si="303"/>
        <v>Filter Drier 12.5hp: ZR144KCE-TFD - DML166s</v>
      </c>
      <c r="C307" s="922"/>
      <c r="D307" s="923"/>
      <c r="E307" s="808"/>
      <c r="F307" s="809"/>
      <c r="G307" s="809"/>
      <c r="H307" s="924" t="s">
        <v>100</v>
      </c>
      <c r="J307" s="828"/>
      <c r="K307" s="808"/>
      <c r="L307" s="809"/>
      <c r="M307" s="860">
        <v>1</v>
      </c>
      <c r="N307" s="813">
        <f t="shared" si="304"/>
        <v>1</v>
      </c>
      <c r="O307" s="814">
        <v>1</v>
      </c>
      <c r="P307" s="811">
        <f t="shared" si="305"/>
        <v>1</v>
      </c>
      <c r="Q307" s="815">
        <v>1</v>
      </c>
      <c r="R307" s="505">
        <f t="shared" si="306"/>
        <v>0</v>
      </c>
      <c r="S307" s="815">
        <f t="shared" si="278"/>
        <v>0</v>
      </c>
      <c r="T307" s="925" t="s">
        <v>46</v>
      </c>
      <c r="U307" s="1128"/>
      <c r="V307" s="927">
        <f t="shared" si="307"/>
        <v>1</v>
      </c>
      <c r="W307" s="926">
        <v>1</v>
      </c>
      <c r="X307" s="820">
        <v>0.99</v>
      </c>
      <c r="Y307" s="928">
        <f t="shared" si="308"/>
        <v>0</v>
      </c>
      <c r="Z307" s="929">
        <f t="shared" si="309"/>
        <v>0</v>
      </c>
      <c r="AA307" s="823"/>
      <c r="AC307" s="457"/>
      <c r="AD307" s="457"/>
      <c r="AE307" s="457">
        <v>1</v>
      </c>
      <c r="AF307" s="457"/>
      <c r="AG307" s="824"/>
      <c r="AH307" s="827"/>
      <c r="AI307" s="824"/>
      <c r="AJ307" s="828">
        <f t="shared" si="310"/>
        <v>0</v>
      </c>
      <c r="AK307" s="862"/>
      <c r="AL307" s="828">
        <f t="shared" si="311"/>
        <v>0</v>
      </c>
      <c r="AM307" s="862"/>
      <c r="AN307" s="824"/>
      <c r="AO307" s="827"/>
      <c r="AQ307" s="930" t="s">
        <v>1463</v>
      </c>
      <c r="AR307" s="930" t="s">
        <v>1559</v>
      </c>
      <c r="AS307" s="1054">
        <v>0.99</v>
      </c>
      <c r="AT307" s="1150"/>
      <c r="AV307" s="827"/>
      <c r="AX307" s="505">
        <v>34.6</v>
      </c>
      <c r="AY307" s="1022">
        <v>0.75</v>
      </c>
      <c r="BD307" s="964"/>
      <c r="BF307" s="830"/>
      <c r="BG307" s="936"/>
      <c r="BH307" s="1129"/>
      <c r="BI307" s="1104"/>
      <c r="BJ307" s="1105"/>
      <c r="BK307" s="1105"/>
      <c r="BL307" s="1105"/>
      <c r="BM307" s="1105"/>
      <c r="BN307" s="1151"/>
      <c r="BO307" s="1112"/>
      <c r="BP307" s="936"/>
      <c r="BR307" s="936"/>
      <c r="CH307" s="936"/>
      <c r="CI307" s="830"/>
    </row>
    <row r="308" spans="2:87" s="747" customFormat="1" ht="13.9" hidden="1" customHeight="1" outlineLevel="1">
      <c r="B308" s="921" t="str">
        <f t="shared" si="303"/>
        <v>Filter Drier 15.0hp: ZR190KCE-TFD - DML166s</v>
      </c>
      <c r="C308" s="922"/>
      <c r="D308" s="923"/>
      <c r="E308" s="808"/>
      <c r="F308" s="809"/>
      <c r="G308" s="809"/>
      <c r="H308" s="924" t="s">
        <v>100</v>
      </c>
      <c r="J308" s="828"/>
      <c r="K308" s="808"/>
      <c r="L308" s="809"/>
      <c r="M308" s="860">
        <v>1</v>
      </c>
      <c r="N308" s="813">
        <f t="shared" si="304"/>
        <v>1</v>
      </c>
      <c r="O308" s="814">
        <v>1</v>
      </c>
      <c r="P308" s="811">
        <f t="shared" si="305"/>
        <v>1</v>
      </c>
      <c r="Q308" s="815">
        <v>1</v>
      </c>
      <c r="R308" s="505">
        <f t="shared" si="306"/>
        <v>0</v>
      </c>
      <c r="S308" s="815">
        <f t="shared" si="278"/>
        <v>0</v>
      </c>
      <c r="T308" s="925" t="s">
        <v>46</v>
      </c>
      <c r="U308" s="1128"/>
      <c r="V308" s="927">
        <f t="shared" si="307"/>
        <v>1</v>
      </c>
      <c r="W308" s="926">
        <v>1</v>
      </c>
      <c r="X308" s="820">
        <v>0.99</v>
      </c>
      <c r="Y308" s="928">
        <f t="shared" si="308"/>
        <v>0</v>
      </c>
      <c r="Z308" s="929">
        <f t="shared" si="309"/>
        <v>0</v>
      </c>
      <c r="AA308" s="823"/>
      <c r="AC308" s="457"/>
      <c r="AD308" s="457"/>
      <c r="AE308" s="457"/>
      <c r="AF308" s="457">
        <v>1</v>
      </c>
      <c r="AG308" s="824"/>
      <c r="AH308" s="827"/>
      <c r="AI308" s="824"/>
      <c r="AJ308" s="828">
        <f t="shared" si="310"/>
        <v>0</v>
      </c>
      <c r="AK308" s="862"/>
      <c r="AL308" s="828">
        <f t="shared" si="311"/>
        <v>0</v>
      </c>
      <c r="AM308" s="862"/>
      <c r="AN308" s="824"/>
      <c r="AO308" s="827"/>
      <c r="AQ308" s="930" t="s">
        <v>1465</v>
      </c>
      <c r="AR308" s="930" t="s">
        <v>1559</v>
      </c>
      <c r="AS308" s="1054">
        <v>0.99</v>
      </c>
      <c r="AT308" s="1150"/>
      <c r="AV308" s="827"/>
      <c r="AX308" s="505">
        <v>44</v>
      </c>
      <c r="AY308" s="1022">
        <v>0.625</v>
      </c>
      <c r="BD308" s="964"/>
      <c r="BF308" s="830"/>
      <c r="BG308" s="936"/>
      <c r="BH308" s="1129"/>
      <c r="BI308" s="1104"/>
      <c r="BJ308" s="1105"/>
      <c r="BK308" s="1105"/>
      <c r="BL308" s="1105"/>
      <c r="BM308" s="1105"/>
      <c r="BN308" s="1151"/>
      <c r="BO308" s="1112"/>
      <c r="BP308" s="936"/>
      <c r="BR308" s="936"/>
      <c r="CH308" s="936"/>
      <c r="CI308" s="830"/>
    </row>
    <row r="309" spans="2:87" s="370" customFormat="1" ht="15" collapsed="1">
      <c r="B309" s="895" t="s">
        <v>1560</v>
      </c>
      <c r="C309" s="896"/>
      <c r="D309" s="897"/>
      <c r="E309" s="898"/>
      <c r="F309" s="899"/>
      <c r="G309" s="899"/>
      <c r="H309" s="900"/>
      <c r="I309" s="901"/>
      <c r="J309" s="902"/>
      <c r="K309" s="898"/>
      <c r="L309" s="899"/>
      <c r="M309" s="903"/>
      <c r="N309" s="904"/>
      <c r="O309" s="898"/>
      <c r="P309" s="902"/>
      <c r="Q309" s="905"/>
      <c r="R309" s="894">
        <f>IF(AND(M$8=1,R$298=1),1,0)</f>
        <v>0</v>
      </c>
      <c r="S309" s="905"/>
      <c r="T309" s="906"/>
      <c r="U309" s="906"/>
      <c r="V309" s="907"/>
      <c r="W309" s="908"/>
      <c r="X309" s="909"/>
      <c r="Y309" s="910">
        <f>SUM(Y310:Y313)</f>
        <v>0</v>
      </c>
      <c r="Z309" s="1069">
        <f>SUM(Z310:Z313)</f>
        <v>0</v>
      </c>
      <c r="AA309" s="911"/>
      <c r="AB309" s="747"/>
      <c r="AC309" s="912"/>
      <c r="AD309" s="912"/>
      <c r="AE309" s="912"/>
      <c r="AF309" s="913"/>
      <c r="AH309" s="521"/>
      <c r="AJ309" s="483"/>
      <c r="AK309" s="522">
        <f>SUM(AJ310:AJ313)</f>
        <v>0</v>
      </c>
      <c r="AL309" s="401"/>
      <c r="AM309" s="523">
        <f>SUM(AL310:AL313)</f>
        <v>0</v>
      </c>
      <c r="AO309" s="521"/>
      <c r="AQ309" s="914" t="str">
        <f>+B309</f>
        <v>- Sight Glass</v>
      </c>
      <c r="AR309" s="1070" t="s">
        <v>1555</v>
      </c>
      <c r="AS309" s="1071" t="s">
        <v>97</v>
      </c>
      <c r="AT309" s="915" t="s">
        <v>1345</v>
      </c>
      <c r="AV309" s="521"/>
      <c r="AX309" s="918" t="s">
        <v>1433</v>
      </c>
      <c r="AY309" s="919" t="s">
        <v>1438</v>
      </c>
      <c r="AZ309" s="960"/>
      <c r="BA309" s="960"/>
      <c r="BB309" s="960"/>
      <c r="BC309" s="960"/>
      <c r="BD309" s="961"/>
      <c r="BF309" s="524"/>
      <c r="BG309" s="395"/>
      <c r="BH309" s="918" t="s">
        <v>1555</v>
      </c>
      <c r="BI309" s="1127" t="s">
        <v>1556</v>
      </c>
      <c r="BJ309" s="919" t="s">
        <v>1152</v>
      </c>
      <c r="BK309" s="919" t="s">
        <v>1544</v>
      </c>
      <c r="BL309" s="919"/>
      <c r="BM309" s="919" t="s">
        <v>734</v>
      </c>
      <c r="BN309" s="919" t="s">
        <v>1545</v>
      </c>
      <c r="BO309" s="940"/>
      <c r="BP309" s="369"/>
      <c r="BQ309" s="369"/>
      <c r="BR309" s="369"/>
      <c r="BS309" s="369"/>
      <c r="BT309" s="369"/>
      <c r="BU309" s="369"/>
      <c r="BV309" s="369"/>
      <c r="BY309" s="395"/>
      <c r="CH309" s="369"/>
      <c r="CI309" s="524"/>
    </row>
    <row r="310" spans="2:87" s="747" customFormat="1" ht="13.9" hidden="1" customHeight="1" outlineLevel="1">
      <c r="B310" s="921" t="str">
        <f t="shared" ref="B310:B313" si="312">"Sight Glass "&amp;AQ310&amp;" - "&amp;AR310</f>
        <v>Sight Glass 7.5hp: ZR94KCE-TFD - SGN 12s</v>
      </c>
      <c r="C310" s="922"/>
      <c r="D310" s="923"/>
      <c r="E310" s="808"/>
      <c r="F310" s="809"/>
      <c r="G310" s="809"/>
      <c r="H310" s="924" t="s">
        <v>100</v>
      </c>
      <c r="J310" s="828"/>
      <c r="K310" s="808"/>
      <c r="L310" s="809"/>
      <c r="M310" s="860">
        <v>1</v>
      </c>
      <c r="N310" s="813">
        <f t="shared" si="304"/>
        <v>1</v>
      </c>
      <c r="O310" s="814">
        <v>1</v>
      </c>
      <c r="P310" s="811">
        <f t="shared" si="305"/>
        <v>1</v>
      </c>
      <c r="Q310" s="815">
        <v>1</v>
      </c>
      <c r="R310" s="505">
        <f t="shared" ref="R310:R313" si="313">+R$309</f>
        <v>0</v>
      </c>
      <c r="S310" s="815">
        <f t="shared" ref="S310:S313" si="314">P310*AA310*Q310*R310</f>
        <v>0</v>
      </c>
      <c r="T310" s="925" t="s">
        <v>46</v>
      </c>
      <c r="U310" s="811">
        <v>6.0839160839160842</v>
      </c>
      <c r="V310" s="927">
        <f t="shared" si="307"/>
        <v>1</v>
      </c>
      <c r="W310" s="926">
        <v>1</v>
      </c>
      <c r="X310" s="820">
        <v>0.2</v>
      </c>
      <c r="Y310" s="928">
        <f t="shared" ref="Y310:Y313" si="315">+P310*R310*AA310*X310</f>
        <v>0</v>
      </c>
      <c r="Z310" s="929">
        <f t="shared" ref="Z310:Z313" si="316">S310*U310*V310*W310</f>
        <v>0</v>
      </c>
      <c r="AA310" s="823">
        <v>1</v>
      </c>
      <c r="AC310" s="457">
        <v>1</v>
      </c>
      <c r="AD310" s="457"/>
      <c r="AE310" s="457"/>
      <c r="AF310" s="457"/>
      <c r="AG310" s="824"/>
      <c r="AH310" s="827"/>
      <c r="AI310" s="824"/>
      <c r="AJ310" s="828">
        <f t="shared" si="310"/>
        <v>0</v>
      </c>
      <c r="AK310" s="862"/>
      <c r="AL310" s="828">
        <f t="shared" si="311"/>
        <v>0</v>
      </c>
      <c r="AM310" s="862"/>
      <c r="AN310" s="824"/>
      <c r="AO310" s="827"/>
      <c r="AQ310" s="930" t="s">
        <v>1459</v>
      </c>
      <c r="AR310" s="930" t="s">
        <v>1561</v>
      </c>
      <c r="AS310" s="1054">
        <v>0.2</v>
      </c>
      <c r="AT310" s="1150">
        <v>6.0839160839160842</v>
      </c>
      <c r="AV310" s="827"/>
      <c r="AX310" s="505">
        <v>23</v>
      </c>
      <c r="AY310" s="1022">
        <v>0.5</v>
      </c>
      <c r="BD310" s="964"/>
      <c r="BF310" s="830"/>
      <c r="BG310" s="936"/>
      <c r="BH310" s="1129"/>
      <c r="BI310" s="1104"/>
      <c r="BJ310" s="1105"/>
      <c r="BK310" s="1105"/>
      <c r="BL310" s="1105"/>
      <c r="BM310" s="1105"/>
      <c r="BN310" s="1151"/>
      <c r="BO310" s="1152"/>
      <c r="BY310" s="936"/>
      <c r="CI310" s="830"/>
    </row>
    <row r="311" spans="2:87" s="747" customFormat="1" ht="13.9" hidden="1" customHeight="1" outlineLevel="1">
      <c r="B311" s="921" t="str">
        <f t="shared" si="312"/>
        <v>Sight Glass 10.0hp: ZR125KCE-TFD - SGN 16s</v>
      </c>
      <c r="C311" s="922"/>
      <c r="D311" s="923"/>
      <c r="E311" s="808"/>
      <c r="F311" s="809"/>
      <c r="G311" s="809"/>
      <c r="H311" s="924" t="s">
        <v>100</v>
      </c>
      <c r="J311" s="828"/>
      <c r="K311" s="808"/>
      <c r="L311" s="809"/>
      <c r="M311" s="860">
        <v>1</v>
      </c>
      <c r="N311" s="813">
        <f t="shared" si="304"/>
        <v>1</v>
      </c>
      <c r="O311" s="814">
        <v>1</v>
      </c>
      <c r="P311" s="811">
        <f t="shared" si="305"/>
        <v>1</v>
      </c>
      <c r="Q311" s="815">
        <v>1</v>
      </c>
      <c r="R311" s="505">
        <f t="shared" si="313"/>
        <v>0</v>
      </c>
      <c r="S311" s="815">
        <f t="shared" si="314"/>
        <v>0</v>
      </c>
      <c r="T311" s="925" t="s">
        <v>46</v>
      </c>
      <c r="U311" s="811">
        <v>8.5314685314685317</v>
      </c>
      <c r="V311" s="927">
        <f t="shared" si="307"/>
        <v>1</v>
      </c>
      <c r="W311" s="926">
        <v>1</v>
      </c>
      <c r="X311" s="820">
        <v>0.2</v>
      </c>
      <c r="Y311" s="928">
        <f t="shared" si="315"/>
        <v>0</v>
      </c>
      <c r="Z311" s="929">
        <f t="shared" si="316"/>
        <v>0</v>
      </c>
      <c r="AA311" s="823"/>
      <c r="AC311" s="457"/>
      <c r="AD311" s="457">
        <v>1</v>
      </c>
      <c r="AE311" s="457"/>
      <c r="AF311" s="457"/>
      <c r="AG311" s="824"/>
      <c r="AH311" s="827"/>
      <c r="AI311" s="824"/>
      <c r="AJ311" s="828">
        <f t="shared" si="310"/>
        <v>0</v>
      </c>
      <c r="AK311" s="862"/>
      <c r="AL311" s="828">
        <f t="shared" si="311"/>
        <v>0</v>
      </c>
      <c r="AM311" s="862"/>
      <c r="AN311" s="824"/>
      <c r="AO311" s="827"/>
      <c r="AQ311" s="930" t="s">
        <v>1461</v>
      </c>
      <c r="AR311" s="930" t="s">
        <v>1562</v>
      </c>
      <c r="AS311" s="1054">
        <v>0.2</v>
      </c>
      <c r="AT311" s="1150">
        <v>8.5314685314685317</v>
      </c>
      <c r="AV311" s="827"/>
      <c r="AX311" s="505">
        <v>30.2</v>
      </c>
      <c r="AY311" s="1022">
        <v>0.625</v>
      </c>
      <c r="BD311" s="964"/>
      <c r="BF311" s="830"/>
      <c r="BG311" s="936"/>
      <c r="BH311" s="1129"/>
      <c r="BI311" s="1104"/>
      <c r="BJ311" s="1105"/>
      <c r="BK311" s="1105"/>
      <c r="BL311" s="1105"/>
      <c r="BM311" s="1105"/>
      <c r="BN311" s="1151"/>
      <c r="BO311" s="1152"/>
      <c r="BY311" s="936"/>
      <c r="CI311" s="830"/>
    </row>
    <row r="312" spans="2:87" s="747" customFormat="1" ht="13.9" hidden="1" customHeight="1" outlineLevel="1">
      <c r="B312" s="921" t="str">
        <f t="shared" si="312"/>
        <v>Sight Glass 12.5hp: ZR144KCE-TFD - SGN 18s</v>
      </c>
      <c r="C312" s="922"/>
      <c r="D312" s="923"/>
      <c r="E312" s="808"/>
      <c r="F312" s="809"/>
      <c r="G312" s="809"/>
      <c r="H312" s="924" t="s">
        <v>100</v>
      </c>
      <c r="J312" s="828"/>
      <c r="K312" s="808"/>
      <c r="L312" s="809"/>
      <c r="M312" s="860">
        <v>1</v>
      </c>
      <c r="N312" s="813">
        <f t="shared" si="304"/>
        <v>1</v>
      </c>
      <c r="O312" s="814">
        <v>1</v>
      </c>
      <c r="P312" s="811">
        <f t="shared" si="305"/>
        <v>1</v>
      </c>
      <c r="Q312" s="815">
        <v>1</v>
      </c>
      <c r="R312" s="505">
        <f t="shared" si="313"/>
        <v>0</v>
      </c>
      <c r="S312" s="815">
        <f t="shared" si="314"/>
        <v>0</v>
      </c>
      <c r="T312" s="925" t="s">
        <v>46</v>
      </c>
      <c r="U312" s="811">
        <v>10.839160839160838</v>
      </c>
      <c r="V312" s="927">
        <f t="shared" si="307"/>
        <v>1</v>
      </c>
      <c r="W312" s="926">
        <v>1</v>
      </c>
      <c r="X312" s="820">
        <v>0.2</v>
      </c>
      <c r="Y312" s="928">
        <f t="shared" si="315"/>
        <v>0</v>
      </c>
      <c r="Z312" s="929">
        <f t="shared" si="316"/>
        <v>0</v>
      </c>
      <c r="AA312" s="823"/>
      <c r="AC312" s="457"/>
      <c r="AD312" s="457"/>
      <c r="AE312" s="457">
        <v>1</v>
      </c>
      <c r="AF312" s="457"/>
      <c r="AG312" s="824"/>
      <c r="AH312" s="827"/>
      <c r="AI312" s="824"/>
      <c r="AJ312" s="828">
        <f t="shared" si="310"/>
        <v>0</v>
      </c>
      <c r="AK312" s="862"/>
      <c r="AL312" s="828">
        <f t="shared" si="311"/>
        <v>0</v>
      </c>
      <c r="AM312" s="862"/>
      <c r="AN312" s="824"/>
      <c r="AO312" s="827"/>
      <c r="AQ312" s="930" t="s">
        <v>1463</v>
      </c>
      <c r="AR312" s="930" t="s">
        <v>1563</v>
      </c>
      <c r="AS312" s="1054">
        <v>0.2</v>
      </c>
      <c r="AT312" s="1150">
        <v>10.839160839160838</v>
      </c>
      <c r="AV312" s="827"/>
      <c r="AX312" s="505">
        <v>34.6</v>
      </c>
      <c r="AY312" s="1022">
        <v>0.75</v>
      </c>
      <c r="BD312" s="964"/>
      <c r="BF312" s="830"/>
      <c r="BG312" s="936"/>
      <c r="BH312" s="1129"/>
      <c r="BI312" s="1104"/>
      <c r="BJ312" s="1105"/>
      <c r="BK312" s="1105"/>
      <c r="BL312" s="1105"/>
      <c r="BM312" s="1105"/>
      <c r="BN312" s="1151"/>
      <c r="BO312" s="1152"/>
      <c r="BY312" s="936"/>
      <c r="CI312" s="830"/>
    </row>
    <row r="313" spans="2:87" s="747" customFormat="1" ht="13.9" hidden="1" customHeight="1" outlineLevel="1">
      <c r="B313" s="921" t="str">
        <f t="shared" si="312"/>
        <v>Sight Glass 15.0hp: ZR190KCE-TFD - SGN 16s</v>
      </c>
      <c r="C313" s="922"/>
      <c r="D313" s="923"/>
      <c r="E313" s="808"/>
      <c r="F313" s="809"/>
      <c r="G313" s="809"/>
      <c r="H313" s="924" t="s">
        <v>100</v>
      </c>
      <c r="J313" s="828"/>
      <c r="K313" s="808"/>
      <c r="L313" s="809"/>
      <c r="M313" s="860">
        <v>1</v>
      </c>
      <c r="N313" s="813">
        <f t="shared" si="304"/>
        <v>1</v>
      </c>
      <c r="O313" s="814">
        <v>1</v>
      </c>
      <c r="P313" s="811">
        <f t="shared" si="305"/>
        <v>1</v>
      </c>
      <c r="Q313" s="815">
        <v>1</v>
      </c>
      <c r="R313" s="505">
        <f t="shared" si="313"/>
        <v>0</v>
      </c>
      <c r="S313" s="815">
        <f t="shared" si="314"/>
        <v>0</v>
      </c>
      <c r="T313" s="925" t="s">
        <v>46</v>
      </c>
      <c r="U313" s="811">
        <v>8.5314685314685317</v>
      </c>
      <c r="V313" s="927">
        <f t="shared" si="307"/>
        <v>1</v>
      </c>
      <c r="W313" s="926">
        <v>1</v>
      </c>
      <c r="X313" s="820">
        <v>0.2</v>
      </c>
      <c r="Y313" s="928">
        <f t="shared" si="315"/>
        <v>0</v>
      </c>
      <c r="Z313" s="929">
        <f t="shared" si="316"/>
        <v>0</v>
      </c>
      <c r="AA313" s="823"/>
      <c r="AC313" s="457"/>
      <c r="AD313" s="457"/>
      <c r="AE313" s="457"/>
      <c r="AF313" s="457">
        <v>1</v>
      </c>
      <c r="AG313" s="824"/>
      <c r="AH313" s="827"/>
      <c r="AI313" s="824"/>
      <c r="AJ313" s="828">
        <f t="shared" si="310"/>
        <v>0</v>
      </c>
      <c r="AK313" s="862"/>
      <c r="AL313" s="828">
        <f t="shared" si="311"/>
        <v>0</v>
      </c>
      <c r="AM313" s="862"/>
      <c r="AN313" s="824"/>
      <c r="AO313" s="827"/>
      <c r="AQ313" s="930" t="s">
        <v>1465</v>
      </c>
      <c r="AR313" s="930" t="s">
        <v>1562</v>
      </c>
      <c r="AS313" s="1054">
        <v>0.2</v>
      </c>
      <c r="AT313" s="1150">
        <v>8.5314685314685317</v>
      </c>
      <c r="AV313" s="827"/>
      <c r="AX313" s="505">
        <v>44</v>
      </c>
      <c r="AY313" s="1022">
        <v>0.625</v>
      </c>
      <c r="BD313" s="964"/>
      <c r="BF313" s="830"/>
      <c r="BG313" s="936"/>
      <c r="BH313" s="1129"/>
      <c r="BI313" s="1104"/>
      <c r="BJ313" s="1105"/>
      <c r="BK313" s="1105"/>
      <c r="BL313" s="1105"/>
      <c r="BM313" s="1105"/>
      <c r="BN313" s="1151"/>
      <c r="BO313" s="1152"/>
      <c r="BY313" s="936"/>
      <c r="CI313" s="830"/>
    </row>
    <row r="314" spans="2:87" s="370" customFormat="1" ht="15" collapsed="1">
      <c r="B314" s="895" t="s">
        <v>1564</v>
      </c>
      <c r="C314" s="896"/>
      <c r="D314" s="897"/>
      <c r="E314" s="898"/>
      <c r="F314" s="899"/>
      <c r="G314" s="899"/>
      <c r="H314" s="900"/>
      <c r="I314" s="901"/>
      <c r="J314" s="902"/>
      <c r="K314" s="898"/>
      <c r="L314" s="899"/>
      <c r="M314" s="903"/>
      <c r="N314" s="904"/>
      <c r="O314" s="898"/>
      <c r="P314" s="902"/>
      <c r="Q314" s="905"/>
      <c r="R314" s="894">
        <f>IF(AND(N$8=1,R$298=1),1,0)</f>
        <v>0</v>
      </c>
      <c r="S314" s="905"/>
      <c r="T314" s="906"/>
      <c r="U314" s="906"/>
      <c r="V314" s="907"/>
      <c r="W314" s="908"/>
      <c r="X314" s="909"/>
      <c r="Y314" s="910">
        <f>SUM(Y315:Y318)</f>
        <v>0</v>
      </c>
      <c r="Z314" s="1069">
        <f>SUM(Z315:Z318)</f>
        <v>0</v>
      </c>
      <c r="AA314" s="911"/>
      <c r="AB314" s="747"/>
      <c r="AC314" s="912"/>
      <c r="AD314" s="912"/>
      <c r="AE314" s="912"/>
      <c r="AF314" s="913"/>
      <c r="AH314" s="521"/>
      <c r="AJ314" s="483"/>
      <c r="AK314" s="522">
        <f>SUM(AJ315:AJ318)</f>
        <v>0</v>
      </c>
      <c r="AL314" s="401"/>
      <c r="AM314" s="523">
        <f>SUM(AL315:AL318)</f>
        <v>0</v>
      </c>
      <c r="AO314" s="521"/>
      <c r="AQ314" s="914" t="str">
        <f>+B314</f>
        <v>- Suction Line Ball Valves</v>
      </c>
      <c r="AR314" s="1070" t="s">
        <v>1555</v>
      </c>
      <c r="AS314" s="916" t="s">
        <v>97</v>
      </c>
      <c r="AT314" s="917" t="s">
        <v>1345</v>
      </c>
      <c r="AV314" s="521"/>
      <c r="AX314" s="918" t="s">
        <v>1433</v>
      </c>
      <c r="AY314" s="919" t="s">
        <v>1436</v>
      </c>
      <c r="AZ314" s="960"/>
      <c r="BA314" s="960"/>
      <c r="BB314" s="960"/>
      <c r="BC314" s="960"/>
      <c r="BD314" s="961"/>
      <c r="BF314" s="524"/>
      <c r="BG314" s="395"/>
      <c r="BH314" s="918" t="s">
        <v>1555</v>
      </c>
      <c r="BI314" s="1127" t="s">
        <v>1556</v>
      </c>
      <c r="BJ314" s="919" t="s">
        <v>1152</v>
      </c>
      <c r="BK314" s="919" t="s">
        <v>1544</v>
      </c>
      <c r="BL314" s="919"/>
      <c r="BM314" s="919" t="s">
        <v>734</v>
      </c>
      <c r="BN314" s="919" t="s">
        <v>1545</v>
      </c>
      <c r="BO314" s="920"/>
      <c r="BP314" s="395"/>
      <c r="BQ314" s="369"/>
      <c r="BR314" s="395"/>
      <c r="BS314" s="369"/>
      <c r="BT314" s="369"/>
      <c r="BU314" s="369"/>
      <c r="BV314" s="369"/>
      <c r="BW314" s="369"/>
      <c r="BX314" s="369"/>
      <c r="BY314" s="369"/>
      <c r="CH314" s="395"/>
      <c r="CI314" s="524"/>
    </row>
    <row r="315" spans="2:87" s="747" customFormat="1" ht="13.9" hidden="1" customHeight="1" outlineLevel="1">
      <c r="B315" s="921" t="str">
        <f t="shared" ref="B315:B318" si="317">"Suction Line Ball Valve "&amp;AQ315&amp;" - "&amp;AR315</f>
        <v>Suction Line Ball Valve 7.5hp: ZR94KCE-TFD - GBC 28s</v>
      </c>
      <c r="C315" s="922"/>
      <c r="D315" s="923"/>
      <c r="E315" s="808"/>
      <c r="F315" s="809"/>
      <c r="G315" s="809"/>
      <c r="H315" s="924" t="s">
        <v>100</v>
      </c>
      <c r="J315" s="828"/>
      <c r="K315" s="808"/>
      <c r="L315" s="809"/>
      <c r="M315" s="860">
        <v>1</v>
      </c>
      <c r="N315" s="813">
        <f t="shared" ref="N315:N328" si="318">IF(I315&gt;0,22/28*((I315/1000)^2-(I315/1000-2*J315/1000)^2)*K315/1000,IF(J315&gt;0,J315/1000*K315/1000*L315/1000, IF(K315&gt;0,K315/1000*L315/1000, IF(L315=0,1,L315/1000))))</f>
        <v>1</v>
      </c>
      <c r="O315" s="814">
        <v>1</v>
      </c>
      <c r="P315" s="811">
        <f t="shared" ref="P315:P328" si="319">M315*N315*O315</f>
        <v>1</v>
      </c>
      <c r="Q315" s="815">
        <v>1</v>
      </c>
      <c r="R315" s="505">
        <f t="shared" ref="R315:R318" si="320">+R$314</f>
        <v>0</v>
      </c>
      <c r="S315" s="815">
        <f t="shared" ref="S315:S328" si="321">P315*AA315*Q315*R315</f>
        <v>0</v>
      </c>
      <c r="T315" s="925" t="s">
        <v>46</v>
      </c>
      <c r="U315" s="811">
        <v>17.902097902097903</v>
      </c>
      <c r="V315" s="927">
        <f t="shared" ref="V315:V328" si="322">1/VLOOKUP(T315,Y$12:Z$18,2,FALSE)</f>
        <v>1</v>
      </c>
      <c r="W315" s="926">
        <v>1</v>
      </c>
      <c r="X315" s="820">
        <v>0.95</v>
      </c>
      <c r="Y315" s="928">
        <f t="shared" ref="Y315:Y328" si="323">+P315*R315*AA315*X315</f>
        <v>0</v>
      </c>
      <c r="Z315" s="929">
        <f t="shared" ref="Z315:Z328" si="324">S315*U315*V315*W315</f>
        <v>0</v>
      </c>
      <c r="AA315" s="823">
        <v>1</v>
      </c>
      <c r="AC315" s="457">
        <v>1</v>
      </c>
      <c r="AD315" s="457"/>
      <c r="AE315" s="457"/>
      <c r="AF315" s="457"/>
      <c r="AG315" s="824"/>
      <c r="AH315" s="827"/>
      <c r="AI315" s="824"/>
      <c r="AJ315" s="828">
        <f t="shared" si="310"/>
        <v>0</v>
      </c>
      <c r="AK315" s="862"/>
      <c r="AL315" s="828">
        <f t="shared" si="311"/>
        <v>0</v>
      </c>
      <c r="AM315" s="862"/>
      <c r="AN315" s="824"/>
      <c r="AO315" s="827"/>
      <c r="AQ315" s="930" t="s">
        <v>1459</v>
      </c>
      <c r="AR315" s="923" t="s">
        <v>1565</v>
      </c>
      <c r="AS315" s="948">
        <v>0.95</v>
      </c>
      <c r="AT315" s="1153">
        <v>17.902097902097903</v>
      </c>
      <c r="AV315" s="827"/>
      <c r="AX315" s="505">
        <v>23</v>
      </c>
      <c r="AY315" s="1022">
        <v>1.125</v>
      </c>
      <c r="BD315" s="964"/>
      <c r="BF315" s="830"/>
      <c r="BG315" s="936"/>
      <c r="BH315" s="1154" t="s">
        <v>1566</v>
      </c>
      <c r="BI315" s="1104">
        <v>1.625</v>
      </c>
      <c r="BJ315" s="1105"/>
      <c r="BK315" s="1105"/>
      <c r="BL315" s="1105"/>
      <c r="BM315" s="1105">
        <v>2.41</v>
      </c>
      <c r="BN315" s="1151">
        <v>59.44055944055944</v>
      </c>
      <c r="BO315" s="1152"/>
      <c r="BY315" s="936"/>
      <c r="CI315" s="830"/>
    </row>
    <row r="316" spans="2:87" s="747" customFormat="1" ht="13.9" hidden="1" customHeight="1" outlineLevel="1">
      <c r="B316" s="921" t="str">
        <f t="shared" si="317"/>
        <v>Suction Line Ball Valve 10.0hp: ZR125KCE-TFD - GBC 35s</v>
      </c>
      <c r="C316" s="922"/>
      <c r="D316" s="923"/>
      <c r="E316" s="808"/>
      <c r="F316" s="809"/>
      <c r="G316" s="809"/>
      <c r="H316" s="924" t="s">
        <v>100</v>
      </c>
      <c r="J316" s="828"/>
      <c r="K316" s="808"/>
      <c r="L316" s="809"/>
      <c r="M316" s="860">
        <v>1</v>
      </c>
      <c r="N316" s="813">
        <f t="shared" si="318"/>
        <v>1</v>
      </c>
      <c r="O316" s="814">
        <v>1</v>
      </c>
      <c r="P316" s="811">
        <f t="shared" si="319"/>
        <v>1</v>
      </c>
      <c r="Q316" s="815">
        <v>1</v>
      </c>
      <c r="R316" s="505">
        <f t="shared" si="320"/>
        <v>0</v>
      </c>
      <c r="S316" s="815">
        <f t="shared" si="321"/>
        <v>0</v>
      </c>
      <c r="T316" s="925" t="s">
        <v>46</v>
      </c>
      <c r="U316" s="811">
        <v>49.650349650349654</v>
      </c>
      <c r="V316" s="927">
        <f t="shared" si="322"/>
        <v>1</v>
      </c>
      <c r="W316" s="926">
        <v>1</v>
      </c>
      <c r="X316" s="820">
        <v>1.4650000000000001</v>
      </c>
      <c r="Y316" s="928">
        <f t="shared" si="323"/>
        <v>0</v>
      </c>
      <c r="Z316" s="929">
        <f t="shared" si="324"/>
        <v>0</v>
      </c>
      <c r="AA316" s="823"/>
      <c r="AC316" s="457"/>
      <c r="AD316" s="457">
        <v>1</v>
      </c>
      <c r="AE316" s="457"/>
      <c r="AF316" s="457"/>
      <c r="AG316" s="824"/>
      <c r="AH316" s="827"/>
      <c r="AI316" s="824"/>
      <c r="AJ316" s="828">
        <f t="shared" si="310"/>
        <v>0</v>
      </c>
      <c r="AK316" s="862"/>
      <c r="AL316" s="828">
        <f t="shared" si="311"/>
        <v>0</v>
      </c>
      <c r="AM316" s="862"/>
      <c r="AN316" s="824"/>
      <c r="AO316" s="827"/>
      <c r="AQ316" s="930" t="s">
        <v>1461</v>
      </c>
      <c r="AR316" s="923" t="s">
        <v>1567</v>
      </c>
      <c r="AS316" s="948">
        <v>1.4650000000000001</v>
      </c>
      <c r="AT316" s="1153">
        <v>49.650349650349654</v>
      </c>
      <c r="AV316" s="827"/>
      <c r="AX316" s="505">
        <v>30.2</v>
      </c>
      <c r="AY316" s="1022">
        <v>1.375</v>
      </c>
      <c r="BD316" s="964"/>
      <c r="BF316" s="830"/>
      <c r="BG316" s="936"/>
      <c r="BH316" s="1154"/>
      <c r="BI316" s="1104"/>
      <c r="BJ316" s="1105"/>
      <c r="BK316" s="1105"/>
      <c r="BL316" s="1105"/>
      <c r="BM316" s="1105"/>
      <c r="BN316" s="1151"/>
      <c r="BO316" s="1152"/>
      <c r="BY316" s="936"/>
      <c r="CI316" s="830"/>
    </row>
    <row r="317" spans="2:87" s="747" customFormat="1" ht="13.9" hidden="1" customHeight="1" outlineLevel="1">
      <c r="B317" s="921" t="str">
        <f t="shared" si="317"/>
        <v>Suction Line Ball Valve 12.5hp: ZR144KCE-TFD - GBC 35s</v>
      </c>
      <c r="C317" s="922"/>
      <c r="D317" s="923"/>
      <c r="E317" s="808"/>
      <c r="F317" s="809"/>
      <c r="G317" s="809"/>
      <c r="H317" s="924" t="s">
        <v>100</v>
      </c>
      <c r="J317" s="828"/>
      <c r="K317" s="808"/>
      <c r="L317" s="809"/>
      <c r="M317" s="860">
        <v>1</v>
      </c>
      <c r="N317" s="813">
        <f t="shared" si="318"/>
        <v>1</v>
      </c>
      <c r="O317" s="814">
        <v>1</v>
      </c>
      <c r="P317" s="811">
        <f t="shared" si="319"/>
        <v>1</v>
      </c>
      <c r="Q317" s="815">
        <v>1</v>
      </c>
      <c r="R317" s="505">
        <f t="shared" si="320"/>
        <v>0</v>
      </c>
      <c r="S317" s="815">
        <f t="shared" si="321"/>
        <v>0</v>
      </c>
      <c r="T317" s="925" t="s">
        <v>46</v>
      </c>
      <c r="U317" s="811">
        <v>49.650349650349654</v>
      </c>
      <c r="V317" s="927">
        <f t="shared" si="322"/>
        <v>1</v>
      </c>
      <c r="W317" s="926">
        <v>1</v>
      </c>
      <c r="X317" s="820">
        <v>1.4650000000000001</v>
      </c>
      <c r="Y317" s="928">
        <f t="shared" si="323"/>
        <v>0</v>
      </c>
      <c r="Z317" s="929">
        <f t="shared" si="324"/>
        <v>0</v>
      </c>
      <c r="AA317" s="823"/>
      <c r="AC317" s="457"/>
      <c r="AD317" s="457"/>
      <c r="AE317" s="457">
        <v>1</v>
      </c>
      <c r="AF317" s="457"/>
      <c r="AG317" s="824"/>
      <c r="AH317" s="827"/>
      <c r="AI317" s="824"/>
      <c r="AJ317" s="828">
        <f t="shared" si="310"/>
        <v>0</v>
      </c>
      <c r="AK317" s="862"/>
      <c r="AL317" s="828">
        <f t="shared" si="311"/>
        <v>0</v>
      </c>
      <c r="AM317" s="862"/>
      <c r="AN317" s="824"/>
      <c r="AO317" s="827"/>
      <c r="AQ317" s="930" t="s">
        <v>1463</v>
      </c>
      <c r="AR317" s="923" t="s">
        <v>1567</v>
      </c>
      <c r="AS317" s="948">
        <v>1.4650000000000001</v>
      </c>
      <c r="AT317" s="1153">
        <v>49.650349650349654</v>
      </c>
      <c r="AV317" s="827"/>
      <c r="AX317" s="505">
        <v>34.6</v>
      </c>
      <c r="AY317" s="1022">
        <v>1.375</v>
      </c>
      <c r="BD317" s="964"/>
      <c r="BF317" s="830"/>
      <c r="BG317" s="936"/>
      <c r="BH317" s="1154"/>
      <c r="BI317" s="1104"/>
      <c r="BJ317" s="1105"/>
      <c r="BK317" s="1105"/>
      <c r="BL317" s="1105"/>
      <c r="BM317" s="1105"/>
      <c r="BN317" s="1151"/>
      <c r="BO317" s="1152"/>
      <c r="BY317" s="936"/>
      <c r="CI317" s="830"/>
    </row>
    <row r="318" spans="2:87" s="747" customFormat="1" ht="13.9" hidden="1" customHeight="1" outlineLevel="1">
      <c r="B318" s="921" t="str">
        <f t="shared" si="317"/>
        <v>Suction Line Ball Valve 15.0hp: ZR190KCE-TFD - GBC 35s</v>
      </c>
      <c r="C318" s="922"/>
      <c r="D318" s="923"/>
      <c r="E318" s="808"/>
      <c r="F318" s="809"/>
      <c r="G318" s="809"/>
      <c r="H318" s="924" t="s">
        <v>100</v>
      </c>
      <c r="J318" s="828"/>
      <c r="K318" s="808"/>
      <c r="L318" s="809"/>
      <c r="M318" s="860">
        <v>1</v>
      </c>
      <c r="N318" s="813">
        <f t="shared" si="318"/>
        <v>1</v>
      </c>
      <c r="O318" s="814">
        <v>1</v>
      </c>
      <c r="P318" s="811">
        <f t="shared" si="319"/>
        <v>1</v>
      </c>
      <c r="Q318" s="815">
        <v>1</v>
      </c>
      <c r="R318" s="505">
        <f t="shared" si="320"/>
        <v>0</v>
      </c>
      <c r="S318" s="815">
        <f t="shared" si="321"/>
        <v>0</v>
      </c>
      <c r="T318" s="925" t="s">
        <v>46</v>
      </c>
      <c r="U318" s="811">
        <v>49.650349650349654</v>
      </c>
      <c r="V318" s="927">
        <f t="shared" si="322"/>
        <v>1</v>
      </c>
      <c r="W318" s="926">
        <v>1</v>
      </c>
      <c r="X318" s="820">
        <v>1.4650000000000001</v>
      </c>
      <c r="Y318" s="928">
        <f t="shared" si="323"/>
        <v>0</v>
      </c>
      <c r="Z318" s="929">
        <f t="shared" si="324"/>
        <v>0</v>
      </c>
      <c r="AA318" s="823"/>
      <c r="AC318" s="457"/>
      <c r="AD318" s="457"/>
      <c r="AE318" s="457"/>
      <c r="AF318" s="457">
        <v>1</v>
      </c>
      <c r="AG318" s="824"/>
      <c r="AH318" s="827"/>
      <c r="AI318" s="824"/>
      <c r="AJ318" s="828">
        <f t="shared" si="310"/>
        <v>0</v>
      </c>
      <c r="AK318" s="862"/>
      <c r="AL318" s="828">
        <f t="shared" si="311"/>
        <v>0</v>
      </c>
      <c r="AM318" s="862"/>
      <c r="AN318" s="824"/>
      <c r="AO318" s="827"/>
      <c r="AQ318" s="930" t="s">
        <v>1465</v>
      </c>
      <c r="AR318" s="923" t="s">
        <v>1567</v>
      </c>
      <c r="AS318" s="948">
        <v>1.4650000000000001</v>
      </c>
      <c r="AT318" s="1153">
        <v>49.650349650349654</v>
      </c>
      <c r="AV318" s="827"/>
      <c r="AX318" s="505">
        <v>44</v>
      </c>
      <c r="AY318" s="1022">
        <v>1.375</v>
      </c>
      <c r="BD318" s="964"/>
      <c r="BF318" s="830"/>
      <c r="BG318" s="936"/>
      <c r="BH318" s="1154"/>
      <c r="BI318" s="1104"/>
      <c r="BJ318" s="1105"/>
      <c r="BK318" s="1105"/>
      <c r="BL318" s="1105"/>
      <c r="BM318" s="1105"/>
      <c r="BN318" s="1151"/>
      <c r="BO318" s="1152"/>
      <c r="BY318" s="936"/>
      <c r="CI318" s="830"/>
    </row>
    <row r="319" spans="2:87" s="370" customFormat="1" ht="15" collapsed="1">
      <c r="B319" s="895" t="s">
        <v>1568</v>
      </c>
      <c r="C319" s="896"/>
      <c r="D319" s="897"/>
      <c r="E319" s="898"/>
      <c r="F319" s="899"/>
      <c r="G319" s="899"/>
      <c r="H319" s="900"/>
      <c r="I319" s="901"/>
      <c r="J319" s="902"/>
      <c r="K319" s="898"/>
      <c r="L319" s="899"/>
      <c r="M319" s="903"/>
      <c r="N319" s="904"/>
      <c r="O319" s="898"/>
      <c r="P319" s="902"/>
      <c r="Q319" s="905"/>
      <c r="R319" s="894">
        <f>IF(AND(N$8=1,R$298=1),1,0)</f>
        <v>0</v>
      </c>
      <c r="S319" s="905"/>
      <c r="T319" s="906"/>
      <c r="U319" s="906"/>
      <c r="V319" s="907"/>
      <c r="W319" s="908"/>
      <c r="X319" s="909"/>
      <c r="Y319" s="910">
        <f>SUM(Y320:Y323)</f>
        <v>0</v>
      </c>
      <c r="Z319" s="1069">
        <f>SUM(Z320:Z323)</f>
        <v>0</v>
      </c>
      <c r="AA319" s="911"/>
      <c r="AB319" s="747"/>
      <c r="AC319" s="912"/>
      <c r="AD319" s="912"/>
      <c r="AE319" s="912"/>
      <c r="AF319" s="913"/>
      <c r="AH319" s="521"/>
      <c r="AJ319" s="483"/>
      <c r="AK319" s="522">
        <f>SUM(AJ320:AJ323)</f>
        <v>0</v>
      </c>
      <c r="AL319" s="401"/>
      <c r="AM319" s="523">
        <f>SUM(AL320:AL323)</f>
        <v>0</v>
      </c>
      <c r="AO319" s="521"/>
      <c r="AQ319" s="914" t="str">
        <f>+B319</f>
        <v>- Discharge Line Ball Valves</v>
      </c>
      <c r="AR319" s="1070" t="s">
        <v>1555</v>
      </c>
      <c r="AS319" s="916" t="s">
        <v>97</v>
      </c>
      <c r="AT319" s="917" t="s">
        <v>1345</v>
      </c>
      <c r="AV319" s="521"/>
      <c r="AX319" s="918" t="s">
        <v>1433</v>
      </c>
      <c r="AY319" s="919" t="s">
        <v>1437</v>
      </c>
      <c r="AZ319" s="960"/>
      <c r="BA319" s="960"/>
      <c r="BB319" s="960"/>
      <c r="BC319" s="960"/>
      <c r="BD319" s="961"/>
      <c r="BF319" s="524"/>
      <c r="BG319" s="395"/>
      <c r="BH319" s="918" t="s">
        <v>1555</v>
      </c>
      <c r="BI319" s="1127" t="s">
        <v>1556</v>
      </c>
      <c r="BJ319" s="919" t="s">
        <v>1152</v>
      </c>
      <c r="BK319" s="919" t="s">
        <v>1544</v>
      </c>
      <c r="BL319" s="919"/>
      <c r="BM319" s="919" t="s">
        <v>734</v>
      </c>
      <c r="BN319" s="919" t="s">
        <v>1545</v>
      </c>
      <c r="BO319" s="920"/>
      <c r="BP319" s="395"/>
      <c r="BQ319" s="369"/>
      <c r="BR319" s="395"/>
      <c r="BS319" s="369"/>
      <c r="BT319" s="369"/>
      <c r="BU319" s="369"/>
      <c r="BV319" s="369"/>
      <c r="BW319" s="369"/>
      <c r="BX319" s="369"/>
      <c r="BY319" s="369"/>
      <c r="CH319" s="395"/>
      <c r="CI319" s="524"/>
    </row>
    <row r="320" spans="2:87" s="747" customFormat="1" ht="13.9" hidden="1" customHeight="1" outlineLevel="1">
      <c r="B320" s="921" t="str">
        <f t="shared" ref="B320:B323" si="325">"Discharge Line Ball Valve "&amp;AQ320&amp;" - "&amp;AR320</f>
        <v>Discharge Line Ball Valve 7.5hp: ZR94KCE-TFD - GBC 22s</v>
      </c>
      <c r="C320" s="922"/>
      <c r="D320" s="923"/>
      <c r="E320" s="808"/>
      <c r="F320" s="809"/>
      <c r="G320" s="809"/>
      <c r="H320" s="924" t="s">
        <v>100</v>
      </c>
      <c r="J320" s="828"/>
      <c r="K320" s="808"/>
      <c r="L320" s="809"/>
      <c r="M320" s="860">
        <v>1</v>
      </c>
      <c r="N320" s="813">
        <f t="shared" si="318"/>
        <v>1</v>
      </c>
      <c r="O320" s="814">
        <v>1</v>
      </c>
      <c r="P320" s="811">
        <f t="shared" si="319"/>
        <v>1</v>
      </c>
      <c r="Q320" s="815">
        <v>1</v>
      </c>
      <c r="R320" s="505">
        <f t="shared" ref="R320:R323" si="326">+R$319</f>
        <v>0</v>
      </c>
      <c r="S320" s="815">
        <f t="shared" si="321"/>
        <v>0</v>
      </c>
      <c r="T320" s="925" t="s">
        <v>46</v>
      </c>
      <c r="U320" s="811">
        <v>17.902097902097903</v>
      </c>
      <c r="V320" s="927">
        <f t="shared" si="322"/>
        <v>1</v>
      </c>
      <c r="W320" s="926">
        <v>1</v>
      </c>
      <c r="X320" s="820">
        <v>0.67500000000000004</v>
      </c>
      <c r="Y320" s="928">
        <f t="shared" si="323"/>
        <v>0</v>
      </c>
      <c r="Z320" s="929">
        <f t="shared" si="324"/>
        <v>0</v>
      </c>
      <c r="AA320" s="823">
        <v>1</v>
      </c>
      <c r="AC320" s="457">
        <v>1</v>
      </c>
      <c r="AD320" s="457"/>
      <c r="AE320" s="457"/>
      <c r="AF320" s="457"/>
      <c r="AG320" s="824"/>
      <c r="AH320" s="827"/>
      <c r="AI320" s="824"/>
      <c r="AJ320" s="828">
        <f t="shared" si="310"/>
        <v>0</v>
      </c>
      <c r="AK320" s="862"/>
      <c r="AL320" s="828">
        <f t="shared" si="311"/>
        <v>0</v>
      </c>
      <c r="AM320" s="862"/>
      <c r="AN320" s="824"/>
      <c r="AO320" s="827"/>
      <c r="AQ320" s="930" t="s">
        <v>1459</v>
      </c>
      <c r="AR320" s="923" t="s">
        <v>1569</v>
      </c>
      <c r="AS320" s="948">
        <v>0.67500000000000004</v>
      </c>
      <c r="AT320" s="1153">
        <v>17.902097902097903</v>
      </c>
      <c r="AV320" s="827"/>
      <c r="AX320" s="505">
        <v>23</v>
      </c>
      <c r="AY320" s="1022">
        <v>0.875</v>
      </c>
      <c r="BD320" s="964"/>
      <c r="BF320" s="830"/>
      <c r="BG320" s="936"/>
      <c r="BH320" s="1154" t="s">
        <v>1566</v>
      </c>
      <c r="BI320" s="1104">
        <v>1.625</v>
      </c>
      <c r="BJ320" s="1105"/>
      <c r="BK320" s="1105"/>
      <c r="BL320" s="1105"/>
      <c r="BM320" s="1105">
        <v>2.41</v>
      </c>
      <c r="BN320" s="1151">
        <v>59.44055944055944</v>
      </c>
      <c r="BO320" s="1152"/>
      <c r="BY320" s="936"/>
      <c r="CI320" s="830"/>
    </row>
    <row r="321" spans="2:87" s="747" customFormat="1" ht="13.9" hidden="1" customHeight="1" outlineLevel="1">
      <c r="B321" s="921" t="str">
        <f t="shared" si="325"/>
        <v>Discharge Line Ball Valve 10.0hp: ZR125KCE-TFD - GBC 22s</v>
      </c>
      <c r="C321" s="922"/>
      <c r="D321" s="923"/>
      <c r="E321" s="808"/>
      <c r="F321" s="809"/>
      <c r="G321" s="809"/>
      <c r="H321" s="924" t="s">
        <v>100</v>
      </c>
      <c r="J321" s="828"/>
      <c r="K321" s="808"/>
      <c r="L321" s="809"/>
      <c r="M321" s="860">
        <v>1</v>
      </c>
      <c r="N321" s="813">
        <f t="shared" si="318"/>
        <v>1</v>
      </c>
      <c r="O321" s="814">
        <v>1</v>
      </c>
      <c r="P321" s="811">
        <f t="shared" si="319"/>
        <v>1</v>
      </c>
      <c r="Q321" s="815">
        <v>1</v>
      </c>
      <c r="R321" s="505">
        <f t="shared" si="326"/>
        <v>0</v>
      </c>
      <c r="S321" s="815">
        <f t="shared" si="321"/>
        <v>0</v>
      </c>
      <c r="T321" s="925" t="s">
        <v>46</v>
      </c>
      <c r="U321" s="811">
        <v>17.902097902097903</v>
      </c>
      <c r="V321" s="927">
        <f t="shared" si="322"/>
        <v>1</v>
      </c>
      <c r="W321" s="926">
        <v>1</v>
      </c>
      <c r="X321" s="820">
        <v>0.67500000000000004</v>
      </c>
      <c r="Y321" s="928">
        <f t="shared" si="323"/>
        <v>0</v>
      </c>
      <c r="Z321" s="929">
        <f t="shared" si="324"/>
        <v>0</v>
      </c>
      <c r="AA321" s="823"/>
      <c r="AC321" s="457"/>
      <c r="AD321" s="457">
        <v>1</v>
      </c>
      <c r="AE321" s="457"/>
      <c r="AF321" s="457"/>
      <c r="AG321" s="824"/>
      <c r="AH321" s="827"/>
      <c r="AI321" s="824"/>
      <c r="AJ321" s="828">
        <f t="shared" si="310"/>
        <v>0</v>
      </c>
      <c r="AK321" s="862"/>
      <c r="AL321" s="828">
        <f t="shared" si="311"/>
        <v>0</v>
      </c>
      <c r="AM321" s="862"/>
      <c r="AN321" s="824"/>
      <c r="AO321" s="827"/>
      <c r="AQ321" s="930" t="s">
        <v>1461</v>
      </c>
      <c r="AR321" s="923" t="s">
        <v>1569</v>
      </c>
      <c r="AS321" s="948">
        <v>0.67500000000000004</v>
      </c>
      <c r="AT321" s="1153">
        <v>17.902097902097903</v>
      </c>
      <c r="AV321" s="827"/>
      <c r="AX321" s="505">
        <v>30.2</v>
      </c>
      <c r="AY321" s="1022">
        <v>0.875</v>
      </c>
      <c r="BD321" s="964"/>
      <c r="BF321" s="830"/>
      <c r="BG321" s="936"/>
      <c r="BH321" s="1154"/>
      <c r="BI321" s="1104"/>
      <c r="BJ321" s="1105"/>
      <c r="BK321" s="1105"/>
      <c r="BL321" s="1105"/>
      <c r="BM321" s="1105"/>
      <c r="BN321" s="1151"/>
      <c r="BO321" s="1152"/>
      <c r="BY321" s="936"/>
      <c r="CI321" s="830"/>
    </row>
    <row r="322" spans="2:87" s="747" customFormat="1" ht="13.9" hidden="1" customHeight="1" outlineLevel="1">
      <c r="B322" s="921" t="str">
        <f t="shared" si="325"/>
        <v>Discharge Line Ball Valve 12.5hp: ZR144KCE-TFD - GBC 22s</v>
      </c>
      <c r="C322" s="922"/>
      <c r="D322" s="923"/>
      <c r="E322" s="808"/>
      <c r="F322" s="809"/>
      <c r="G322" s="809"/>
      <c r="H322" s="924" t="s">
        <v>100</v>
      </c>
      <c r="J322" s="828"/>
      <c r="K322" s="808"/>
      <c r="L322" s="809"/>
      <c r="M322" s="860">
        <v>1</v>
      </c>
      <c r="N322" s="813">
        <f t="shared" si="318"/>
        <v>1</v>
      </c>
      <c r="O322" s="814">
        <v>1</v>
      </c>
      <c r="P322" s="811">
        <f t="shared" si="319"/>
        <v>1</v>
      </c>
      <c r="Q322" s="815">
        <v>1</v>
      </c>
      <c r="R322" s="505">
        <f t="shared" si="326"/>
        <v>0</v>
      </c>
      <c r="S322" s="815">
        <f t="shared" si="321"/>
        <v>0</v>
      </c>
      <c r="T322" s="925" t="s">
        <v>46</v>
      </c>
      <c r="U322" s="811">
        <v>17.902097902097903</v>
      </c>
      <c r="V322" s="927">
        <f t="shared" si="322"/>
        <v>1</v>
      </c>
      <c r="W322" s="926">
        <v>1</v>
      </c>
      <c r="X322" s="820">
        <v>0.67500000000000004</v>
      </c>
      <c r="Y322" s="928">
        <f t="shared" si="323"/>
        <v>0</v>
      </c>
      <c r="Z322" s="929">
        <f t="shared" si="324"/>
        <v>0</v>
      </c>
      <c r="AA322" s="823"/>
      <c r="AC322" s="457"/>
      <c r="AD322" s="457"/>
      <c r="AE322" s="457">
        <v>1</v>
      </c>
      <c r="AF322" s="457"/>
      <c r="AG322" s="824"/>
      <c r="AH322" s="827"/>
      <c r="AI322" s="824"/>
      <c r="AJ322" s="828">
        <f t="shared" si="310"/>
        <v>0</v>
      </c>
      <c r="AK322" s="862"/>
      <c r="AL322" s="828">
        <f t="shared" si="311"/>
        <v>0</v>
      </c>
      <c r="AM322" s="862"/>
      <c r="AN322" s="824"/>
      <c r="AO322" s="827"/>
      <c r="AQ322" s="930" t="s">
        <v>1463</v>
      </c>
      <c r="AR322" s="923" t="s">
        <v>1569</v>
      </c>
      <c r="AS322" s="948">
        <v>0.67500000000000004</v>
      </c>
      <c r="AT322" s="1153">
        <v>17.902097902097903</v>
      </c>
      <c r="AV322" s="827"/>
      <c r="AX322" s="505">
        <v>34.6</v>
      </c>
      <c r="AY322" s="1022">
        <v>0.875</v>
      </c>
      <c r="BD322" s="964"/>
      <c r="BF322" s="830"/>
      <c r="BG322" s="936"/>
      <c r="BH322" s="1154"/>
      <c r="BI322" s="1104"/>
      <c r="BJ322" s="1105"/>
      <c r="BK322" s="1105"/>
      <c r="BL322" s="1105"/>
      <c r="BM322" s="1105"/>
      <c r="BN322" s="1151"/>
      <c r="BO322" s="1152"/>
      <c r="BY322" s="936"/>
      <c r="CI322" s="830"/>
    </row>
    <row r="323" spans="2:87" s="747" customFormat="1" ht="13.9" hidden="1" customHeight="1" outlineLevel="1">
      <c r="B323" s="921" t="str">
        <f t="shared" si="325"/>
        <v>Discharge Line Ball Valve 15.0hp: ZR190KCE-TFD - GBC 22s</v>
      </c>
      <c r="C323" s="922"/>
      <c r="D323" s="923"/>
      <c r="E323" s="808"/>
      <c r="F323" s="809"/>
      <c r="G323" s="809"/>
      <c r="H323" s="924" t="s">
        <v>100</v>
      </c>
      <c r="J323" s="828"/>
      <c r="K323" s="808"/>
      <c r="L323" s="809"/>
      <c r="M323" s="860">
        <v>1</v>
      </c>
      <c r="N323" s="813">
        <f t="shared" si="318"/>
        <v>1</v>
      </c>
      <c r="O323" s="814">
        <v>1</v>
      </c>
      <c r="P323" s="811">
        <f t="shared" si="319"/>
        <v>1</v>
      </c>
      <c r="Q323" s="815">
        <v>1</v>
      </c>
      <c r="R323" s="505">
        <f t="shared" si="326"/>
        <v>0</v>
      </c>
      <c r="S323" s="815">
        <f t="shared" si="321"/>
        <v>0</v>
      </c>
      <c r="T323" s="925" t="s">
        <v>46</v>
      </c>
      <c r="U323" s="811">
        <v>17.902097902097903</v>
      </c>
      <c r="V323" s="927">
        <f t="shared" si="322"/>
        <v>1</v>
      </c>
      <c r="W323" s="926">
        <v>1</v>
      </c>
      <c r="X323" s="820">
        <v>0.67500000000000004</v>
      </c>
      <c r="Y323" s="928">
        <f t="shared" si="323"/>
        <v>0</v>
      </c>
      <c r="Z323" s="929">
        <f t="shared" si="324"/>
        <v>0</v>
      </c>
      <c r="AA323" s="823"/>
      <c r="AC323" s="457"/>
      <c r="AD323" s="457"/>
      <c r="AE323" s="457"/>
      <c r="AF323" s="457">
        <v>1</v>
      </c>
      <c r="AG323" s="824"/>
      <c r="AH323" s="827"/>
      <c r="AI323" s="824"/>
      <c r="AJ323" s="828">
        <f t="shared" si="310"/>
        <v>0</v>
      </c>
      <c r="AK323" s="862"/>
      <c r="AL323" s="828">
        <f t="shared" si="311"/>
        <v>0</v>
      </c>
      <c r="AM323" s="862"/>
      <c r="AN323" s="824"/>
      <c r="AO323" s="827"/>
      <c r="AQ323" s="930" t="s">
        <v>1465</v>
      </c>
      <c r="AR323" s="923" t="s">
        <v>1569</v>
      </c>
      <c r="AS323" s="948">
        <v>0.67500000000000004</v>
      </c>
      <c r="AT323" s="1153">
        <v>17.902097902097903</v>
      </c>
      <c r="AV323" s="827"/>
      <c r="AX323" s="505">
        <v>44</v>
      </c>
      <c r="AY323" s="1022">
        <v>0.875</v>
      </c>
      <c r="BD323" s="964"/>
      <c r="BF323" s="830"/>
      <c r="BG323" s="936"/>
      <c r="BH323" s="1154"/>
      <c r="BI323" s="1104"/>
      <c r="BJ323" s="1105"/>
      <c r="BK323" s="1105"/>
      <c r="BL323" s="1105"/>
      <c r="BM323" s="1105"/>
      <c r="BN323" s="1151"/>
      <c r="BO323" s="1152"/>
      <c r="BY323" s="936"/>
      <c r="CI323" s="830"/>
    </row>
    <row r="324" spans="2:87" s="370" customFormat="1" ht="15" collapsed="1">
      <c r="B324" s="895" t="s">
        <v>1570</v>
      </c>
      <c r="C324" s="896"/>
      <c r="D324" s="897"/>
      <c r="E324" s="898"/>
      <c r="F324" s="899"/>
      <c r="G324" s="899"/>
      <c r="H324" s="900"/>
      <c r="I324" s="901"/>
      <c r="J324" s="902"/>
      <c r="K324" s="898"/>
      <c r="L324" s="899"/>
      <c r="M324" s="903"/>
      <c r="N324" s="904"/>
      <c r="O324" s="898"/>
      <c r="P324" s="902"/>
      <c r="Q324" s="905"/>
      <c r="R324" s="894">
        <f>IF(AND(N$8=1,R$298=1),1,0)</f>
        <v>0</v>
      </c>
      <c r="S324" s="905"/>
      <c r="T324" s="906"/>
      <c r="U324" s="906"/>
      <c r="V324" s="907"/>
      <c r="W324" s="908"/>
      <c r="X324" s="909"/>
      <c r="Y324" s="910">
        <f>SUM(Y325:Y328)</f>
        <v>0</v>
      </c>
      <c r="Z324" s="1069">
        <f>SUM(Z325:Z328)</f>
        <v>0</v>
      </c>
      <c r="AA324" s="911"/>
      <c r="AB324" s="747"/>
      <c r="AC324" s="912"/>
      <c r="AD324" s="912"/>
      <c r="AE324" s="912"/>
      <c r="AF324" s="913"/>
      <c r="AH324" s="521"/>
      <c r="AJ324" s="483"/>
      <c r="AK324" s="522">
        <f>SUM(AJ325:AJ328)</f>
        <v>0</v>
      </c>
      <c r="AL324" s="401"/>
      <c r="AM324" s="523">
        <f>SUM(AL325:AL328)</f>
        <v>0</v>
      </c>
      <c r="AO324" s="521"/>
      <c r="AQ324" s="914" t="str">
        <f>+B324</f>
        <v>- Liquid Line Ball Valves</v>
      </c>
      <c r="AR324" s="1070" t="s">
        <v>1555</v>
      </c>
      <c r="AS324" s="916" t="s">
        <v>97</v>
      </c>
      <c r="AT324" s="917" t="s">
        <v>1345</v>
      </c>
      <c r="AV324" s="521"/>
      <c r="AX324" s="918" t="s">
        <v>1433</v>
      </c>
      <c r="AY324" s="919" t="s">
        <v>1437</v>
      </c>
      <c r="AZ324" s="960"/>
      <c r="BA324" s="960"/>
      <c r="BB324" s="960"/>
      <c r="BC324" s="960"/>
      <c r="BD324" s="961"/>
      <c r="BF324" s="524"/>
      <c r="BG324" s="395"/>
      <c r="BH324" s="918" t="s">
        <v>1555</v>
      </c>
      <c r="BI324" s="1127" t="s">
        <v>1556</v>
      </c>
      <c r="BJ324" s="919" t="s">
        <v>1152</v>
      </c>
      <c r="BK324" s="919" t="s">
        <v>1544</v>
      </c>
      <c r="BL324" s="919"/>
      <c r="BM324" s="919" t="s">
        <v>734</v>
      </c>
      <c r="BN324" s="919" t="s">
        <v>1545</v>
      </c>
      <c r="BO324" s="920"/>
      <c r="BP324" s="395"/>
      <c r="BQ324" s="369"/>
      <c r="BR324" s="395"/>
      <c r="BS324" s="369"/>
      <c r="BT324" s="369"/>
      <c r="BU324" s="369"/>
      <c r="BV324" s="369"/>
      <c r="BW324" s="369"/>
      <c r="BX324" s="369"/>
      <c r="BY324" s="369"/>
      <c r="CH324" s="395"/>
      <c r="CI324" s="524"/>
    </row>
    <row r="325" spans="2:87" s="747" customFormat="1" ht="13.9" hidden="1" customHeight="1" outlineLevel="1">
      <c r="B325" s="921" t="str">
        <f t="shared" ref="B325:B328" si="327">"Liquid Line Ball Valve "&amp;AQ325&amp;" - "&amp;AR325</f>
        <v>Liquid Line Ball Valve 7.5hp: ZR94KCE-TFD - GBC 12s</v>
      </c>
      <c r="C325" s="922"/>
      <c r="D325" s="923"/>
      <c r="E325" s="808"/>
      <c r="F325" s="809"/>
      <c r="G325" s="809"/>
      <c r="H325" s="924" t="s">
        <v>100</v>
      </c>
      <c r="J325" s="828"/>
      <c r="K325" s="808"/>
      <c r="L325" s="809"/>
      <c r="M325" s="860">
        <v>1</v>
      </c>
      <c r="N325" s="813">
        <f t="shared" si="318"/>
        <v>1</v>
      </c>
      <c r="O325" s="814">
        <v>2</v>
      </c>
      <c r="P325" s="811">
        <f t="shared" si="319"/>
        <v>2</v>
      </c>
      <c r="Q325" s="815">
        <v>1</v>
      </c>
      <c r="R325" s="505">
        <f t="shared" ref="R325:R328" si="328">+R$324</f>
        <v>0</v>
      </c>
      <c r="S325" s="815">
        <f t="shared" si="321"/>
        <v>0</v>
      </c>
      <c r="T325" s="925" t="s">
        <v>46</v>
      </c>
      <c r="U325" s="811">
        <v>11.43</v>
      </c>
      <c r="V325" s="927">
        <f t="shared" si="322"/>
        <v>1</v>
      </c>
      <c r="W325" s="926">
        <v>1</v>
      </c>
      <c r="X325" s="820">
        <v>0.16999999999999998</v>
      </c>
      <c r="Y325" s="928">
        <f t="shared" si="323"/>
        <v>0</v>
      </c>
      <c r="Z325" s="929">
        <f t="shared" si="324"/>
        <v>0</v>
      </c>
      <c r="AA325" s="823">
        <v>1</v>
      </c>
      <c r="AC325" s="457">
        <v>1</v>
      </c>
      <c r="AD325" s="457"/>
      <c r="AE325" s="457"/>
      <c r="AF325" s="457"/>
      <c r="AG325" s="824"/>
      <c r="AH325" s="827"/>
      <c r="AI325" s="824"/>
      <c r="AJ325" s="828">
        <f t="shared" si="310"/>
        <v>0</v>
      </c>
      <c r="AK325" s="862"/>
      <c r="AL325" s="828">
        <f t="shared" si="311"/>
        <v>0</v>
      </c>
      <c r="AM325" s="862"/>
      <c r="AN325" s="824"/>
      <c r="AO325" s="827"/>
      <c r="AQ325" s="930" t="s">
        <v>1459</v>
      </c>
      <c r="AR325" s="923" t="s">
        <v>1571</v>
      </c>
      <c r="AS325" s="948">
        <v>0.16999999999999998</v>
      </c>
      <c r="AT325" s="1153">
        <v>11.43</v>
      </c>
      <c r="AV325" s="827"/>
      <c r="AX325" s="505">
        <v>23</v>
      </c>
      <c r="AY325" s="1022">
        <v>0.5</v>
      </c>
      <c r="BD325" s="964"/>
      <c r="BF325" s="830"/>
      <c r="BG325" s="936"/>
      <c r="BH325" s="1154" t="s">
        <v>1566</v>
      </c>
      <c r="BI325" s="1104">
        <v>1.625</v>
      </c>
      <c r="BJ325" s="1105"/>
      <c r="BK325" s="1105"/>
      <c r="BL325" s="1105"/>
      <c r="BM325" s="1105">
        <v>2.41</v>
      </c>
      <c r="BN325" s="1151">
        <v>59.44055944055944</v>
      </c>
      <c r="BO325" s="1152"/>
      <c r="BY325" s="936"/>
      <c r="CI325" s="830"/>
    </row>
    <row r="326" spans="2:87" s="747" customFormat="1" ht="13.9" hidden="1" customHeight="1" outlineLevel="1">
      <c r="B326" s="921" t="str">
        <f t="shared" si="327"/>
        <v>Liquid Line Ball Valve 10.0hp: ZR125KCE-TFD - GBC 16s</v>
      </c>
      <c r="C326" s="922"/>
      <c r="D326" s="923"/>
      <c r="E326" s="808"/>
      <c r="F326" s="809"/>
      <c r="G326" s="809"/>
      <c r="H326" s="924" t="s">
        <v>100</v>
      </c>
      <c r="J326" s="828"/>
      <c r="K326" s="808"/>
      <c r="L326" s="809"/>
      <c r="M326" s="860">
        <v>1</v>
      </c>
      <c r="N326" s="813">
        <f t="shared" si="318"/>
        <v>1</v>
      </c>
      <c r="O326" s="814">
        <v>2</v>
      </c>
      <c r="P326" s="811">
        <f t="shared" si="319"/>
        <v>2</v>
      </c>
      <c r="Q326" s="815">
        <v>1</v>
      </c>
      <c r="R326" s="505">
        <f t="shared" si="328"/>
        <v>0</v>
      </c>
      <c r="S326" s="815">
        <f t="shared" si="321"/>
        <v>0</v>
      </c>
      <c r="T326" s="925" t="s">
        <v>46</v>
      </c>
      <c r="U326" s="811">
        <v>11.538461538461538</v>
      </c>
      <c r="V326" s="927">
        <f t="shared" si="322"/>
        <v>1</v>
      </c>
      <c r="W326" s="926">
        <v>1</v>
      </c>
      <c r="X326" s="820">
        <v>0.25</v>
      </c>
      <c r="Y326" s="928">
        <f t="shared" si="323"/>
        <v>0</v>
      </c>
      <c r="Z326" s="929">
        <f t="shared" si="324"/>
        <v>0</v>
      </c>
      <c r="AA326" s="823"/>
      <c r="AC326" s="457"/>
      <c r="AD326" s="457">
        <v>1</v>
      </c>
      <c r="AE326" s="457"/>
      <c r="AF326" s="457"/>
      <c r="AG326" s="824"/>
      <c r="AH326" s="827"/>
      <c r="AI326" s="824"/>
      <c r="AJ326" s="828">
        <f t="shared" si="310"/>
        <v>0</v>
      </c>
      <c r="AK326" s="862"/>
      <c r="AL326" s="828">
        <f t="shared" si="311"/>
        <v>0</v>
      </c>
      <c r="AM326" s="862"/>
      <c r="AN326" s="824"/>
      <c r="AO326" s="827"/>
      <c r="AQ326" s="930" t="s">
        <v>1461</v>
      </c>
      <c r="AR326" s="923" t="s">
        <v>1572</v>
      </c>
      <c r="AS326" s="948">
        <v>0.25</v>
      </c>
      <c r="AT326" s="1153">
        <v>11.538461538461538</v>
      </c>
      <c r="AV326" s="827"/>
      <c r="AX326" s="505">
        <v>30.2</v>
      </c>
      <c r="AY326" s="1022">
        <v>0.625</v>
      </c>
      <c r="BD326" s="964"/>
      <c r="BF326" s="830"/>
      <c r="BG326" s="936"/>
      <c r="BH326" s="1154"/>
      <c r="BI326" s="1104"/>
      <c r="BJ326" s="1105"/>
      <c r="BK326" s="1105"/>
      <c r="BL326" s="1105"/>
      <c r="BM326" s="1105"/>
      <c r="BN326" s="1151"/>
      <c r="BO326" s="1152"/>
      <c r="BY326" s="936"/>
      <c r="CI326" s="830"/>
    </row>
    <row r="327" spans="2:87" s="747" customFormat="1" ht="13.9" hidden="1" customHeight="1" outlineLevel="1">
      <c r="B327" s="921" t="str">
        <f t="shared" si="327"/>
        <v>Liquid Line Ball Valve 12.5hp: ZR144KCE-TFD - GBC 18s</v>
      </c>
      <c r="C327" s="922"/>
      <c r="D327" s="923"/>
      <c r="E327" s="808"/>
      <c r="F327" s="809"/>
      <c r="G327" s="809"/>
      <c r="H327" s="924" t="s">
        <v>100</v>
      </c>
      <c r="J327" s="828"/>
      <c r="K327" s="808"/>
      <c r="L327" s="809"/>
      <c r="M327" s="860">
        <v>1</v>
      </c>
      <c r="N327" s="813">
        <f t="shared" si="318"/>
        <v>1</v>
      </c>
      <c r="O327" s="814">
        <v>2</v>
      </c>
      <c r="P327" s="811">
        <f t="shared" si="319"/>
        <v>2</v>
      </c>
      <c r="Q327" s="815">
        <v>1</v>
      </c>
      <c r="R327" s="505">
        <f t="shared" si="328"/>
        <v>0</v>
      </c>
      <c r="S327" s="815">
        <f t="shared" si="321"/>
        <v>0</v>
      </c>
      <c r="T327" s="925" t="s">
        <v>46</v>
      </c>
      <c r="U327" s="811">
        <v>17.482517482517483</v>
      </c>
      <c r="V327" s="927">
        <f t="shared" si="322"/>
        <v>1</v>
      </c>
      <c r="W327" s="926">
        <v>1</v>
      </c>
      <c r="X327" s="820">
        <v>0.4</v>
      </c>
      <c r="Y327" s="928">
        <f t="shared" si="323"/>
        <v>0</v>
      </c>
      <c r="Z327" s="929">
        <f t="shared" si="324"/>
        <v>0</v>
      </c>
      <c r="AA327" s="823"/>
      <c r="AC327" s="457"/>
      <c r="AD327" s="457"/>
      <c r="AE327" s="457">
        <v>1</v>
      </c>
      <c r="AF327" s="457"/>
      <c r="AG327" s="824"/>
      <c r="AH327" s="827"/>
      <c r="AI327" s="824"/>
      <c r="AJ327" s="828">
        <f t="shared" si="310"/>
        <v>0</v>
      </c>
      <c r="AK327" s="862"/>
      <c r="AL327" s="828">
        <f t="shared" si="311"/>
        <v>0</v>
      </c>
      <c r="AM327" s="862"/>
      <c r="AN327" s="824"/>
      <c r="AO327" s="827"/>
      <c r="AQ327" s="930" t="s">
        <v>1463</v>
      </c>
      <c r="AR327" s="923" t="s">
        <v>1573</v>
      </c>
      <c r="AS327" s="948">
        <v>0.4</v>
      </c>
      <c r="AT327" s="1153">
        <v>17.482517482517483</v>
      </c>
      <c r="AV327" s="827"/>
      <c r="AX327" s="505">
        <v>34.6</v>
      </c>
      <c r="AY327" s="1022">
        <v>0.75</v>
      </c>
      <c r="BD327" s="964"/>
      <c r="BF327" s="830"/>
      <c r="BG327" s="936"/>
      <c r="BH327" s="1154"/>
      <c r="BI327" s="1104"/>
      <c r="BJ327" s="1105"/>
      <c r="BK327" s="1105"/>
      <c r="BL327" s="1105"/>
      <c r="BM327" s="1105"/>
      <c r="BN327" s="1151"/>
      <c r="BO327" s="1152"/>
      <c r="BY327" s="936"/>
      <c r="CI327" s="830"/>
    </row>
    <row r="328" spans="2:87" s="747" customFormat="1" ht="13.9" hidden="1" customHeight="1" outlineLevel="1">
      <c r="B328" s="921" t="str">
        <f t="shared" si="327"/>
        <v>Liquid Line Ball Valve 15.0hp: ZR190KCE-TFD - GBC 16s</v>
      </c>
      <c r="C328" s="922"/>
      <c r="D328" s="923"/>
      <c r="E328" s="808"/>
      <c r="F328" s="809"/>
      <c r="G328" s="809"/>
      <c r="H328" s="924" t="s">
        <v>100</v>
      </c>
      <c r="J328" s="828"/>
      <c r="K328" s="808"/>
      <c r="L328" s="809"/>
      <c r="M328" s="860">
        <v>1</v>
      </c>
      <c r="N328" s="813">
        <f t="shared" si="318"/>
        <v>1</v>
      </c>
      <c r="O328" s="814">
        <v>2</v>
      </c>
      <c r="P328" s="811">
        <f t="shared" si="319"/>
        <v>2</v>
      </c>
      <c r="Q328" s="815">
        <v>1</v>
      </c>
      <c r="R328" s="505">
        <f t="shared" si="328"/>
        <v>0</v>
      </c>
      <c r="S328" s="815">
        <f t="shared" si="321"/>
        <v>0</v>
      </c>
      <c r="T328" s="925" t="s">
        <v>46</v>
      </c>
      <c r="U328" s="811">
        <v>11.538461538461538</v>
      </c>
      <c r="V328" s="927">
        <f t="shared" si="322"/>
        <v>1</v>
      </c>
      <c r="W328" s="926">
        <v>1</v>
      </c>
      <c r="X328" s="820">
        <v>0.25</v>
      </c>
      <c r="Y328" s="928">
        <f t="shared" si="323"/>
        <v>0</v>
      </c>
      <c r="Z328" s="929">
        <f t="shared" si="324"/>
        <v>0</v>
      </c>
      <c r="AA328" s="823"/>
      <c r="AC328" s="457"/>
      <c r="AD328" s="457"/>
      <c r="AE328" s="457"/>
      <c r="AF328" s="457">
        <v>1</v>
      </c>
      <c r="AG328" s="824"/>
      <c r="AH328" s="827"/>
      <c r="AI328" s="824"/>
      <c r="AJ328" s="828">
        <f t="shared" si="310"/>
        <v>0</v>
      </c>
      <c r="AK328" s="862"/>
      <c r="AL328" s="828">
        <f t="shared" si="311"/>
        <v>0</v>
      </c>
      <c r="AM328" s="862"/>
      <c r="AN328" s="824"/>
      <c r="AO328" s="827"/>
      <c r="AQ328" s="930" t="s">
        <v>1465</v>
      </c>
      <c r="AR328" s="923" t="s">
        <v>1572</v>
      </c>
      <c r="AS328" s="948">
        <v>0.25</v>
      </c>
      <c r="AT328" s="1153">
        <v>11.538461538461538</v>
      </c>
      <c r="AV328" s="827"/>
      <c r="AX328" s="505">
        <v>44</v>
      </c>
      <c r="AY328" s="1022">
        <v>0.625</v>
      </c>
      <c r="BD328" s="964"/>
      <c r="BF328" s="830"/>
      <c r="BG328" s="936"/>
      <c r="BH328" s="1154"/>
      <c r="BI328" s="1104"/>
      <c r="BJ328" s="1105"/>
      <c r="BK328" s="1105"/>
      <c r="BL328" s="1105"/>
      <c r="BM328" s="1105"/>
      <c r="BN328" s="1151"/>
      <c r="BO328" s="1152"/>
      <c r="BY328" s="936"/>
      <c r="CI328" s="830"/>
    </row>
    <row r="329" spans="2:87" s="370" customFormat="1" ht="15" collapsed="1">
      <c r="B329" s="873" t="s">
        <v>1574</v>
      </c>
      <c r="C329" s="874"/>
      <c r="D329" s="875"/>
      <c r="E329" s="876"/>
      <c r="F329" s="877"/>
      <c r="G329" s="877"/>
      <c r="H329" s="878"/>
      <c r="I329" s="879"/>
      <c r="J329" s="880"/>
      <c r="K329" s="876"/>
      <c r="L329" s="877"/>
      <c r="M329" s="881"/>
      <c r="N329" s="882"/>
      <c r="O329" s="876"/>
      <c r="P329" s="880"/>
      <c r="Q329" s="883"/>
      <c r="R329" s="881"/>
      <c r="S329" s="883"/>
      <c r="T329" s="884"/>
      <c r="U329" s="884"/>
      <c r="V329" s="885"/>
      <c r="W329" s="886"/>
      <c r="X329" s="887"/>
      <c r="Y329" s="888"/>
      <c r="Z329" s="889"/>
      <c r="AA329" s="890"/>
      <c r="AB329" s="747"/>
      <c r="AC329" s="891"/>
      <c r="AD329" s="891"/>
      <c r="AE329" s="891"/>
      <c r="AF329" s="892"/>
      <c r="AH329" s="521"/>
      <c r="AJ329" s="483"/>
      <c r="AK329" s="522"/>
      <c r="AL329" s="401"/>
      <c r="AM329" s="523"/>
      <c r="AO329" s="521"/>
      <c r="AQ329" s="369"/>
      <c r="AR329" s="418"/>
      <c r="AS329" s="483"/>
      <c r="AT329" s="418"/>
      <c r="AV329" s="521"/>
      <c r="AX329" s="395"/>
      <c r="AY329" s="395"/>
      <c r="AZ329" s="395"/>
      <c r="BA329" s="395"/>
      <c r="BB329" s="395"/>
      <c r="BC329" s="369"/>
      <c r="BD329" s="395"/>
      <c r="BE329" s="747"/>
      <c r="BF329" s="524"/>
      <c r="BG329" s="395"/>
      <c r="BH329" s="395"/>
      <c r="BI329" s="369"/>
      <c r="BJ329" s="395"/>
      <c r="BK329" s="395"/>
      <c r="BL329" s="395"/>
      <c r="BM329" s="395"/>
      <c r="BN329" s="395"/>
      <c r="BO329" s="395"/>
      <c r="BP329" s="395"/>
      <c r="BQ329" s="369"/>
      <c r="BR329" s="369"/>
      <c r="BS329" s="395"/>
      <c r="BT329" s="369"/>
      <c r="BU329" s="369"/>
      <c r="BV329" s="369"/>
      <c r="BW329" s="369"/>
      <c r="BX329" s="369"/>
      <c r="BY329" s="369"/>
      <c r="CH329" s="395"/>
      <c r="CI329" s="511"/>
    </row>
    <row r="330" spans="2:87" s="370" customFormat="1" ht="14.45" customHeight="1">
      <c r="B330" s="783" t="s">
        <v>1575</v>
      </c>
      <c r="C330" s="784"/>
      <c r="D330" s="785"/>
      <c r="E330" s="786"/>
      <c r="F330" s="787"/>
      <c r="G330" s="787"/>
      <c r="H330" s="788" t="s">
        <v>30</v>
      </c>
      <c r="I330" s="789" t="s">
        <v>1162</v>
      </c>
      <c r="J330" s="790" t="s">
        <v>1071</v>
      </c>
      <c r="K330" s="786" t="s">
        <v>1072</v>
      </c>
      <c r="L330" s="787" t="s">
        <v>21</v>
      </c>
      <c r="M330" s="791" t="s">
        <v>82</v>
      </c>
      <c r="N330" s="839" t="s">
        <v>1163</v>
      </c>
      <c r="O330" s="786" t="s">
        <v>1154</v>
      </c>
      <c r="P330" s="790" t="s">
        <v>1164</v>
      </c>
      <c r="Q330" s="793" t="s">
        <v>34</v>
      </c>
      <c r="R330" s="894">
        <f>IF(D$8="Dorin",1,0)</f>
        <v>0</v>
      </c>
      <c r="S330" s="793" t="s">
        <v>13</v>
      </c>
      <c r="T330" s="794" t="s">
        <v>128</v>
      </c>
      <c r="U330" s="794" t="s">
        <v>111</v>
      </c>
      <c r="V330" s="795" t="s">
        <v>32</v>
      </c>
      <c r="W330" s="796" t="s">
        <v>33</v>
      </c>
      <c r="X330" s="797"/>
      <c r="Y330" s="798"/>
      <c r="Z330" s="799"/>
      <c r="AA330" s="800" t="str">
        <f>+AA$2</f>
        <v>SCU75M1</v>
      </c>
      <c r="AC330" s="801" t="str">
        <f>+AC$2</f>
        <v>SCU75M1</v>
      </c>
      <c r="AD330" s="801" t="str">
        <f>+AD$2</f>
        <v>SCU100M1</v>
      </c>
      <c r="AE330" s="801" t="str">
        <f>+AE$2</f>
        <v>SCU125M1</v>
      </c>
      <c r="AF330" s="802" t="str">
        <f>+AF$2</f>
        <v>SCU150M1</v>
      </c>
      <c r="AH330" s="521"/>
      <c r="AJ330" s="483"/>
      <c r="AK330" s="522"/>
      <c r="AL330" s="401"/>
      <c r="AM330" s="523"/>
      <c r="AO330" s="521"/>
      <c r="AQ330" s="2143" t="str">
        <f>+B330</f>
        <v>1. COMPRESSOR: Dorin R407c</v>
      </c>
      <c r="AR330" s="2144"/>
      <c r="AS330" s="2144"/>
      <c r="AT330" s="2145"/>
      <c r="AV330" s="521"/>
      <c r="AX330" s="2143" t="str">
        <f>+AQ330</f>
        <v>1. COMPRESSOR: Dorin R407c</v>
      </c>
      <c r="AY330" s="2144"/>
      <c r="AZ330" s="2144"/>
      <c r="BA330" s="2144"/>
      <c r="BB330" s="2144"/>
      <c r="BC330" s="2144"/>
      <c r="BD330" s="2145"/>
      <c r="BE330" s="747"/>
      <c r="BF330" s="524"/>
      <c r="BG330" s="395"/>
      <c r="BH330" s="2143" t="str">
        <f>+AX330</f>
        <v>1. COMPRESSOR: Dorin R407c</v>
      </c>
      <c r="BI330" s="2144"/>
      <c r="BJ330" s="2144"/>
      <c r="BK330" s="2144"/>
      <c r="BL330" s="2144"/>
      <c r="BM330" s="2144"/>
      <c r="BN330" s="2144"/>
      <c r="BO330" s="2145"/>
      <c r="BP330" s="395"/>
      <c r="BQ330" s="395"/>
      <c r="BR330" s="369"/>
      <c r="BS330" s="369"/>
      <c r="BT330" s="369"/>
      <c r="BU330" s="395"/>
      <c r="BV330" s="369"/>
      <c r="BW330" s="369"/>
      <c r="BX330" s="369"/>
      <c r="BY330" s="395"/>
      <c r="BZ330" s="369"/>
      <c r="CA330" s="369"/>
      <c r="CH330" s="395"/>
      <c r="CI330" s="511"/>
    </row>
    <row r="331" spans="2:87" s="370" customFormat="1" ht="15" collapsed="1">
      <c r="B331" s="895" t="s">
        <v>1432</v>
      </c>
      <c r="C331" s="896"/>
      <c r="D331" s="897"/>
      <c r="E331" s="898"/>
      <c r="F331" s="899"/>
      <c r="G331" s="899"/>
      <c r="H331" s="900"/>
      <c r="I331" s="901"/>
      <c r="J331" s="902"/>
      <c r="K331" s="898"/>
      <c r="L331" s="899"/>
      <c r="M331" s="903"/>
      <c r="N331" s="904"/>
      <c r="O331" s="898"/>
      <c r="P331" s="902"/>
      <c r="Q331" s="905"/>
      <c r="R331" s="903"/>
      <c r="S331" s="905"/>
      <c r="T331" s="906"/>
      <c r="U331" s="906"/>
      <c r="V331" s="907"/>
      <c r="W331" s="908"/>
      <c r="X331" s="909"/>
      <c r="Y331" s="910">
        <f>SUM(Y332:Y335)</f>
        <v>0</v>
      </c>
      <c r="Z331" s="910">
        <f>SUM(Z332:Z335)</f>
        <v>0</v>
      </c>
      <c r="AA331" s="911"/>
      <c r="AB331" s="747"/>
      <c r="AC331" s="912"/>
      <c r="AD331" s="912"/>
      <c r="AE331" s="912"/>
      <c r="AF331" s="913"/>
      <c r="AH331" s="521"/>
      <c r="AJ331" s="483"/>
      <c r="AK331" s="522">
        <f>SUM(AJ332:AJ335)</f>
        <v>0</v>
      </c>
      <c r="AL331" s="401"/>
      <c r="AM331" s="523">
        <f>SUM(AL332:AL335)</f>
        <v>0</v>
      </c>
      <c r="AO331" s="521"/>
      <c r="AQ331" s="1155" t="str">
        <f>+B331</f>
        <v>- Compressor Assy</v>
      </c>
      <c r="AR331" s="1070" t="s">
        <v>1576</v>
      </c>
      <c r="AS331" s="1071" t="s">
        <v>97</v>
      </c>
      <c r="AT331" s="915" t="s">
        <v>1577</v>
      </c>
      <c r="AV331" s="521"/>
      <c r="AX331" s="918" t="s">
        <v>1433</v>
      </c>
      <c r="AY331" s="919" t="s">
        <v>1434</v>
      </c>
      <c r="AZ331" s="919" t="s">
        <v>1435</v>
      </c>
      <c r="BA331" s="919" t="s">
        <v>1347</v>
      </c>
      <c r="BB331" s="919" t="s">
        <v>1436</v>
      </c>
      <c r="BC331" s="919" t="s">
        <v>1437</v>
      </c>
      <c r="BD331" s="920" t="s">
        <v>1438</v>
      </c>
      <c r="BE331" s="747"/>
      <c r="BF331" s="524"/>
      <c r="BG331" s="395"/>
      <c r="BH331" s="918" t="s">
        <v>1436</v>
      </c>
      <c r="BI331" s="919"/>
      <c r="BJ331" s="919" t="s">
        <v>1437</v>
      </c>
      <c r="BK331" s="919"/>
      <c r="BL331" s="919"/>
      <c r="BM331" s="919"/>
      <c r="BN331" s="919"/>
      <c r="BO331" s="920"/>
      <c r="BP331" s="395"/>
      <c r="BQ331" s="395"/>
      <c r="BR331" s="369"/>
      <c r="BS331" s="369"/>
      <c r="BT331" s="369"/>
      <c r="BU331" s="395"/>
      <c r="BV331" s="369"/>
      <c r="BW331" s="369"/>
      <c r="BX331" s="369"/>
      <c r="BY331" s="395"/>
      <c r="BZ331" s="369"/>
      <c r="CA331" s="369"/>
      <c r="CH331" s="395"/>
      <c r="CI331" s="511"/>
    </row>
    <row r="332" spans="2:87" s="747" customFormat="1" ht="13.9" hidden="1" customHeight="1" outlineLevel="1">
      <c r="B332" s="921" t="str">
        <f t="shared" ref="B332:B335" si="329">AQ332</f>
        <v>7.5hp: H705CC</v>
      </c>
      <c r="C332" s="922"/>
      <c r="D332" s="923"/>
      <c r="E332" s="808"/>
      <c r="F332" s="809"/>
      <c r="G332" s="1053"/>
      <c r="H332" s="924" t="s">
        <v>100</v>
      </c>
      <c r="I332" s="1081"/>
      <c r="J332" s="828"/>
      <c r="K332" s="808"/>
      <c r="L332" s="809"/>
      <c r="M332" s="860">
        <v>1</v>
      </c>
      <c r="N332" s="813">
        <f t="shared" ref="N332:N335" si="330">IF(I332&gt;0,22/28*((I332/1000)^2-(I332/1000-2*J332/1000)^2)*K332/1000,IF(J332&gt;0,J332/1000*K332/1000*L332/1000, IF(K332&gt;0,K332/1000*L332/1000, IF(L332=0,1,L332/1000))))</f>
        <v>1</v>
      </c>
      <c r="O332" s="814">
        <v>1</v>
      </c>
      <c r="P332" s="811">
        <f t="shared" ref="P332:P335" si="331">M332*N332*O332</f>
        <v>1</v>
      </c>
      <c r="Q332" s="815">
        <v>1</v>
      </c>
      <c r="R332" s="505">
        <f t="shared" ref="R332:R340" si="332">+R$330</f>
        <v>0</v>
      </c>
      <c r="S332" s="815">
        <f t="shared" ref="S332:S335" si="333">P332*AA332*Q332*R332</f>
        <v>0</v>
      </c>
      <c r="T332" s="925" t="s">
        <v>1076</v>
      </c>
      <c r="U332" s="811">
        <v>1278.4621296900373</v>
      </c>
      <c r="V332" s="927">
        <f t="shared" ref="V332:V335" si="334">1/VLOOKUP(T332,Y$12:Z$18,2,FALSE)</f>
        <v>1.1337868480725624</v>
      </c>
      <c r="W332" s="926">
        <v>1.67</v>
      </c>
      <c r="X332" s="820">
        <v>78</v>
      </c>
      <c r="Y332" s="928">
        <f t="shared" ref="Y332:Y335" si="335">+P332*R332*AA332*X332</f>
        <v>0</v>
      </c>
      <c r="Z332" s="929">
        <f t="shared" ref="Z332:Z335" si="336">S332*U332*V332*W332</f>
        <v>0</v>
      </c>
      <c r="AA332" s="823">
        <v>1</v>
      </c>
      <c r="AC332" s="457">
        <v>1</v>
      </c>
      <c r="AD332" s="457"/>
      <c r="AE332" s="457"/>
      <c r="AF332" s="457"/>
      <c r="AH332" s="827"/>
      <c r="AJ332" s="828">
        <f t="shared" ref="AJ332:AJ335" si="337">+Y332</f>
        <v>0</v>
      </c>
      <c r="AK332" s="862"/>
      <c r="AL332" s="828">
        <f t="shared" ref="AL332:AL335" si="338">+Z332</f>
        <v>0</v>
      </c>
      <c r="AM332" s="828"/>
      <c r="AO332" s="830"/>
      <c r="AP332" s="817"/>
      <c r="AQ332" s="930" t="s">
        <v>1578</v>
      </c>
      <c r="AR332" s="930" t="s">
        <v>1579</v>
      </c>
      <c r="AS332" s="1156">
        <v>78</v>
      </c>
      <c r="AT332" s="1157">
        <v>1278.4621296900373</v>
      </c>
      <c r="AU332" s="817"/>
      <c r="AV332" s="830"/>
      <c r="AW332" s="817"/>
      <c r="AX332" s="505">
        <v>21.54</v>
      </c>
      <c r="AY332" s="841">
        <v>7.57</v>
      </c>
      <c r="AZ332" s="841">
        <v>29.1</v>
      </c>
      <c r="BA332" s="841">
        <v>13.5</v>
      </c>
      <c r="BB332" s="936">
        <v>28</v>
      </c>
      <c r="BC332" s="936">
        <v>22</v>
      </c>
      <c r="BD332" s="1056">
        <v>0.5</v>
      </c>
      <c r="BF332" s="830"/>
      <c r="BG332" s="936"/>
      <c r="BH332" s="1154">
        <v>28</v>
      </c>
      <c r="BI332" s="1104">
        <v>1.125</v>
      </c>
      <c r="BJ332" s="1109">
        <v>22</v>
      </c>
      <c r="BK332" s="1104">
        <v>0.875</v>
      </c>
      <c r="BL332" s="1109"/>
      <c r="BM332" s="1109"/>
      <c r="BN332" s="1109"/>
      <c r="BO332" s="1112"/>
      <c r="BP332" s="936"/>
      <c r="BQ332" s="936"/>
      <c r="BU332" s="936"/>
      <c r="BY332" s="936"/>
      <c r="CH332" s="936"/>
      <c r="CI332" s="938"/>
    </row>
    <row r="333" spans="2:87" s="747" customFormat="1" ht="13.9" hidden="1" customHeight="1" outlineLevel="1">
      <c r="B333" s="921" t="str">
        <f t="shared" si="329"/>
        <v>10.0hp: H1002CC</v>
      </c>
      <c r="C333" s="922"/>
      <c r="D333" s="923"/>
      <c r="E333" s="808"/>
      <c r="F333" s="809"/>
      <c r="G333" s="1053"/>
      <c r="H333" s="924" t="s">
        <v>100</v>
      </c>
      <c r="J333" s="828"/>
      <c r="K333" s="808"/>
      <c r="L333" s="809"/>
      <c r="M333" s="860">
        <v>1</v>
      </c>
      <c r="N333" s="813">
        <f t="shared" si="330"/>
        <v>1</v>
      </c>
      <c r="O333" s="814">
        <v>1</v>
      </c>
      <c r="P333" s="811">
        <f t="shared" si="331"/>
        <v>1</v>
      </c>
      <c r="Q333" s="815">
        <v>1</v>
      </c>
      <c r="R333" s="505">
        <f t="shared" si="332"/>
        <v>0</v>
      </c>
      <c r="S333" s="815">
        <f t="shared" si="333"/>
        <v>0</v>
      </c>
      <c r="T333" s="925" t="s">
        <v>1076</v>
      </c>
      <c r="U333" s="811">
        <v>1701.0549970713309</v>
      </c>
      <c r="V333" s="927">
        <f t="shared" si="334"/>
        <v>1.1337868480725624</v>
      </c>
      <c r="W333" s="926">
        <v>1.67</v>
      </c>
      <c r="X333" s="820">
        <v>99</v>
      </c>
      <c r="Y333" s="928">
        <f t="shared" si="335"/>
        <v>0</v>
      </c>
      <c r="Z333" s="929">
        <f t="shared" si="336"/>
        <v>0</v>
      </c>
      <c r="AA333" s="823"/>
      <c r="AC333" s="457"/>
      <c r="AD333" s="457">
        <v>1</v>
      </c>
      <c r="AE333" s="457"/>
      <c r="AF333" s="457"/>
      <c r="AH333" s="827"/>
      <c r="AJ333" s="828">
        <f t="shared" si="337"/>
        <v>0</v>
      </c>
      <c r="AK333" s="862"/>
      <c r="AL333" s="828">
        <f t="shared" si="338"/>
        <v>0</v>
      </c>
      <c r="AM333" s="828"/>
      <c r="AO333" s="830"/>
      <c r="AP333" s="817"/>
      <c r="AQ333" s="930" t="s">
        <v>1580</v>
      </c>
      <c r="AR333" s="930" t="s">
        <v>1581</v>
      </c>
      <c r="AS333" s="1156">
        <v>99</v>
      </c>
      <c r="AT333" s="1157">
        <v>1701.0549970713309</v>
      </c>
      <c r="AU333" s="817"/>
      <c r="AV333" s="830"/>
      <c r="AW333" s="817"/>
      <c r="AX333" s="505">
        <v>28.66</v>
      </c>
      <c r="AY333" s="841">
        <v>11.31</v>
      </c>
      <c r="AZ333" s="841">
        <v>39.96</v>
      </c>
      <c r="BA333" s="841">
        <v>19</v>
      </c>
      <c r="BB333" s="936">
        <v>35</v>
      </c>
      <c r="BC333" s="936">
        <v>22</v>
      </c>
      <c r="BD333" s="1056">
        <v>0.625</v>
      </c>
      <c r="BF333" s="830"/>
      <c r="BG333" s="936"/>
      <c r="BH333" s="1154">
        <v>35</v>
      </c>
      <c r="BI333" s="1104">
        <v>1.375</v>
      </c>
      <c r="BJ333" s="1109">
        <v>22</v>
      </c>
      <c r="BK333" s="1104">
        <v>0.875</v>
      </c>
      <c r="BL333" s="1109"/>
      <c r="BM333" s="1109"/>
      <c r="BN333" s="1109"/>
      <c r="BO333" s="1112"/>
      <c r="BP333" s="936"/>
      <c r="BQ333" s="936"/>
      <c r="BU333" s="936"/>
      <c r="BY333" s="936"/>
      <c r="CH333" s="936"/>
      <c r="CI333" s="938"/>
    </row>
    <row r="334" spans="2:87" s="747" customFormat="1" ht="13.9" hidden="1" customHeight="1" outlineLevel="1">
      <c r="B334" s="921" t="str">
        <f t="shared" si="329"/>
        <v>12.5hp: H1201CC</v>
      </c>
      <c r="C334" s="922"/>
      <c r="D334" s="923"/>
      <c r="E334" s="808"/>
      <c r="F334" s="809"/>
      <c r="G334" s="1053"/>
      <c r="H334" s="924" t="s">
        <v>100</v>
      </c>
      <c r="J334" s="828"/>
      <c r="K334" s="808"/>
      <c r="L334" s="809"/>
      <c r="M334" s="860">
        <v>1</v>
      </c>
      <c r="N334" s="813">
        <f t="shared" si="330"/>
        <v>1</v>
      </c>
      <c r="O334" s="814">
        <v>1</v>
      </c>
      <c r="P334" s="811">
        <f t="shared" si="331"/>
        <v>1</v>
      </c>
      <c r="Q334" s="815">
        <v>1</v>
      </c>
      <c r="R334" s="505">
        <f t="shared" si="332"/>
        <v>0</v>
      </c>
      <c r="S334" s="815">
        <f t="shared" si="333"/>
        <v>0</v>
      </c>
      <c r="T334" s="925" t="s">
        <v>1076</v>
      </c>
      <c r="U334" s="811">
        <v>2123.0543351445049</v>
      </c>
      <c r="V334" s="927">
        <f t="shared" si="334"/>
        <v>1.1337868480725624</v>
      </c>
      <c r="W334" s="926">
        <v>1.67</v>
      </c>
      <c r="X334" s="820">
        <v>130</v>
      </c>
      <c r="Y334" s="928">
        <f t="shared" si="335"/>
        <v>0</v>
      </c>
      <c r="Z334" s="929">
        <f t="shared" si="336"/>
        <v>0</v>
      </c>
      <c r="AA334" s="823"/>
      <c r="AC334" s="457"/>
      <c r="AD334" s="457"/>
      <c r="AE334" s="457">
        <v>1</v>
      </c>
      <c r="AF334" s="457"/>
      <c r="AH334" s="827"/>
      <c r="AJ334" s="828">
        <f t="shared" si="337"/>
        <v>0</v>
      </c>
      <c r="AK334" s="862"/>
      <c r="AL334" s="828">
        <f t="shared" si="338"/>
        <v>0</v>
      </c>
      <c r="AM334" s="828"/>
      <c r="AO334" s="830"/>
      <c r="AP334" s="817"/>
      <c r="AQ334" s="930" t="s">
        <v>1582</v>
      </c>
      <c r="AR334" s="930" t="s">
        <v>1583</v>
      </c>
      <c r="AS334" s="1156">
        <v>130</v>
      </c>
      <c r="AT334" s="1157">
        <v>2123.0543351445049</v>
      </c>
      <c r="AU334" s="817"/>
      <c r="AV334" s="830"/>
      <c r="AW334" s="817"/>
      <c r="AX334" s="505">
        <v>35.770000000000003</v>
      </c>
      <c r="AY334" s="841">
        <v>11.86</v>
      </c>
      <c r="AZ334" s="841">
        <v>47.62</v>
      </c>
      <c r="BA334" s="841">
        <v>20.399999999999999</v>
      </c>
      <c r="BB334" s="936">
        <v>35</v>
      </c>
      <c r="BC334" s="936">
        <v>28</v>
      </c>
      <c r="BD334" s="1056">
        <v>0.625</v>
      </c>
      <c r="BF334" s="830"/>
      <c r="BG334" s="936"/>
      <c r="BH334" s="1154">
        <v>35</v>
      </c>
      <c r="BI334" s="1104">
        <v>1.375</v>
      </c>
      <c r="BJ334" s="1109">
        <v>28</v>
      </c>
      <c r="BK334" s="1104">
        <v>1.125</v>
      </c>
      <c r="BL334" s="1109"/>
      <c r="BM334" s="1109"/>
      <c r="BN334" s="1109"/>
      <c r="BO334" s="1112"/>
      <c r="BP334" s="936"/>
      <c r="BQ334" s="936"/>
      <c r="BU334" s="936"/>
      <c r="BY334" s="936"/>
      <c r="CH334" s="936"/>
      <c r="CI334" s="938"/>
    </row>
    <row r="335" spans="2:87" s="747" customFormat="1" ht="13.9" hidden="1" customHeight="1" outlineLevel="1">
      <c r="B335" s="921" t="str">
        <f t="shared" si="329"/>
        <v>15.0hp: H2001CC</v>
      </c>
      <c r="C335" s="922"/>
      <c r="D335" s="923"/>
      <c r="E335" s="808"/>
      <c r="F335" s="809"/>
      <c r="G335" s="1053"/>
      <c r="H335" s="924" t="s">
        <v>100</v>
      </c>
      <c r="J335" s="828"/>
      <c r="K335" s="808"/>
      <c r="L335" s="809"/>
      <c r="M335" s="860">
        <v>1</v>
      </c>
      <c r="N335" s="813">
        <f t="shared" si="330"/>
        <v>1</v>
      </c>
      <c r="O335" s="814">
        <v>1</v>
      </c>
      <c r="P335" s="811">
        <f t="shared" si="331"/>
        <v>1</v>
      </c>
      <c r="Q335" s="815">
        <v>1</v>
      </c>
      <c r="R335" s="505">
        <f t="shared" si="332"/>
        <v>0</v>
      </c>
      <c r="S335" s="815">
        <f t="shared" si="333"/>
        <v>0</v>
      </c>
      <c r="T335" s="925" t="s">
        <v>1076</v>
      </c>
      <c r="U335" s="811">
        <v>2733.2024638916532</v>
      </c>
      <c r="V335" s="927">
        <f t="shared" si="334"/>
        <v>1.1337868480725624</v>
      </c>
      <c r="W335" s="926">
        <v>1.67</v>
      </c>
      <c r="X335" s="820">
        <v>131</v>
      </c>
      <c r="Y335" s="928">
        <f t="shared" si="335"/>
        <v>0</v>
      </c>
      <c r="Z335" s="929">
        <f t="shared" si="336"/>
        <v>0</v>
      </c>
      <c r="AA335" s="823"/>
      <c r="AC335" s="457"/>
      <c r="AD335" s="457"/>
      <c r="AE335" s="457"/>
      <c r="AF335" s="457">
        <v>1</v>
      </c>
      <c r="AH335" s="827"/>
      <c r="AJ335" s="828">
        <f t="shared" si="337"/>
        <v>0</v>
      </c>
      <c r="AK335" s="862"/>
      <c r="AL335" s="828">
        <f t="shared" si="338"/>
        <v>0</v>
      </c>
      <c r="AM335" s="828"/>
      <c r="AO335" s="830"/>
      <c r="AP335" s="817"/>
      <c r="AQ335" s="930" t="s">
        <v>1584</v>
      </c>
      <c r="AR335" s="930" t="s">
        <v>1585</v>
      </c>
      <c r="AS335" s="1156">
        <v>131</v>
      </c>
      <c r="AT335" s="1157">
        <v>2733.2024638916532</v>
      </c>
      <c r="AU335" s="817"/>
      <c r="AV335" s="830"/>
      <c r="AW335" s="817"/>
      <c r="AX335" s="505">
        <v>46.05</v>
      </c>
      <c r="AY335" s="841">
        <v>15.93</v>
      </c>
      <c r="AZ335" s="841">
        <v>61.97</v>
      </c>
      <c r="BA335" s="841">
        <v>28.3</v>
      </c>
      <c r="BB335" s="936">
        <v>42</v>
      </c>
      <c r="BC335" s="936">
        <v>28</v>
      </c>
      <c r="BD335" s="1056">
        <v>0.625</v>
      </c>
      <c r="BF335" s="830"/>
      <c r="BG335" s="936"/>
      <c r="BH335" s="1154">
        <v>42</v>
      </c>
      <c r="BI335" s="1104">
        <v>1.625</v>
      </c>
      <c r="BJ335" s="1109">
        <v>28</v>
      </c>
      <c r="BK335" s="1104">
        <v>1.125</v>
      </c>
      <c r="BL335" s="1109"/>
      <c r="BM335" s="1109"/>
      <c r="BN335" s="1109"/>
      <c r="BO335" s="1112"/>
      <c r="BP335" s="936"/>
      <c r="BQ335" s="936"/>
      <c r="BU335" s="936"/>
      <c r="BY335" s="936"/>
      <c r="CH335" s="936"/>
      <c r="CI335" s="938"/>
    </row>
    <row r="336" spans="2:87" s="370" customFormat="1" ht="15" collapsed="1">
      <c r="B336" s="895" t="s">
        <v>1586</v>
      </c>
      <c r="C336" s="896"/>
      <c r="D336" s="897"/>
      <c r="E336" s="898"/>
      <c r="F336" s="899"/>
      <c r="G336" s="899"/>
      <c r="H336" s="900"/>
      <c r="I336" s="901"/>
      <c r="J336" s="902"/>
      <c r="K336" s="898"/>
      <c r="L336" s="899"/>
      <c r="M336" s="903"/>
      <c r="N336" s="904"/>
      <c r="O336" s="898"/>
      <c r="P336" s="902"/>
      <c r="Q336" s="905"/>
      <c r="R336" s="903"/>
      <c r="S336" s="905"/>
      <c r="T336" s="906"/>
      <c r="U336" s="906"/>
      <c r="V336" s="907"/>
      <c r="W336" s="908"/>
      <c r="X336" s="909"/>
      <c r="Y336" s="910">
        <f>SUM(Y337:Y340)</f>
        <v>0</v>
      </c>
      <c r="Z336" s="910">
        <f>SUM(Z337:Z340)</f>
        <v>0</v>
      </c>
      <c r="AA336" s="911"/>
      <c r="AB336" s="747"/>
      <c r="AC336" s="912"/>
      <c r="AD336" s="912"/>
      <c r="AE336" s="912"/>
      <c r="AF336" s="913"/>
      <c r="AH336" s="521"/>
      <c r="AJ336" s="483"/>
      <c r="AK336" s="522">
        <f>SUM(AJ337:AJ340)</f>
        <v>0</v>
      </c>
      <c r="AL336" s="401"/>
      <c r="AM336" s="523">
        <f>SUM(AL337:AL340)</f>
        <v>0</v>
      </c>
      <c r="AO336" s="521"/>
      <c r="AP336" s="369"/>
      <c r="AQ336" s="1057"/>
      <c r="AR336" s="1058"/>
      <c r="AS336" s="1058"/>
      <c r="AT336" s="940"/>
      <c r="AU336" s="369"/>
      <c r="AV336" s="521"/>
      <c r="AW336" s="369"/>
      <c r="AX336" s="1057"/>
      <c r="AY336" s="1058"/>
      <c r="AZ336" s="1058"/>
      <c r="BA336" s="1058"/>
      <c r="BB336" s="1058"/>
      <c r="BC336" s="1058"/>
      <c r="BD336" s="940"/>
      <c r="BE336" s="747"/>
      <c r="BF336" s="524"/>
      <c r="BG336" s="395"/>
      <c r="BH336" s="395"/>
      <c r="BI336" s="395"/>
      <c r="BJ336" s="395"/>
      <c r="BK336" s="369"/>
      <c r="BL336" s="395"/>
      <c r="BM336" s="395"/>
      <c r="BN336" s="395"/>
      <c r="BO336" s="395"/>
      <c r="BP336" s="395"/>
      <c r="BQ336" s="395"/>
      <c r="BR336" s="369"/>
      <c r="BS336" s="369"/>
      <c r="BT336" s="369"/>
      <c r="BU336" s="395"/>
      <c r="BV336" s="369"/>
      <c r="BW336" s="369"/>
      <c r="BX336" s="369"/>
      <c r="BY336" s="395"/>
      <c r="BZ336" s="369"/>
      <c r="CA336" s="369"/>
      <c r="CH336" s="395"/>
      <c r="CI336" s="511"/>
    </row>
    <row r="337" spans="2:87" s="747" customFormat="1" ht="13.9" hidden="1" customHeight="1" outlineLevel="1">
      <c r="B337" s="921" t="s">
        <v>1587</v>
      </c>
      <c r="C337" s="922"/>
      <c r="D337" s="923"/>
      <c r="E337" s="808"/>
      <c r="F337" s="809"/>
      <c r="G337" s="809"/>
      <c r="H337" s="924" t="s">
        <v>100</v>
      </c>
      <c r="J337" s="828"/>
      <c r="K337" s="808"/>
      <c r="L337" s="809"/>
      <c r="M337" s="860">
        <v>1</v>
      </c>
      <c r="N337" s="813">
        <f t="shared" ref="N337:N340" si="339">IF(I337&gt;0,22/28*((I337/1000)^2-(I337/1000-2*J337/1000)^2)*K337/1000,IF(J337&gt;0,J337/1000*K337/1000*L337/1000, IF(K337&gt;0,K337/1000*L337/1000, IF(L337=0,1,L337/1000))))</f>
        <v>1</v>
      </c>
      <c r="O337" s="814">
        <v>1</v>
      </c>
      <c r="P337" s="811">
        <f t="shared" ref="P337:P340" si="340">M337*N337*O337</f>
        <v>1</v>
      </c>
      <c r="Q337" s="815">
        <v>1</v>
      </c>
      <c r="R337" s="505">
        <f t="shared" si="332"/>
        <v>0</v>
      </c>
      <c r="S337" s="815">
        <f t="shared" ref="S337:S340" si="341">P337*AA337*Q337*R337</f>
        <v>0</v>
      </c>
      <c r="T337" s="925" t="s">
        <v>46</v>
      </c>
      <c r="U337" s="811">
        <v>1340.127</v>
      </c>
      <c r="V337" s="927">
        <f t="shared" ref="V337:V340" si="342">1/VLOOKUP(T337,Y$12:Z$18,2,FALSE)</f>
        <v>1</v>
      </c>
      <c r="W337" s="926">
        <v>1.05</v>
      </c>
      <c r="X337" s="820">
        <v>246</v>
      </c>
      <c r="Y337" s="928">
        <f t="shared" ref="Y337:Y340" si="343">+P337*R337*AA337*X337</f>
        <v>0</v>
      </c>
      <c r="Z337" s="929">
        <f t="shared" ref="Z337:Z340" si="344">S337*U337*V337*W337</f>
        <v>0</v>
      </c>
      <c r="AA337" s="823"/>
      <c r="AC337" s="457"/>
      <c r="AD337" s="457"/>
      <c r="AE337" s="457"/>
      <c r="AF337" s="457"/>
      <c r="AG337" s="824"/>
      <c r="AH337" s="827"/>
      <c r="AI337" s="824"/>
      <c r="AJ337" s="828">
        <f t="shared" ref="AJ337:AJ340" si="345">+Y337</f>
        <v>0</v>
      </c>
      <c r="AK337" s="862"/>
      <c r="AL337" s="828">
        <f t="shared" ref="AL337:AL340" si="346">+Z337</f>
        <v>0</v>
      </c>
      <c r="AM337" s="862"/>
      <c r="AN337" s="824"/>
      <c r="AO337" s="827"/>
      <c r="AP337" s="824"/>
      <c r="AQ337" s="965"/>
      <c r="AR337" s="966"/>
      <c r="AS337" s="1082"/>
      <c r="AT337" s="943"/>
      <c r="AU337" s="824"/>
      <c r="AV337" s="827"/>
      <c r="AW337" s="824"/>
      <c r="AX337" s="934"/>
      <c r="AY337" s="936"/>
      <c r="AZ337" s="936"/>
      <c r="BA337" s="936"/>
      <c r="BB337" s="936"/>
      <c r="BD337" s="924"/>
      <c r="BF337" s="830"/>
      <c r="BG337" s="936"/>
      <c r="BH337" s="936"/>
      <c r="BJ337" s="936"/>
      <c r="BK337" s="936"/>
      <c r="BL337" s="936"/>
      <c r="BM337" s="936"/>
      <c r="BN337" s="936"/>
      <c r="BO337" s="936"/>
      <c r="BP337" s="936"/>
      <c r="BS337" s="936"/>
      <c r="CH337" s="936"/>
      <c r="CI337" s="938"/>
    </row>
    <row r="338" spans="2:87" s="747" customFormat="1" ht="13.9" hidden="1" customHeight="1" outlineLevel="1">
      <c r="B338" s="921" t="s">
        <v>1588</v>
      </c>
      <c r="C338" s="922"/>
      <c r="D338" s="923"/>
      <c r="E338" s="808"/>
      <c r="F338" s="809"/>
      <c r="G338" s="809"/>
      <c r="H338" s="924" t="s">
        <v>100</v>
      </c>
      <c r="J338" s="828"/>
      <c r="K338" s="808"/>
      <c r="L338" s="809"/>
      <c r="M338" s="860">
        <v>1</v>
      </c>
      <c r="N338" s="813">
        <f t="shared" si="339"/>
        <v>1</v>
      </c>
      <c r="O338" s="814">
        <v>1</v>
      </c>
      <c r="P338" s="811">
        <f t="shared" si="340"/>
        <v>1</v>
      </c>
      <c r="Q338" s="815">
        <v>1</v>
      </c>
      <c r="R338" s="505">
        <f t="shared" si="332"/>
        <v>0</v>
      </c>
      <c r="S338" s="815">
        <f t="shared" si="341"/>
        <v>0</v>
      </c>
      <c r="T338" s="925" t="s">
        <v>46</v>
      </c>
      <c r="U338" s="811">
        <v>770.79200000000003</v>
      </c>
      <c r="V338" s="927">
        <f t="shared" si="342"/>
        <v>1</v>
      </c>
      <c r="W338" s="926">
        <v>1.05</v>
      </c>
      <c r="X338" s="820">
        <v>253</v>
      </c>
      <c r="Y338" s="928">
        <f t="shared" si="343"/>
        <v>0</v>
      </c>
      <c r="Z338" s="929">
        <f t="shared" si="344"/>
        <v>0</v>
      </c>
      <c r="AA338" s="823"/>
      <c r="AC338" s="457"/>
      <c r="AD338" s="457"/>
      <c r="AE338" s="457"/>
      <c r="AF338" s="457"/>
      <c r="AG338" s="824"/>
      <c r="AH338" s="827"/>
      <c r="AI338" s="824"/>
      <c r="AJ338" s="828">
        <f t="shared" si="345"/>
        <v>0</v>
      </c>
      <c r="AK338" s="862"/>
      <c r="AL338" s="828">
        <f t="shared" si="346"/>
        <v>0</v>
      </c>
      <c r="AM338" s="862"/>
      <c r="AN338" s="824"/>
      <c r="AO338" s="827"/>
      <c r="AP338" s="824"/>
      <c r="AQ338" s="930"/>
      <c r="AS338" s="828"/>
      <c r="AT338" s="964"/>
      <c r="AU338" s="824"/>
      <c r="AV338" s="827"/>
      <c r="AW338" s="824"/>
      <c r="AX338" s="934"/>
      <c r="AY338" s="936"/>
      <c r="AZ338" s="936"/>
      <c r="BA338" s="936"/>
      <c r="BB338" s="936"/>
      <c r="BD338" s="924"/>
      <c r="BF338" s="830"/>
      <c r="BG338" s="936"/>
      <c r="BH338" s="936"/>
      <c r="BJ338" s="936"/>
      <c r="BK338" s="936"/>
      <c r="BL338" s="936"/>
      <c r="BM338" s="936"/>
      <c r="BN338" s="936"/>
      <c r="BO338" s="936"/>
      <c r="BP338" s="936"/>
      <c r="BS338" s="936"/>
      <c r="CH338" s="936"/>
      <c r="CI338" s="938"/>
    </row>
    <row r="339" spans="2:87" s="747" customFormat="1" ht="13.9" hidden="1" customHeight="1" outlineLevel="1">
      <c r="B339" s="921" t="s">
        <v>1589</v>
      </c>
      <c r="C339" s="922"/>
      <c r="D339" s="923"/>
      <c r="E339" s="808"/>
      <c r="F339" s="809"/>
      <c r="G339" s="809"/>
      <c r="H339" s="924" t="s">
        <v>100</v>
      </c>
      <c r="J339" s="828"/>
      <c r="K339" s="808"/>
      <c r="L339" s="809"/>
      <c r="M339" s="860">
        <v>1</v>
      </c>
      <c r="N339" s="813">
        <f t="shared" si="339"/>
        <v>1</v>
      </c>
      <c r="O339" s="814">
        <v>1</v>
      </c>
      <c r="P339" s="811">
        <f t="shared" si="340"/>
        <v>1</v>
      </c>
      <c r="Q339" s="815">
        <v>1</v>
      </c>
      <c r="R339" s="505">
        <f t="shared" si="332"/>
        <v>0</v>
      </c>
      <c r="S339" s="815">
        <f t="shared" si="341"/>
        <v>0</v>
      </c>
      <c r="T339" s="925" t="s">
        <v>46</v>
      </c>
      <c r="U339" s="811">
        <v>715.01100000000008</v>
      </c>
      <c r="V339" s="927">
        <f t="shared" si="342"/>
        <v>1</v>
      </c>
      <c r="W339" s="926">
        <v>1.05</v>
      </c>
      <c r="X339" s="820">
        <v>355</v>
      </c>
      <c r="Y339" s="928">
        <f t="shared" si="343"/>
        <v>0</v>
      </c>
      <c r="Z339" s="929">
        <f t="shared" si="344"/>
        <v>0</v>
      </c>
      <c r="AA339" s="823"/>
      <c r="AC339" s="457"/>
      <c r="AD339" s="457"/>
      <c r="AE339" s="457"/>
      <c r="AF339" s="457"/>
      <c r="AG339" s="824"/>
      <c r="AH339" s="827"/>
      <c r="AI339" s="824"/>
      <c r="AJ339" s="828">
        <f t="shared" si="345"/>
        <v>0</v>
      </c>
      <c r="AK339" s="862"/>
      <c r="AL339" s="828">
        <f t="shared" si="346"/>
        <v>0</v>
      </c>
      <c r="AM339" s="862"/>
      <c r="AN339" s="824"/>
      <c r="AO339" s="827"/>
      <c r="AP339" s="824"/>
      <c r="AQ339" s="930"/>
      <c r="AS339" s="828"/>
      <c r="AT339" s="964"/>
      <c r="AU339" s="824"/>
      <c r="AV339" s="827"/>
      <c r="AW339" s="824"/>
      <c r="AX339" s="934"/>
      <c r="AY339" s="936"/>
      <c r="AZ339" s="936"/>
      <c r="BA339" s="936"/>
      <c r="BB339" s="936"/>
      <c r="BD339" s="924"/>
      <c r="BF339" s="830"/>
      <c r="BG339" s="936"/>
      <c r="BH339" s="936"/>
      <c r="BJ339" s="936"/>
      <c r="BK339" s="936"/>
      <c r="BL339" s="936"/>
      <c r="BM339" s="936"/>
      <c r="BN339" s="936"/>
      <c r="BO339" s="936"/>
      <c r="BP339" s="936"/>
      <c r="BS339" s="936"/>
      <c r="CH339" s="936"/>
      <c r="CI339" s="938"/>
    </row>
    <row r="340" spans="2:87" s="747" customFormat="1" ht="13.9" hidden="1" customHeight="1" outlineLevel="1">
      <c r="B340" s="921" t="s">
        <v>1590</v>
      </c>
      <c r="C340" s="922"/>
      <c r="D340" s="923"/>
      <c r="E340" s="808"/>
      <c r="F340" s="809"/>
      <c r="G340" s="809"/>
      <c r="H340" s="924" t="s">
        <v>100</v>
      </c>
      <c r="J340" s="828"/>
      <c r="K340" s="808"/>
      <c r="L340" s="809"/>
      <c r="M340" s="860">
        <v>1</v>
      </c>
      <c r="N340" s="813">
        <f t="shared" si="339"/>
        <v>1</v>
      </c>
      <c r="O340" s="814">
        <v>1</v>
      </c>
      <c r="P340" s="811">
        <f t="shared" si="340"/>
        <v>1</v>
      </c>
      <c r="Q340" s="815">
        <v>1</v>
      </c>
      <c r="R340" s="505">
        <f t="shared" si="332"/>
        <v>0</v>
      </c>
      <c r="S340" s="815">
        <f t="shared" si="341"/>
        <v>0</v>
      </c>
      <c r="T340" s="925" t="s">
        <v>46</v>
      </c>
      <c r="U340" s="811">
        <v>394.15500000000003</v>
      </c>
      <c r="V340" s="927">
        <f t="shared" si="342"/>
        <v>1</v>
      </c>
      <c r="W340" s="926">
        <v>1.05</v>
      </c>
      <c r="X340" s="820">
        <v>357</v>
      </c>
      <c r="Y340" s="928">
        <f t="shared" si="343"/>
        <v>0</v>
      </c>
      <c r="Z340" s="929">
        <f t="shared" si="344"/>
        <v>0</v>
      </c>
      <c r="AA340" s="823"/>
      <c r="AC340" s="457"/>
      <c r="AD340" s="457"/>
      <c r="AE340" s="457"/>
      <c r="AF340" s="457"/>
      <c r="AG340" s="824"/>
      <c r="AH340" s="827"/>
      <c r="AI340" s="824"/>
      <c r="AJ340" s="828">
        <f t="shared" si="345"/>
        <v>0</v>
      </c>
      <c r="AK340" s="862"/>
      <c r="AL340" s="828">
        <f t="shared" si="346"/>
        <v>0</v>
      </c>
      <c r="AM340" s="862"/>
      <c r="AN340" s="824"/>
      <c r="AO340" s="827"/>
      <c r="AP340" s="824"/>
      <c r="AQ340" s="985"/>
      <c r="AR340" s="1076"/>
      <c r="AS340" s="1077"/>
      <c r="AT340" s="991"/>
      <c r="AU340" s="824"/>
      <c r="AV340" s="827"/>
      <c r="AW340" s="824"/>
      <c r="AX340" s="1085"/>
      <c r="AY340" s="1086"/>
      <c r="AZ340" s="1086"/>
      <c r="BA340" s="1086"/>
      <c r="BB340" s="1086"/>
      <c r="BC340" s="1076"/>
      <c r="BD340" s="1075"/>
      <c r="BF340" s="830"/>
      <c r="BG340" s="936"/>
      <c r="BH340" s="936"/>
      <c r="BJ340" s="936"/>
      <c r="BK340" s="936"/>
      <c r="BL340" s="936"/>
      <c r="BM340" s="936"/>
      <c r="BN340" s="936"/>
      <c r="BO340" s="936"/>
      <c r="BP340" s="936"/>
      <c r="BS340" s="936"/>
      <c r="CH340" s="936"/>
      <c r="CI340" s="938"/>
    </row>
    <row r="341" spans="2:87" s="370" customFormat="1" ht="15" collapsed="1">
      <c r="B341" s="783" t="s">
        <v>1591</v>
      </c>
      <c r="C341" s="784"/>
      <c r="D341" s="785"/>
      <c r="E341" s="786"/>
      <c r="F341" s="787"/>
      <c r="G341" s="787"/>
      <c r="H341" s="788" t="s">
        <v>30</v>
      </c>
      <c r="I341" s="789" t="s">
        <v>1162</v>
      </c>
      <c r="J341" s="790" t="s">
        <v>1071</v>
      </c>
      <c r="K341" s="786" t="s">
        <v>1072</v>
      </c>
      <c r="L341" s="787" t="s">
        <v>21</v>
      </c>
      <c r="M341" s="791" t="s">
        <v>82</v>
      </c>
      <c r="N341" s="839" t="s">
        <v>1163</v>
      </c>
      <c r="O341" s="786" t="s">
        <v>1154</v>
      </c>
      <c r="P341" s="790" t="s">
        <v>1164</v>
      </c>
      <c r="Q341" s="793" t="s">
        <v>34</v>
      </c>
      <c r="R341" s="894">
        <f>IF(D$8="Dorin-ExNa",1,0)</f>
        <v>0</v>
      </c>
      <c r="S341" s="793" t="s">
        <v>13</v>
      </c>
      <c r="T341" s="794" t="s">
        <v>128</v>
      </c>
      <c r="U341" s="794" t="s">
        <v>111</v>
      </c>
      <c r="V341" s="795" t="s">
        <v>32</v>
      </c>
      <c r="W341" s="796" t="s">
        <v>33</v>
      </c>
      <c r="X341" s="797"/>
      <c r="Y341" s="798"/>
      <c r="Z341" s="944"/>
      <c r="AA341" s="800" t="str">
        <f>+AA$2</f>
        <v>SCU75M1</v>
      </c>
      <c r="AB341" s="369"/>
      <c r="AC341" s="801" t="str">
        <f>+AC$2</f>
        <v>SCU75M1</v>
      </c>
      <c r="AD341" s="801" t="str">
        <f>+AD$2</f>
        <v>SCU100M1</v>
      </c>
      <c r="AE341" s="801" t="str">
        <f>+AE$2</f>
        <v>SCU125M1</v>
      </c>
      <c r="AF341" s="802" t="str">
        <f>+AF$2</f>
        <v>SCU150M1</v>
      </c>
      <c r="AH341" s="521"/>
      <c r="AJ341" s="483"/>
      <c r="AK341" s="522"/>
      <c r="AL341" s="401"/>
      <c r="AM341" s="523"/>
      <c r="AO341" s="521"/>
      <c r="AQ341" s="2143" t="str">
        <f>+B341</f>
        <v>2. COMPRESSOR: Dorin R407c ExNa</v>
      </c>
      <c r="AR341" s="2144"/>
      <c r="AS341" s="2144"/>
      <c r="AT341" s="2145"/>
      <c r="AV341" s="521"/>
      <c r="AX341" s="2143" t="str">
        <f>+AQ341</f>
        <v>2. COMPRESSOR: Dorin R407c ExNa</v>
      </c>
      <c r="AY341" s="2144"/>
      <c r="AZ341" s="2144"/>
      <c r="BA341" s="2144"/>
      <c r="BB341" s="2144"/>
      <c r="BC341" s="2144"/>
      <c r="BD341" s="2145"/>
      <c r="BE341" s="747"/>
      <c r="BF341" s="524"/>
      <c r="BG341" s="395"/>
      <c r="BH341" s="398"/>
      <c r="BI341" s="398"/>
      <c r="BJ341" s="1158"/>
      <c r="BK341" s="395"/>
      <c r="BL341" s="395"/>
      <c r="BM341" s="395"/>
      <c r="BN341" s="395"/>
      <c r="BO341" s="395"/>
      <c r="BP341" s="395"/>
      <c r="BQ341" s="395"/>
      <c r="BR341" s="369"/>
      <c r="BS341" s="369"/>
      <c r="BT341" s="369"/>
      <c r="BU341" s="395"/>
      <c r="BV341" s="369"/>
      <c r="BW341" s="369"/>
      <c r="BX341" s="369"/>
      <c r="BY341" s="395"/>
      <c r="BZ341" s="369"/>
      <c r="CA341" s="369"/>
      <c r="CH341" s="395"/>
      <c r="CI341" s="511"/>
    </row>
    <row r="342" spans="2:87" s="370" customFormat="1" ht="15" collapsed="1">
      <c r="B342" s="895" t="s">
        <v>1432</v>
      </c>
      <c r="C342" s="896"/>
      <c r="D342" s="897"/>
      <c r="E342" s="898"/>
      <c r="F342" s="899"/>
      <c r="G342" s="899"/>
      <c r="H342" s="900"/>
      <c r="I342" s="901"/>
      <c r="J342" s="902"/>
      <c r="K342" s="898"/>
      <c r="L342" s="899"/>
      <c r="M342" s="903"/>
      <c r="N342" s="904"/>
      <c r="O342" s="898"/>
      <c r="P342" s="902"/>
      <c r="Q342" s="905"/>
      <c r="R342" s="903"/>
      <c r="S342" s="905"/>
      <c r="T342" s="906"/>
      <c r="U342" s="906"/>
      <c r="V342" s="907"/>
      <c r="W342" s="908"/>
      <c r="X342" s="909"/>
      <c r="Y342" s="910">
        <f>SUM(Y343:Y346)</f>
        <v>0</v>
      </c>
      <c r="Z342" s="910">
        <f>SUM(Z343:Z346)</f>
        <v>0</v>
      </c>
      <c r="AA342" s="911"/>
      <c r="AB342" s="747"/>
      <c r="AC342" s="912"/>
      <c r="AD342" s="912"/>
      <c r="AE342" s="912"/>
      <c r="AF342" s="913"/>
      <c r="AH342" s="521"/>
      <c r="AJ342" s="483"/>
      <c r="AK342" s="522">
        <f>SUM(AJ343:AJ346)</f>
        <v>0</v>
      </c>
      <c r="AL342" s="401"/>
      <c r="AM342" s="523">
        <f>SUM(AL343:AL346)</f>
        <v>0</v>
      </c>
      <c r="AO342" s="521"/>
      <c r="AQ342" s="1155" t="str">
        <f>+B342</f>
        <v>- Compressor Assy</v>
      </c>
      <c r="AR342" s="1070" t="s">
        <v>1592</v>
      </c>
      <c r="AS342" s="1071" t="s">
        <v>97</v>
      </c>
      <c r="AT342" s="915" t="s">
        <v>1577</v>
      </c>
      <c r="AV342" s="521"/>
      <c r="AX342" s="918" t="s">
        <v>1433</v>
      </c>
      <c r="AY342" s="919" t="s">
        <v>1434</v>
      </c>
      <c r="AZ342" s="919" t="s">
        <v>1435</v>
      </c>
      <c r="BA342" s="919" t="s">
        <v>1347</v>
      </c>
      <c r="BB342" s="919" t="s">
        <v>1436</v>
      </c>
      <c r="BC342" s="919" t="s">
        <v>1437</v>
      </c>
      <c r="BD342" s="920" t="s">
        <v>1438</v>
      </c>
      <c r="BE342" s="747"/>
      <c r="BF342" s="524"/>
      <c r="BG342" s="395"/>
      <c r="BH342" s="395"/>
      <c r="BI342" s="395"/>
      <c r="BJ342" s="395"/>
      <c r="BK342" s="369"/>
      <c r="BL342" s="395"/>
      <c r="BM342" s="395"/>
      <c r="BN342" s="395"/>
      <c r="BO342" s="395"/>
      <c r="BP342" s="395"/>
      <c r="BQ342" s="395"/>
      <c r="BR342" s="369"/>
      <c r="BS342" s="369"/>
      <c r="BT342" s="369"/>
      <c r="BU342" s="395"/>
      <c r="BV342" s="369"/>
      <c r="BW342" s="369"/>
      <c r="BX342" s="369"/>
      <c r="BY342" s="395"/>
      <c r="BZ342" s="369"/>
      <c r="CA342" s="369"/>
      <c r="CH342" s="395"/>
      <c r="CI342" s="511"/>
    </row>
    <row r="343" spans="2:87" s="747" customFormat="1" ht="13.9" hidden="1" customHeight="1" outlineLevel="1">
      <c r="B343" s="921" t="str">
        <f t="shared" ref="B343:B346" si="347">AQ343</f>
        <v>7.5hp: HEX705CC</v>
      </c>
      <c r="C343" s="921"/>
      <c r="D343" s="923"/>
      <c r="E343" s="808"/>
      <c r="F343" s="809"/>
      <c r="G343" s="809"/>
      <c r="H343" s="924" t="s">
        <v>100</v>
      </c>
      <c r="J343" s="828"/>
      <c r="K343" s="808"/>
      <c r="L343" s="809"/>
      <c r="M343" s="860">
        <v>1</v>
      </c>
      <c r="N343" s="813">
        <f t="shared" ref="N343:N351" si="348">IF(I343&gt;0,22/28*((I343/1000)^2-(I343/1000-2*J343/1000)^2)*K343/1000,IF(J343&gt;0,J343/1000*K343/1000*L343/1000, IF(K343&gt;0,K343/1000*L343/1000, IF(L343=0,1,L343/1000))))</f>
        <v>1</v>
      </c>
      <c r="O343" s="814">
        <v>1</v>
      </c>
      <c r="P343" s="811">
        <f t="shared" ref="P343:P351" si="349">M343*N343*O343</f>
        <v>1</v>
      </c>
      <c r="Q343" s="815">
        <v>1</v>
      </c>
      <c r="R343" s="505">
        <f t="shared" ref="R343:R351" si="350">+R$341</f>
        <v>0</v>
      </c>
      <c r="S343" s="815">
        <f t="shared" ref="S343:S351" si="351">P343*AA343*Q343*R343</f>
        <v>0</v>
      </c>
      <c r="T343" s="925" t="s">
        <v>1076</v>
      </c>
      <c r="U343" s="811">
        <v>804</v>
      </c>
      <c r="V343" s="927">
        <f t="shared" ref="V343:V351" si="352">1/VLOOKUP(T343,Y$12:Z$18,2,FALSE)</f>
        <v>1.1337868480725624</v>
      </c>
      <c r="W343" s="926">
        <v>1.67</v>
      </c>
      <c r="X343" s="820">
        <v>78</v>
      </c>
      <c r="Y343" s="928">
        <f t="shared" ref="Y343:Y351" si="353">+P343*R343*AA343*X343</f>
        <v>0</v>
      </c>
      <c r="Z343" s="929">
        <f t="shared" ref="Z343:Z351" si="354">S343*U343*V343*W343</f>
        <v>0</v>
      </c>
      <c r="AA343" s="823">
        <v>1</v>
      </c>
      <c r="AC343" s="457">
        <v>1</v>
      </c>
      <c r="AD343" s="457"/>
      <c r="AE343" s="457"/>
      <c r="AF343" s="457"/>
      <c r="AG343" s="824"/>
      <c r="AH343" s="827"/>
      <c r="AI343" s="824"/>
      <c r="AJ343" s="828">
        <f t="shared" ref="AJ343:AJ351" si="355">+Y343</f>
        <v>0</v>
      </c>
      <c r="AK343" s="862"/>
      <c r="AL343" s="828">
        <f t="shared" ref="AL343:AL351" si="356">+Z343</f>
        <v>0</v>
      </c>
      <c r="AM343" s="862"/>
      <c r="AN343" s="824"/>
      <c r="AO343" s="827"/>
      <c r="AQ343" s="930" t="s">
        <v>1593</v>
      </c>
      <c r="AR343" s="930" t="s">
        <v>1594</v>
      </c>
      <c r="AS343" s="1156">
        <v>78</v>
      </c>
      <c r="AT343" s="1159">
        <v>804</v>
      </c>
      <c r="AV343" s="827"/>
      <c r="AX343" s="505">
        <v>21.54</v>
      </c>
      <c r="AY343" s="841">
        <v>7.57</v>
      </c>
      <c r="AZ343" s="841">
        <v>29.1</v>
      </c>
      <c r="BA343" s="841">
        <v>13.5</v>
      </c>
      <c r="BB343" s="936">
        <v>28</v>
      </c>
      <c r="BC343" s="936">
        <v>22</v>
      </c>
      <c r="BD343" s="1056">
        <v>0.5</v>
      </c>
      <c r="BF343" s="830"/>
      <c r="BG343" s="936"/>
      <c r="BH343" s="922"/>
      <c r="BI343" s="922"/>
      <c r="BJ343" s="1160"/>
      <c r="BL343" s="936"/>
      <c r="BM343" s="936"/>
      <c r="BN343" s="936"/>
      <c r="BO343" s="936"/>
      <c r="BP343" s="936"/>
      <c r="BQ343" s="936"/>
      <c r="BU343" s="936"/>
      <c r="BY343" s="936"/>
      <c r="CH343" s="936"/>
      <c r="CI343" s="938"/>
    </row>
    <row r="344" spans="2:87" s="747" customFormat="1" ht="13.9" hidden="1" customHeight="1" outlineLevel="1">
      <c r="B344" s="921" t="str">
        <f t="shared" si="347"/>
        <v>10.0hp: HEX1002CC</v>
      </c>
      <c r="C344" s="921"/>
      <c r="D344" s="923"/>
      <c r="E344" s="808"/>
      <c r="F344" s="809"/>
      <c r="G344" s="809"/>
      <c r="H344" s="924" t="s">
        <v>100</v>
      </c>
      <c r="J344" s="828"/>
      <c r="K344" s="808"/>
      <c r="L344" s="809"/>
      <c r="M344" s="860">
        <v>1</v>
      </c>
      <c r="N344" s="813">
        <f t="shared" si="348"/>
        <v>1</v>
      </c>
      <c r="O344" s="814">
        <v>1</v>
      </c>
      <c r="P344" s="811">
        <f t="shared" si="349"/>
        <v>1</v>
      </c>
      <c r="Q344" s="815">
        <v>3</v>
      </c>
      <c r="R344" s="505">
        <f t="shared" si="350"/>
        <v>0</v>
      </c>
      <c r="S344" s="815">
        <f t="shared" si="351"/>
        <v>0</v>
      </c>
      <c r="T344" s="925" t="s">
        <v>1076</v>
      </c>
      <c r="U344" s="811">
        <v>996</v>
      </c>
      <c r="V344" s="927">
        <f t="shared" si="352"/>
        <v>1.1337868480725624</v>
      </c>
      <c r="W344" s="926">
        <v>1.67</v>
      </c>
      <c r="X344" s="820">
        <v>99</v>
      </c>
      <c r="Y344" s="928">
        <f t="shared" si="353"/>
        <v>0</v>
      </c>
      <c r="Z344" s="929">
        <f t="shared" si="354"/>
        <v>0</v>
      </c>
      <c r="AA344" s="823"/>
      <c r="AC344" s="457"/>
      <c r="AD344" s="457">
        <v>1</v>
      </c>
      <c r="AE344" s="457"/>
      <c r="AF344" s="457"/>
      <c r="AG344" s="824"/>
      <c r="AH344" s="827"/>
      <c r="AI344" s="824"/>
      <c r="AJ344" s="828">
        <f t="shared" si="355"/>
        <v>0</v>
      </c>
      <c r="AK344" s="862"/>
      <c r="AL344" s="828">
        <f t="shared" si="356"/>
        <v>0</v>
      </c>
      <c r="AM344" s="862"/>
      <c r="AN344" s="824"/>
      <c r="AO344" s="827"/>
      <c r="AQ344" s="930" t="s">
        <v>1595</v>
      </c>
      <c r="AR344" s="930" t="s">
        <v>1596</v>
      </c>
      <c r="AS344" s="1156">
        <v>99</v>
      </c>
      <c r="AT344" s="1159">
        <v>996</v>
      </c>
      <c r="AV344" s="827"/>
      <c r="AX344" s="505">
        <v>28.66</v>
      </c>
      <c r="AY344" s="841">
        <v>11.31</v>
      </c>
      <c r="AZ344" s="841">
        <v>39.96</v>
      </c>
      <c r="BA344" s="841">
        <v>19</v>
      </c>
      <c r="BB344" s="936">
        <v>35</v>
      </c>
      <c r="BC344" s="936">
        <v>22</v>
      </c>
      <c r="BD344" s="1056">
        <v>0.625</v>
      </c>
      <c r="BF344" s="830"/>
      <c r="BG344" s="936"/>
      <c r="BH344" s="922"/>
      <c r="BI344" s="922"/>
      <c r="BJ344" s="1160"/>
      <c r="BL344" s="936"/>
      <c r="BM344" s="936"/>
      <c r="BN344" s="936"/>
      <c r="BO344" s="936"/>
      <c r="BP344" s="936"/>
      <c r="BQ344" s="936"/>
      <c r="BU344" s="936"/>
      <c r="BY344" s="936"/>
      <c r="CH344" s="936"/>
      <c r="CI344" s="938"/>
    </row>
    <row r="345" spans="2:87" s="747" customFormat="1" ht="13.9" hidden="1" customHeight="1" outlineLevel="1">
      <c r="B345" s="921" t="str">
        <f t="shared" si="347"/>
        <v>12.5hp: HEX1201CC</v>
      </c>
      <c r="C345" s="921"/>
      <c r="D345" s="923"/>
      <c r="E345" s="808"/>
      <c r="F345" s="809"/>
      <c r="G345" s="809"/>
      <c r="H345" s="924" t="s">
        <v>100</v>
      </c>
      <c r="J345" s="828"/>
      <c r="K345" s="808"/>
      <c r="L345" s="809"/>
      <c r="M345" s="860">
        <v>1</v>
      </c>
      <c r="N345" s="813">
        <f t="shared" si="348"/>
        <v>1</v>
      </c>
      <c r="O345" s="814">
        <v>1</v>
      </c>
      <c r="P345" s="811">
        <f t="shared" si="349"/>
        <v>1</v>
      </c>
      <c r="Q345" s="815">
        <v>4</v>
      </c>
      <c r="R345" s="505">
        <f t="shared" si="350"/>
        <v>0</v>
      </c>
      <c r="S345" s="815">
        <f t="shared" si="351"/>
        <v>0</v>
      </c>
      <c r="T345" s="925" t="s">
        <v>1076</v>
      </c>
      <c r="U345" s="811">
        <v>1158</v>
      </c>
      <c r="V345" s="927">
        <f t="shared" si="352"/>
        <v>1.1337868480725624</v>
      </c>
      <c r="W345" s="926">
        <v>1.67</v>
      </c>
      <c r="X345" s="820">
        <v>130</v>
      </c>
      <c r="Y345" s="928">
        <f t="shared" si="353"/>
        <v>0</v>
      </c>
      <c r="Z345" s="929">
        <f t="shared" si="354"/>
        <v>0</v>
      </c>
      <c r="AA345" s="823"/>
      <c r="AC345" s="457"/>
      <c r="AD345" s="457"/>
      <c r="AE345" s="457">
        <v>1</v>
      </c>
      <c r="AF345" s="457"/>
      <c r="AG345" s="824"/>
      <c r="AH345" s="827"/>
      <c r="AI345" s="824"/>
      <c r="AJ345" s="828">
        <f t="shared" si="355"/>
        <v>0</v>
      </c>
      <c r="AK345" s="862"/>
      <c r="AL345" s="828">
        <f t="shared" si="356"/>
        <v>0</v>
      </c>
      <c r="AM345" s="862"/>
      <c r="AN345" s="824"/>
      <c r="AO345" s="827"/>
      <c r="AQ345" s="930" t="s">
        <v>1597</v>
      </c>
      <c r="AR345" s="930" t="s">
        <v>1598</v>
      </c>
      <c r="AS345" s="1156">
        <v>130</v>
      </c>
      <c r="AT345" s="1159">
        <v>1158</v>
      </c>
      <c r="AV345" s="827"/>
      <c r="AX345" s="505">
        <v>35.770000000000003</v>
      </c>
      <c r="AY345" s="841">
        <v>11.86</v>
      </c>
      <c r="AZ345" s="841">
        <v>47.62</v>
      </c>
      <c r="BA345" s="841">
        <v>20.399999999999999</v>
      </c>
      <c r="BB345" s="936">
        <v>35</v>
      </c>
      <c r="BC345" s="936">
        <v>28</v>
      </c>
      <c r="BD345" s="1056">
        <v>0.625</v>
      </c>
      <c r="BF345" s="830"/>
      <c r="BG345" s="936"/>
      <c r="BH345" s="936"/>
      <c r="BI345" s="936"/>
      <c r="BJ345" s="936"/>
      <c r="BL345" s="936"/>
      <c r="BM345" s="936"/>
      <c r="BN345" s="936"/>
      <c r="BO345" s="936"/>
      <c r="BP345" s="936"/>
      <c r="BQ345" s="936"/>
      <c r="BU345" s="936"/>
      <c r="BY345" s="936"/>
      <c r="CH345" s="936"/>
      <c r="CI345" s="938"/>
    </row>
    <row r="346" spans="2:87" s="747" customFormat="1" ht="13.9" hidden="1" customHeight="1" outlineLevel="1">
      <c r="B346" s="921" t="str">
        <f t="shared" si="347"/>
        <v>15.0hp: HEX2001CC</v>
      </c>
      <c r="C346" s="921"/>
      <c r="D346" s="923"/>
      <c r="E346" s="808"/>
      <c r="F346" s="809"/>
      <c r="G346" s="809"/>
      <c r="H346" s="924" t="s">
        <v>100</v>
      </c>
      <c r="J346" s="828"/>
      <c r="K346" s="808"/>
      <c r="L346" s="809"/>
      <c r="M346" s="860">
        <v>1</v>
      </c>
      <c r="N346" s="813">
        <f t="shared" si="348"/>
        <v>1</v>
      </c>
      <c r="O346" s="814">
        <v>1</v>
      </c>
      <c r="P346" s="811">
        <f t="shared" si="349"/>
        <v>1</v>
      </c>
      <c r="Q346" s="815">
        <v>6</v>
      </c>
      <c r="R346" s="505">
        <f t="shared" si="350"/>
        <v>0</v>
      </c>
      <c r="S346" s="815">
        <f t="shared" si="351"/>
        <v>0</v>
      </c>
      <c r="T346" s="925" t="s">
        <v>1076</v>
      </c>
      <c r="U346" s="811">
        <v>1586</v>
      </c>
      <c r="V346" s="927">
        <f t="shared" si="352"/>
        <v>1.1337868480725624</v>
      </c>
      <c r="W346" s="926">
        <v>1.67</v>
      </c>
      <c r="X346" s="820">
        <v>131</v>
      </c>
      <c r="Y346" s="928">
        <f t="shared" si="353"/>
        <v>0</v>
      </c>
      <c r="Z346" s="929">
        <f t="shared" si="354"/>
        <v>0</v>
      </c>
      <c r="AA346" s="823"/>
      <c r="AC346" s="457"/>
      <c r="AD346" s="457"/>
      <c r="AE346" s="457"/>
      <c r="AF346" s="457">
        <v>1</v>
      </c>
      <c r="AG346" s="824"/>
      <c r="AH346" s="827"/>
      <c r="AI346" s="824"/>
      <c r="AJ346" s="828">
        <f t="shared" si="355"/>
        <v>0</v>
      </c>
      <c r="AK346" s="862"/>
      <c r="AL346" s="828">
        <f t="shared" si="356"/>
        <v>0</v>
      </c>
      <c r="AM346" s="862"/>
      <c r="AN346" s="824"/>
      <c r="AO346" s="827"/>
      <c r="AQ346" s="930" t="s">
        <v>1599</v>
      </c>
      <c r="AR346" s="930" t="s">
        <v>1600</v>
      </c>
      <c r="AS346" s="1156">
        <v>131</v>
      </c>
      <c r="AT346" s="1159">
        <v>1586</v>
      </c>
      <c r="AV346" s="827"/>
      <c r="AX346" s="505">
        <v>46.05</v>
      </c>
      <c r="AY346" s="841">
        <v>15.93</v>
      </c>
      <c r="AZ346" s="841">
        <v>61.97</v>
      </c>
      <c r="BA346" s="841">
        <v>28.3</v>
      </c>
      <c r="BB346" s="936">
        <v>42</v>
      </c>
      <c r="BC346" s="936">
        <v>28</v>
      </c>
      <c r="BD346" s="1056">
        <v>0.625</v>
      </c>
      <c r="BF346" s="830"/>
      <c r="BG346" s="936"/>
      <c r="BH346" s="936"/>
      <c r="BI346" s="936"/>
      <c r="BJ346" s="936"/>
      <c r="BL346" s="936"/>
      <c r="BM346" s="936"/>
      <c r="BN346" s="936"/>
      <c r="BO346" s="936"/>
      <c r="BP346" s="936"/>
      <c r="BQ346" s="936"/>
      <c r="BU346" s="936"/>
      <c r="BY346" s="936"/>
      <c r="CH346" s="936"/>
      <c r="CI346" s="938"/>
    </row>
    <row r="347" spans="2:87" s="370" customFormat="1" ht="15" collapsed="1">
      <c r="B347" s="895" t="s">
        <v>1586</v>
      </c>
      <c r="C347" s="896"/>
      <c r="D347" s="897"/>
      <c r="E347" s="898"/>
      <c r="F347" s="899"/>
      <c r="G347" s="899"/>
      <c r="H347" s="900"/>
      <c r="I347" s="901"/>
      <c r="J347" s="902"/>
      <c r="K347" s="898"/>
      <c r="L347" s="899"/>
      <c r="M347" s="903"/>
      <c r="N347" s="904"/>
      <c r="O347" s="898"/>
      <c r="P347" s="902"/>
      <c r="Q347" s="905"/>
      <c r="R347" s="903"/>
      <c r="S347" s="905"/>
      <c r="T347" s="906"/>
      <c r="U347" s="906"/>
      <c r="V347" s="907"/>
      <c r="W347" s="908"/>
      <c r="X347" s="909"/>
      <c r="Y347" s="910">
        <f>SUM(Y348:Y351)</f>
        <v>0</v>
      </c>
      <c r="Z347" s="910">
        <f>SUM(Z348:Z351)</f>
        <v>0</v>
      </c>
      <c r="AA347" s="911"/>
      <c r="AB347" s="747"/>
      <c r="AC347" s="912"/>
      <c r="AD347" s="912"/>
      <c r="AE347" s="912"/>
      <c r="AF347" s="913"/>
      <c r="AH347" s="521"/>
      <c r="AJ347" s="483"/>
      <c r="AK347" s="522">
        <f>SUM(AJ348:AJ351)</f>
        <v>0</v>
      </c>
      <c r="AL347" s="401"/>
      <c r="AM347" s="523">
        <f>SUM(AL348:AL351)</f>
        <v>0</v>
      </c>
      <c r="AO347" s="521"/>
      <c r="AP347" s="369"/>
      <c r="AQ347" s="1057"/>
      <c r="AR347" s="1058"/>
      <c r="AS347" s="1058"/>
      <c r="AT347" s="940"/>
      <c r="AU347" s="369"/>
      <c r="AV347" s="521"/>
      <c r="AW347" s="369"/>
      <c r="AX347" s="1057"/>
      <c r="AY347" s="1058"/>
      <c r="AZ347" s="1058"/>
      <c r="BA347" s="1058"/>
      <c r="BB347" s="1058"/>
      <c r="BC347" s="1058"/>
      <c r="BD347" s="940"/>
      <c r="BE347" s="395"/>
      <c r="BF347" s="524"/>
      <c r="BG347" s="369"/>
      <c r="BH347" s="369"/>
      <c r="BI347" s="369"/>
      <c r="BJ347" s="395"/>
      <c r="BK347" s="369"/>
      <c r="BL347" s="369"/>
      <c r="BM347" s="369"/>
      <c r="BN347" s="369"/>
      <c r="BO347" s="369"/>
      <c r="BP347" s="369"/>
      <c r="CH347" s="369"/>
      <c r="CI347" s="521"/>
    </row>
    <row r="348" spans="2:87" s="747" customFormat="1" ht="13.9" hidden="1" customHeight="1" outlineLevel="1">
      <c r="B348" s="921" t="s">
        <v>1587</v>
      </c>
      <c r="C348" s="922"/>
      <c r="D348" s="923"/>
      <c r="E348" s="808"/>
      <c r="F348" s="809"/>
      <c r="G348" s="809"/>
      <c r="H348" s="924" t="s">
        <v>100</v>
      </c>
      <c r="J348" s="828"/>
      <c r="K348" s="808"/>
      <c r="L348" s="809"/>
      <c r="M348" s="860">
        <v>1</v>
      </c>
      <c r="N348" s="813">
        <f t="shared" si="348"/>
        <v>1</v>
      </c>
      <c r="O348" s="814">
        <v>1</v>
      </c>
      <c r="P348" s="811">
        <f t="shared" si="349"/>
        <v>1</v>
      </c>
      <c r="Q348" s="815">
        <v>1</v>
      </c>
      <c r="R348" s="505">
        <f t="shared" si="350"/>
        <v>0</v>
      </c>
      <c r="S348" s="815">
        <f t="shared" si="351"/>
        <v>0</v>
      </c>
      <c r="T348" s="925" t="s">
        <v>46</v>
      </c>
      <c r="U348" s="811">
        <v>1340.127</v>
      </c>
      <c r="V348" s="927">
        <f t="shared" si="352"/>
        <v>1</v>
      </c>
      <c r="W348" s="926">
        <v>1.05</v>
      </c>
      <c r="X348" s="820">
        <v>246</v>
      </c>
      <c r="Y348" s="928">
        <f t="shared" si="353"/>
        <v>0</v>
      </c>
      <c r="Z348" s="929">
        <f t="shared" si="354"/>
        <v>0</v>
      </c>
      <c r="AA348" s="823">
        <v>1</v>
      </c>
      <c r="AC348" s="457">
        <v>1</v>
      </c>
      <c r="AD348" s="457">
        <v>1</v>
      </c>
      <c r="AE348" s="457">
        <v>1</v>
      </c>
      <c r="AF348" s="457">
        <v>1</v>
      </c>
      <c r="AG348" s="824"/>
      <c r="AH348" s="827"/>
      <c r="AI348" s="824"/>
      <c r="AJ348" s="828">
        <f t="shared" si="355"/>
        <v>0</v>
      </c>
      <c r="AK348" s="862"/>
      <c r="AL348" s="828">
        <f t="shared" si="356"/>
        <v>0</v>
      </c>
      <c r="AM348" s="862"/>
      <c r="AN348" s="824"/>
      <c r="AO348" s="827"/>
      <c r="AP348" s="824"/>
      <c r="AQ348" s="965"/>
      <c r="AR348" s="966"/>
      <c r="AS348" s="1082"/>
      <c r="AT348" s="943"/>
      <c r="AU348" s="824"/>
      <c r="AV348" s="827"/>
      <c r="AW348" s="824"/>
      <c r="AX348" s="934"/>
      <c r="AY348" s="936"/>
      <c r="AZ348" s="936"/>
      <c r="BA348" s="936"/>
      <c r="BB348" s="936"/>
      <c r="BD348" s="924"/>
      <c r="BE348" s="936"/>
      <c r="BF348" s="830"/>
      <c r="BG348" s="936"/>
      <c r="BH348" s="936"/>
      <c r="BJ348" s="936"/>
      <c r="BK348" s="936"/>
      <c r="BL348" s="936"/>
      <c r="BM348" s="936"/>
      <c r="BN348" s="936"/>
      <c r="BO348" s="936"/>
      <c r="BP348" s="936"/>
      <c r="BS348" s="936"/>
      <c r="CH348" s="936"/>
      <c r="CI348" s="938"/>
    </row>
    <row r="349" spans="2:87" s="747" customFormat="1" ht="13.9" hidden="1" customHeight="1" outlineLevel="1">
      <c r="B349" s="921" t="s">
        <v>1588</v>
      </c>
      <c r="C349" s="922"/>
      <c r="D349" s="923"/>
      <c r="E349" s="808"/>
      <c r="F349" s="809"/>
      <c r="G349" s="809"/>
      <c r="H349" s="924" t="s">
        <v>100</v>
      </c>
      <c r="J349" s="828"/>
      <c r="K349" s="808"/>
      <c r="L349" s="809"/>
      <c r="M349" s="860">
        <v>1</v>
      </c>
      <c r="N349" s="813">
        <f t="shared" si="348"/>
        <v>1</v>
      </c>
      <c r="O349" s="814">
        <v>1</v>
      </c>
      <c r="P349" s="811">
        <f t="shared" si="349"/>
        <v>1</v>
      </c>
      <c r="Q349" s="815">
        <v>1</v>
      </c>
      <c r="R349" s="505">
        <f t="shared" si="350"/>
        <v>0</v>
      </c>
      <c r="S349" s="815">
        <f t="shared" si="351"/>
        <v>0</v>
      </c>
      <c r="T349" s="925" t="s">
        <v>46</v>
      </c>
      <c r="U349" s="811">
        <v>770.79200000000003</v>
      </c>
      <c r="V349" s="927">
        <f t="shared" si="352"/>
        <v>1</v>
      </c>
      <c r="W349" s="926">
        <v>1.05</v>
      </c>
      <c r="X349" s="820">
        <v>253</v>
      </c>
      <c r="Y349" s="928">
        <f t="shared" si="353"/>
        <v>0</v>
      </c>
      <c r="Z349" s="929">
        <f t="shared" si="354"/>
        <v>0</v>
      </c>
      <c r="AA349" s="823">
        <v>1</v>
      </c>
      <c r="AC349" s="457">
        <v>1</v>
      </c>
      <c r="AD349" s="457">
        <v>1</v>
      </c>
      <c r="AE349" s="457">
        <v>1</v>
      </c>
      <c r="AF349" s="457">
        <v>1</v>
      </c>
      <c r="AG349" s="824"/>
      <c r="AH349" s="827"/>
      <c r="AI349" s="824"/>
      <c r="AJ349" s="828">
        <f t="shared" si="355"/>
        <v>0</v>
      </c>
      <c r="AK349" s="862"/>
      <c r="AL349" s="828">
        <f t="shared" si="356"/>
        <v>0</v>
      </c>
      <c r="AM349" s="862"/>
      <c r="AN349" s="824"/>
      <c r="AO349" s="827"/>
      <c r="AP349" s="824"/>
      <c r="AQ349" s="930"/>
      <c r="AS349" s="828"/>
      <c r="AT349" s="964"/>
      <c r="AU349" s="824"/>
      <c r="AV349" s="827"/>
      <c r="AW349" s="824"/>
      <c r="AX349" s="934"/>
      <c r="AY349" s="936"/>
      <c r="AZ349" s="936"/>
      <c r="BA349" s="936"/>
      <c r="BB349" s="936"/>
      <c r="BD349" s="924"/>
      <c r="BE349" s="936"/>
      <c r="BF349" s="830"/>
      <c r="BG349" s="936"/>
      <c r="BH349" s="936"/>
      <c r="BJ349" s="936"/>
      <c r="BK349" s="936"/>
      <c r="BL349" s="936"/>
      <c r="BM349" s="936"/>
      <c r="BN349" s="936"/>
      <c r="BO349" s="936"/>
      <c r="BP349" s="936"/>
      <c r="BS349" s="936"/>
      <c r="CH349" s="936"/>
      <c r="CI349" s="938"/>
    </row>
    <row r="350" spans="2:87" s="747" customFormat="1" ht="13.9" hidden="1" customHeight="1" outlineLevel="1">
      <c r="B350" s="921" t="s">
        <v>1589</v>
      </c>
      <c r="C350" s="922"/>
      <c r="D350" s="923"/>
      <c r="E350" s="808"/>
      <c r="F350" s="809"/>
      <c r="G350" s="809"/>
      <c r="H350" s="924" t="s">
        <v>100</v>
      </c>
      <c r="J350" s="828"/>
      <c r="K350" s="808"/>
      <c r="L350" s="809"/>
      <c r="M350" s="860">
        <v>1</v>
      </c>
      <c r="N350" s="813">
        <f t="shared" si="348"/>
        <v>1</v>
      </c>
      <c r="O350" s="814">
        <v>1</v>
      </c>
      <c r="P350" s="811">
        <f t="shared" si="349"/>
        <v>1</v>
      </c>
      <c r="Q350" s="815">
        <v>1</v>
      </c>
      <c r="R350" s="505">
        <f t="shared" si="350"/>
        <v>0</v>
      </c>
      <c r="S350" s="815">
        <f t="shared" si="351"/>
        <v>0</v>
      </c>
      <c r="T350" s="925" t="s">
        <v>46</v>
      </c>
      <c r="U350" s="811">
        <v>715.01100000000008</v>
      </c>
      <c r="V350" s="927">
        <f t="shared" si="352"/>
        <v>1</v>
      </c>
      <c r="W350" s="926">
        <v>1.05</v>
      </c>
      <c r="X350" s="820">
        <v>355</v>
      </c>
      <c r="Y350" s="928">
        <f t="shared" si="353"/>
        <v>0</v>
      </c>
      <c r="Z350" s="929">
        <f t="shared" si="354"/>
        <v>0</v>
      </c>
      <c r="AA350" s="823">
        <v>1</v>
      </c>
      <c r="AC350" s="457">
        <v>1</v>
      </c>
      <c r="AD350" s="457">
        <v>1</v>
      </c>
      <c r="AE350" s="457">
        <v>1</v>
      </c>
      <c r="AF350" s="457">
        <v>1</v>
      </c>
      <c r="AG350" s="824"/>
      <c r="AH350" s="827"/>
      <c r="AI350" s="824"/>
      <c r="AJ350" s="828">
        <f t="shared" si="355"/>
        <v>0</v>
      </c>
      <c r="AK350" s="862"/>
      <c r="AL350" s="828">
        <f t="shared" si="356"/>
        <v>0</v>
      </c>
      <c r="AM350" s="862"/>
      <c r="AN350" s="824"/>
      <c r="AO350" s="827"/>
      <c r="AP350" s="824"/>
      <c r="AQ350" s="930"/>
      <c r="AS350" s="828"/>
      <c r="AT350" s="964"/>
      <c r="AU350" s="824"/>
      <c r="AV350" s="827"/>
      <c r="AW350" s="824"/>
      <c r="AX350" s="934"/>
      <c r="AY350" s="936"/>
      <c r="AZ350" s="936"/>
      <c r="BA350" s="936"/>
      <c r="BB350" s="936"/>
      <c r="BD350" s="924"/>
      <c r="BE350" s="936"/>
      <c r="BF350" s="830"/>
      <c r="BG350" s="936"/>
      <c r="BH350" s="936"/>
      <c r="BJ350" s="936"/>
      <c r="BK350" s="936"/>
      <c r="BL350" s="936"/>
      <c r="BM350" s="936"/>
      <c r="BN350" s="936"/>
      <c r="BO350" s="936"/>
      <c r="BP350" s="936"/>
      <c r="BS350" s="936"/>
      <c r="CH350" s="936"/>
      <c r="CI350" s="938"/>
    </row>
    <row r="351" spans="2:87" s="747" customFormat="1" ht="13.9" hidden="1" customHeight="1" outlineLevel="1">
      <c r="B351" s="921" t="s">
        <v>1590</v>
      </c>
      <c r="C351" s="922"/>
      <c r="D351" s="923"/>
      <c r="E351" s="808"/>
      <c r="F351" s="809"/>
      <c r="G351" s="809"/>
      <c r="H351" s="924" t="s">
        <v>100</v>
      </c>
      <c r="J351" s="828"/>
      <c r="K351" s="808"/>
      <c r="L351" s="809"/>
      <c r="M351" s="860">
        <v>1</v>
      </c>
      <c r="N351" s="813">
        <f t="shared" si="348"/>
        <v>1</v>
      </c>
      <c r="O351" s="814">
        <v>1</v>
      </c>
      <c r="P351" s="811">
        <f t="shared" si="349"/>
        <v>1</v>
      </c>
      <c r="Q351" s="815">
        <v>1</v>
      </c>
      <c r="R351" s="505">
        <f t="shared" si="350"/>
        <v>0</v>
      </c>
      <c r="S351" s="815">
        <f t="shared" si="351"/>
        <v>0</v>
      </c>
      <c r="T351" s="925" t="s">
        <v>46</v>
      </c>
      <c r="U351" s="811">
        <v>394.15500000000003</v>
      </c>
      <c r="V351" s="927">
        <f t="shared" si="352"/>
        <v>1</v>
      </c>
      <c r="W351" s="926">
        <v>1.05</v>
      </c>
      <c r="X351" s="820">
        <v>357</v>
      </c>
      <c r="Y351" s="928">
        <f t="shared" si="353"/>
        <v>0</v>
      </c>
      <c r="Z351" s="929">
        <f t="shared" si="354"/>
        <v>0</v>
      </c>
      <c r="AA351" s="823">
        <v>1</v>
      </c>
      <c r="AC351" s="457">
        <v>1</v>
      </c>
      <c r="AD351" s="457">
        <v>1</v>
      </c>
      <c r="AE351" s="457">
        <v>1</v>
      </c>
      <c r="AF351" s="457">
        <v>1</v>
      </c>
      <c r="AG351" s="824"/>
      <c r="AH351" s="827"/>
      <c r="AI351" s="824"/>
      <c r="AJ351" s="828">
        <f t="shared" si="355"/>
        <v>0</v>
      </c>
      <c r="AK351" s="862"/>
      <c r="AL351" s="828">
        <f t="shared" si="356"/>
        <v>0</v>
      </c>
      <c r="AM351" s="862"/>
      <c r="AN351" s="824"/>
      <c r="AO351" s="827"/>
      <c r="AP351" s="824"/>
      <c r="AQ351" s="985"/>
      <c r="AR351" s="1076"/>
      <c r="AS351" s="1077"/>
      <c r="AT351" s="991"/>
      <c r="AU351" s="824"/>
      <c r="AV351" s="827"/>
      <c r="AW351" s="824"/>
      <c r="AX351" s="1085"/>
      <c r="AY351" s="1086"/>
      <c r="AZ351" s="1086"/>
      <c r="BA351" s="1086"/>
      <c r="BB351" s="1086"/>
      <c r="BC351" s="1076"/>
      <c r="BD351" s="1075"/>
      <c r="BE351" s="936"/>
      <c r="BF351" s="830"/>
      <c r="BG351" s="936"/>
      <c r="BH351" s="936"/>
      <c r="BJ351" s="936"/>
      <c r="BK351" s="936"/>
      <c r="BL351" s="936"/>
      <c r="BM351" s="936"/>
      <c r="BN351" s="936"/>
      <c r="BO351" s="936"/>
      <c r="BP351" s="936"/>
      <c r="BS351" s="936"/>
      <c r="CH351" s="936"/>
      <c r="CI351" s="938"/>
    </row>
    <row r="352" spans="2:87" s="370" customFormat="1" ht="15" collapsed="1">
      <c r="B352" s="783" t="s">
        <v>1601</v>
      </c>
      <c r="C352" s="784" t="s">
        <v>1309</v>
      </c>
      <c r="D352" s="785">
        <f>+I$73</f>
        <v>950</v>
      </c>
      <c r="E352" s="786">
        <f>+J$73</f>
        <v>875</v>
      </c>
      <c r="F352" s="787">
        <f>+K$73</f>
        <v>1188</v>
      </c>
      <c r="G352" s="787"/>
      <c r="H352" s="788" t="s">
        <v>30</v>
      </c>
      <c r="I352" s="789" t="s">
        <v>1162</v>
      </c>
      <c r="J352" s="790" t="s">
        <v>1071</v>
      </c>
      <c r="K352" s="786" t="s">
        <v>1072</v>
      </c>
      <c r="L352" s="787" t="s">
        <v>21</v>
      </c>
      <c r="M352" s="791" t="s">
        <v>82</v>
      </c>
      <c r="N352" s="839" t="s">
        <v>1163</v>
      </c>
      <c r="O352" s="786" t="s">
        <v>1154</v>
      </c>
      <c r="P352" s="790" t="s">
        <v>1164</v>
      </c>
      <c r="Q352" s="793" t="s">
        <v>34</v>
      </c>
      <c r="R352" s="791">
        <f>+R$330+R$341</f>
        <v>0</v>
      </c>
      <c r="S352" s="793" t="s">
        <v>13</v>
      </c>
      <c r="T352" s="794" t="s">
        <v>128</v>
      </c>
      <c r="U352" s="794" t="s">
        <v>111</v>
      </c>
      <c r="V352" s="795" t="s">
        <v>32</v>
      </c>
      <c r="W352" s="796" t="s">
        <v>33</v>
      </c>
      <c r="X352" s="797"/>
      <c r="Y352" s="798"/>
      <c r="Z352" s="799"/>
      <c r="AA352" s="800" t="str">
        <f>+AA$2</f>
        <v>SCU75M1</v>
      </c>
      <c r="AB352" s="747"/>
      <c r="AC352" s="801" t="str">
        <f>+AC$2</f>
        <v>SCU75M1</v>
      </c>
      <c r="AD352" s="801" t="str">
        <f>+AD$2</f>
        <v>SCU100M1</v>
      </c>
      <c r="AE352" s="801" t="str">
        <f>+AE$2</f>
        <v>SCU125M1</v>
      </c>
      <c r="AF352" s="802" t="str">
        <f>+AF$2</f>
        <v>SCU150M1</v>
      </c>
      <c r="AH352" s="521"/>
      <c r="AJ352" s="483"/>
      <c r="AK352" s="522"/>
      <c r="AL352" s="401"/>
      <c r="AM352" s="523"/>
      <c r="AO352" s="521"/>
      <c r="AQ352" s="2143" t="str">
        <f>+B352</f>
        <v>COMPRESSOR: SH Recip Pipework</v>
      </c>
      <c r="AR352" s="2144"/>
      <c r="AS352" s="2144"/>
      <c r="AT352" s="2145"/>
      <c r="AV352" s="521"/>
      <c r="AX352" s="2143" t="str">
        <f>+AQ352</f>
        <v>COMPRESSOR: SH Recip Pipework</v>
      </c>
      <c r="AY352" s="2144"/>
      <c r="AZ352" s="2144"/>
      <c r="BA352" s="2144"/>
      <c r="BB352" s="2144"/>
      <c r="BC352" s="2144"/>
      <c r="BD352" s="2145"/>
      <c r="BE352" s="747"/>
      <c r="BF352" s="524"/>
      <c r="BG352" s="395"/>
      <c r="BH352" s="395"/>
      <c r="BI352" s="395"/>
      <c r="BJ352" s="395"/>
      <c r="BK352" s="395"/>
      <c r="BL352" s="395"/>
      <c r="BM352" s="369"/>
      <c r="BN352" s="395"/>
      <c r="BO352" s="395"/>
      <c r="BP352" s="395"/>
      <c r="BQ352" s="369"/>
      <c r="BR352" s="395"/>
      <c r="BS352" s="395"/>
      <c r="BT352" s="369"/>
      <c r="BU352" s="369"/>
      <c r="BV352" s="369"/>
      <c r="BW352" s="395"/>
      <c r="BX352" s="369"/>
      <c r="BY352" s="395"/>
      <c r="BZ352" s="369"/>
      <c r="CA352" s="369"/>
      <c r="CB352" s="369"/>
      <c r="CC352" s="369"/>
      <c r="CH352" s="395"/>
      <c r="CI352" s="511"/>
    </row>
    <row r="353" spans="2:87" s="370" customFormat="1" ht="15" collapsed="1">
      <c r="B353" s="895" t="s">
        <v>1512</v>
      </c>
      <c r="C353" s="896" t="s">
        <v>1513</v>
      </c>
      <c r="D353" s="897"/>
      <c r="E353" s="898"/>
      <c r="F353" s="899"/>
      <c r="G353" s="899"/>
      <c r="H353" s="900"/>
      <c r="I353" s="901"/>
      <c r="J353" s="902"/>
      <c r="K353" s="898"/>
      <c r="L353" s="899"/>
      <c r="M353" s="903"/>
      <c r="N353" s="904"/>
      <c r="O353" s="898"/>
      <c r="P353" s="902"/>
      <c r="Q353" s="905"/>
      <c r="R353" s="903"/>
      <c r="S353" s="905"/>
      <c r="T353" s="906"/>
      <c r="U353" s="906"/>
      <c r="V353" s="907"/>
      <c r="W353" s="908"/>
      <c r="X353" s="909"/>
      <c r="Y353" s="910">
        <f>SUM(Y354:Y357)</f>
        <v>0</v>
      </c>
      <c r="Z353" s="910">
        <f>SUM(Z354:Z357)</f>
        <v>0</v>
      </c>
      <c r="AA353" s="911"/>
      <c r="AB353" s="747"/>
      <c r="AC353" s="912"/>
      <c r="AD353" s="912"/>
      <c r="AE353" s="912"/>
      <c r="AF353" s="913"/>
      <c r="AH353" s="521"/>
      <c r="AJ353" s="483"/>
      <c r="AK353" s="522">
        <f>SUM(AJ354:AJ357)</f>
        <v>0</v>
      </c>
      <c r="AL353" s="401"/>
      <c r="AM353" s="523">
        <f>SUM(AL354:AL357)</f>
        <v>0</v>
      </c>
      <c r="AO353" s="521"/>
      <c r="AQ353" s="1155" t="str">
        <f>+B353</f>
        <v>- Suction Pipe Assy</v>
      </c>
      <c r="AR353" s="1070" t="s">
        <v>87</v>
      </c>
      <c r="AS353" s="1071" t="s">
        <v>97</v>
      </c>
      <c r="AT353" s="915" t="s">
        <v>1345</v>
      </c>
      <c r="AV353" s="521"/>
      <c r="AX353" s="918" t="s">
        <v>19</v>
      </c>
      <c r="AY353" s="919" t="s">
        <v>1436</v>
      </c>
      <c r="AZ353" s="920"/>
      <c r="BA353" s="918" t="s">
        <v>1437</v>
      </c>
      <c r="BB353" s="920"/>
      <c r="BC353" s="918" t="s">
        <v>1438</v>
      </c>
      <c r="BD353" s="920"/>
      <c r="BF353" s="524"/>
      <c r="BG353" s="395"/>
      <c r="BH353" s="918" t="s">
        <v>1128</v>
      </c>
      <c r="BI353" s="919" t="s">
        <v>1514</v>
      </c>
      <c r="BJ353" s="919" t="s">
        <v>1515</v>
      </c>
      <c r="BK353" s="919" t="s">
        <v>1516</v>
      </c>
      <c r="BL353" s="919" t="s">
        <v>1517</v>
      </c>
      <c r="BM353" s="919" t="s">
        <v>1518</v>
      </c>
      <c r="BN353" s="919"/>
      <c r="BO353" s="920"/>
      <c r="BP353" s="395"/>
      <c r="BQ353" s="395"/>
      <c r="BR353" s="369"/>
      <c r="BS353" s="369"/>
      <c r="BT353" s="369"/>
      <c r="BU353" s="395"/>
      <c r="BV353" s="369"/>
      <c r="BW353" s="369"/>
      <c r="BX353" s="369"/>
      <c r="BY353" s="395"/>
      <c r="BZ353" s="369"/>
      <c r="CA353" s="369"/>
      <c r="CH353" s="395"/>
      <c r="CI353" s="511"/>
    </row>
    <row r="354" spans="2:87" s="747" customFormat="1" ht="13.9" hidden="1" customHeight="1" outlineLevel="1">
      <c r="B354" s="931" t="str">
        <f t="shared" ref="B354:B357" si="357">"Suction Pipe "&amp;AQ354</f>
        <v>Suction Pipe 7.5hp: H705CC/ HEX705CC</v>
      </c>
      <c r="D354" s="1100">
        <f t="shared" ref="D354:E357" si="358">+AY354</f>
        <v>1.125</v>
      </c>
      <c r="E354" s="811">
        <f t="shared" si="358"/>
        <v>1.2</v>
      </c>
      <c r="F354" s="1101">
        <f t="shared" ref="F354:F357" si="359">+D$352/4+E$352/2+F$352/4</f>
        <v>972</v>
      </c>
      <c r="G354" s="978"/>
      <c r="H354" s="924" t="s">
        <v>97</v>
      </c>
      <c r="I354" s="811">
        <f t="shared" ref="I354:I371" si="360">+D354*25.4</f>
        <v>28.574999999999999</v>
      </c>
      <c r="J354" s="811">
        <f t="shared" ref="J354:K357" si="361">+E354</f>
        <v>1.2</v>
      </c>
      <c r="K354" s="808">
        <f t="shared" si="361"/>
        <v>972</v>
      </c>
      <c r="L354" s="809"/>
      <c r="M354" s="860">
        <v>8900</v>
      </c>
      <c r="N354" s="813">
        <f t="shared" ref="N354:N357" si="362">IF(I354&gt;0,22/28*((I354/1000)^2-(I354/1000-2*J354/1000)^2)*K354/1000,IF(J354&gt;0,J354/1000*K354/1000*L354/1000, IF(K354&gt;0,K354/1000*L354/1000, IF(L354=0,1,L354/1000))))</f>
        <v>1.003520571428571E-4</v>
      </c>
      <c r="O354" s="814">
        <v>1</v>
      </c>
      <c r="P354" s="811">
        <f t="shared" ref="P354:P371" si="363">M354*N354*O354</f>
        <v>0.89313330857142814</v>
      </c>
      <c r="Q354" s="978">
        <v>1.05</v>
      </c>
      <c r="R354" s="505">
        <f t="shared" ref="R354:R367" si="364">+R$352</f>
        <v>0</v>
      </c>
      <c r="S354" s="980">
        <f t="shared" ref="S354:S371" si="365">P354*AA354*Q354*R354</f>
        <v>0</v>
      </c>
      <c r="T354" s="925" t="s">
        <v>115</v>
      </c>
      <c r="U354" s="946">
        <f t="shared" ref="U354:U357" si="366">+P$65</f>
        <v>207000</v>
      </c>
      <c r="V354" s="927">
        <f t="shared" ref="V354:V371" si="367">1/VLOOKUP(T354,Y$12:Z$18,2,FALSE)</f>
        <v>6.8240753377917299E-5</v>
      </c>
      <c r="W354" s="926">
        <v>1</v>
      </c>
      <c r="X354" s="820">
        <v>1</v>
      </c>
      <c r="Y354" s="928">
        <f t="shared" ref="Y354:Y371" si="368">+P354*R354*AA354*X354</f>
        <v>0</v>
      </c>
      <c r="Z354" s="929">
        <f t="shared" ref="Z354:Z371" si="369">S354*U354*V354*W354</f>
        <v>0</v>
      </c>
      <c r="AA354" s="823">
        <v>1</v>
      </c>
      <c r="AC354" s="457">
        <v>1</v>
      </c>
      <c r="AD354" s="457"/>
      <c r="AE354" s="457"/>
      <c r="AF354" s="457"/>
      <c r="AG354" s="824"/>
      <c r="AH354" s="827"/>
      <c r="AI354" s="824"/>
      <c r="AJ354" s="828">
        <f t="shared" ref="AJ354:AJ371" si="370">+Y354</f>
        <v>0</v>
      </c>
      <c r="AK354" s="862"/>
      <c r="AL354" s="828">
        <f t="shared" ref="AL354:AL371" si="371">+Z354</f>
        <v>0</v>
      </c>
      <c r="AM354" s="862"/>
      <c r="AN354" s="824"/>
      <c r="AO354" s="827"/>
      <c r="AP354" s="824"/>
      <c r="AQ354" s="930" t="s">
        <v>1602</v>
      </c>
      <c r="AR354" s="1102" t="s">
        <v>1603</v>
      </c>
      <c r="AS354" s="1054">
        <f t="shared" ref="AS354:AS357" si="372">+BM354</f>
        <v>0.91886142857142861</v>
      </c>
      <c r="AT354" s="931"/>
      <c r="AU354" s="824"/>
      <c r="AV354" s="827"/>
      <c r="AW354" s="824"/>
      <c r="AX354" s="1103">
        <v>400.3</v>
      </c>
      <c r="AY354" s="1104">
        <v>1.125</v>
      </c>
      <c r="AZ354" s="1105">
        <v>1.2</v>
      </c>
      <c r="BA354" s="1106">
        <v>0.875</v>
      </c>
      <c r="BB354" s="1107">
        <v>0.9</v>
      </c>
      <c r="BC354" s="1022">
        <v>0.5</v>
      </c>
      <c r="BD354" s="1107">
        <v>0.8</v>
      </c>
      <c r="BF354" s="830"/>
      <c r="BH354" s="1108">
        <f t="shared" ref="BH354:BH357" si="373">+AY354*25.4</f>
        <v>28.574999999999999</v>
      </c>
      <c r="BI354" s="1096">
        <f t="shared" ref="BI354:BI357" si="374">+BH354-2*AZ354</f>
        <v>26.175000000000001</v>
      </c>
      <c r="BJ354" s="1110">
        <f t="shared" ref="BJ354:BK357" si="375">22/28*(BH354/1000)^2</f>
        <v>6.415597767857143E-4</v>
      </c>
      <c r="BK354" s="1110">
        <f t="shared" si="375"/>
        <v>5.3831691964285715E-4</v>
      </c>
      <c r="BL354" s="1111">
        <f t="shared" ref="BL354:BL357" si="376">+BJ354-BK354</f>
        <v>1.0324285714285715E-4</v>
      </c>
      <c r="BM354" s="1096">
        <f t="shared" ref="BM354:BM357" si="377">+BL354*8900</f>
        <v>0.91886142857142861</v>
      </c>
      <c r="BN354" s="1109"/>
      <c r="BO354" s="1112"/>
      <c r="BP354" s="936"/>
      <c r="BR354" s="936"/>
      <c r="BS354" s="936"/>
      <c r="BW354" s="936"/>
      <c r="BY354" s="936"/>
      <c r="CH354" s="936"/>
      <c r="CI354" s="938"/>
    </row>
    <row r="355" spans="2:87" s="747" customFormat="1" ht="13.9" hidden="1" customHeight="1" outlineLevel="1">
      <c r="B355" s="931" t="str">
        <f t="shared" si="357"/>
        <v>Suction Pipe 10.0hp: H1002CC/ HEX1002CC</v>
      </c>
      <c r="D355" s="1100">
        <f t="shared" si="358"/>
        <v>1.375</v>
      </c>
      <c r="E355" s="811">
        <f t="shared" si="358"/>
        <v>1.2</v>
      </c>
      <c r="F355" s="1101">
        <f t="shared" si="359"/>
        <v>972</v>
      </c>
      <c r="G355" s="978"/>
      <c r="H355" s="924" t="s">
        <v>97</v>
      </c>
      <c r="I355" s="811">
        <f t="shared" si="360"/>
        <v>34.924999999999997</v>
      </c>
      <c r="J355" s="811">
        <f t="shared" si="361"/>
        <v>1.2</v>
      </c>
      <c r="K355" s="808">
        <f t="shared" si="361"/>
        <v>972</v>
      </c>
      <c r="L355" s="809"/>
      <c r="M355" s="860">
        <v>8900</v>
      </c>
      <c r="N355" s="813">
        <f t="shared" si="362"/>
        <v>1.2363006857142849E-4</v>
      </c>
      <c r="O355" s="814">
        <v>1</v>
      </c>
      <c r="P355" s="811">
        <f t="shared" si="363"/>
        <v>1.1003076102857137</v>
      </c>
      <c r="Q355" s="978">
        <v>1.05</v>
      </c>
      <c r="R355" s="505">
        <f t="shared" si="364"/>
        <v>0</v>
      </c>
      <c r="S355" s="980">
        <f t="shared" si="365"/>
        <v>0</v>
      </c>
      <c r="T355" s="925" t="s">
        <v>115</v>
      </c>
      <c r="U355" s="946">
        <f t="shared" si="366"/>
        <v>207000</v>
      </c>
      <c r="V355" s="927">
        <f t="shared" si="367"/>
        <v>6.8240753377917299E-5</v>
      </c>
      <c r="W355" s="926">
        <v>1</v>
      </c>
      <c r="X355" s="820">
        <v>1</v>
      </c>
      <c r="Y355" s="928">
        <f t="shared" si="368"/>
        <v>0</v>
      </c>
      <c r="Z355" s="929">
        <f t="shared" si="369"/>
        <v>0</v>
      </c>
      <c r="AA355" s="823"/>
      <c r="AC355" s="457"/>
      <c r="AD355" s="457">
        <v>1</v>
      </c>
      <c r="AE355" s="457"/>
      <c r="AF355" s="457"/>
      <c r="AG355" s="824"/>
      <c r="AH355" s="827"/>
      <c r="AI355" s="824"/>
      <c r="AJ355" s="828">
        <f t="shared" si="370"/>
        <v>0</v>
      </c>
      <c r="AK355" s="862"/>
      <c r="AL355" s="828">
        <f t="shared" si="371"/>
        <v>0</v>
      </c>
      <c r="AM355" s="862"/>
      <c r="AN355" s="824"/>
      <c r="AO355" s="827"/>
      <c r="AP355" s="824"/>
      <c r="AQ355" s="930" t="s">
        <v>1604</v>
      </c>
      <c r="AR355" s="1102" t="s">
        <v>1603</v>
      </c>
      <c r="AS355" s="1054">
        <f t="shared" si="372"/>
        <v>1.1320037142857133</v>
      </c>
      <c r="AT355" s="931"/>
      <c r="AU355" s="824"/>
      <c r="AV355" s="827"/>
      <c r="AW355" s="824"/>
      <c r="AX355" s="1103">
        <v>417.3</v>
      </c>
      <c r="AY355" s="1104">
        <v>1.375</v>
      </c>
      <c r="AZ355" s="1105">
        <v>1.2</v>
      </c>
      <c r="BA355" s="1106">
        <v>0.875</v>
      </c>
      <c r="BB355" s="1107">
        <v>0.9</v>
      </c>
      <c r="BC355" s="1022">
        <v>0.625</v>
      </c>
      <c r="BD355" s="1107">
        <v>0.8</v>
      </c>
      <c r="BF355" s="830"/>
      <c r="BH355" s="1108">
        <f t="shared" si="373"/>
        <v>34.924999999999997</v>
      </c>
      <c r="BI355" s="1096">
        <f t="shared" si="374"/>
        <v>32.524999999999999</v>
      </c>
      <c r="BJ355" s="1110">
        <f t="shared" si="375"/>
        <v>9.583794196428569E-4</v>
      </c>
      <c r="BK355" s="1110">
        <f t="shared" si="375"/>
        <v>8.3118799107142842E-4</v>
      </c>
      <c r="BL355" s="1111">
        <f t="shared" si="376"/>
        <v>1.2719142857142848E-4</v>
      </c>
      <c r="BM355" s="1096">
        <f t="shared" si="377"/>
        <v>1.1320037142857133</v>
      </c>
      <c r="BN355" s="1109"/>
      <c r="BO355" s="1112"/>
      <c r="BP355" s="936"/>
      <c r="BR355" s="936"/>
      <c r="BS355" s="936"/>
      <c r="BW355" s="936"/>
      <c r="BY355" s="936"/>
      <c r="CH355" s="936"/>
      <c r="CI355" s="938"/>
    </row>
    <row r="356" spans="2:87" s="747" customFormat="1" ht="13.9" hidden="1" customHeight="1" outlineLevel="1">
      <c r="B356" s="931" t="str">
        <f t="shared" si="357"/>
        <v>Suction Pipe 12.5hp: H1201CC/ HEX1201CC</v>
      </c>
      <c r="D356" s="1100">
        <f t="shared" si="358"/>
        <v>1.375</v>
      </c>
      <c r="E356" s="811">
        <f t="shared" si="358"/>
        <v>1.2</v>
      </c>
      <c r="F356" s="1101">
        <f t="shared" si="359"/>
        <v>972</v>
      </c>
      <c r="G356" s="978"/>
      <c r="H356" s="924" t="s">
        <v>97</v>
      </c>
      <c r="I356" s="811">
        <f t="shared" si="360"/>
        <v>34.924999999999997</v>
      </c>
      <c r="J356" s="811">
        <f t="shared" si="361"/>
        <v>1.2</v>
      </c>
      <c r="K356" s="808">
        <f t="shared" si="361"/>
        <v>972</v>
      </c>
      <c r="L356" s="809"/>
      <c r="M356" s="860">
        <v>8900</v>
      </c>
      <c r="N356" s="813">
        <f t="shared" si="362"/>
        <v>1.2363006857142849E-4</v>
      </c>
      <c r="O356" s="814">
        <v>1</v>
      </c>
      <c r="P356" s="811">
        <f t="shared" si="363"/>
        <v>1.1003076102857137</v>
      </c>
      <c r="Q356" s="978">
        <v>1.05</v>
      </c>
      <c r="R356" s="505">
        <f t="shared" si="364"/>
        <v>0</v>
      </c>
      <c r="S356" s="980">
        <f t="shared" si="365"/>
        <v>0</v>
      </c>
      <c r="T356" s="925" t="s">
        <v>115</v>
      </c>
      <c r="U356" s="946">
        <f t="shared" si="366"/>
        <v>207000</v>
      </c>
      <c r="V356" s="927">
        <f t="shared" si="367"/>
        <v>6.8240753377917299E-5</v>
      </c>
      <c r="W356" s="926">
        <v>1</v>
      </c>
      <c r="X356" s="820">
        <v>1</v>
      </c>
      <c r="Y356" s="928">
        <f t="shared" si="368"/>
        <v>0</v>
      </c>
      <c r="Z356" s="929">
        <f t="shared" si="369"/>
        <v>0</v>
      </c>
      <c r="AA356" s="823"/>
      <c r="AC356" s="457"/>
      <c r="AD356" s="457"/>
      <c r="AE356" s="457">
        <v>1</v>
      </c>
      <c r="AF356" s="457"/>
      <c r="AG356" s="824"/>
      <c r="AH356" s="827"/>
      <c r="AI356" s="824"/>
      <c r="AJ356" s="828">
        <f t="shared" si="370"/>
        <v>0</v>
      </c>
      <c r="AK356" s="862"/>
      <c r="AL356" s="828">
        <f t="shared" si="371"/>
        <v>0</v>
      </c>
      <c r="AM356" s="862"/>
      <c r="AN356" s="824"/>
      <c r="AO356" s="827"/>
      <c r="AP356" s="824"/>
      <c r="AQ356" s="930" t="s">
        <v>1605</v>
      </c>
      <c r="AR356" s="1102" t="s">
        <v>1603</v>
      </c>
      <c r="AS356" s="1054">
        <f t="shared" si="372"/>
        <v>1.1320037142857133</v>
      </c>
      <c r="AT356" s="931"/>
      <c r="AU356" s="824"/>
      <c r="AV356" s="827"/>
      <c r="AW356" s="824"/>
      <c r="AX356" s="1103">
        <v>414.2</v>
      </c>
      <c r="AY356" s="1104">
        <v>1.375</v>
      </c>
      <c r="AZ356" s="1105">
        <v>1.2</v>
      </c>
      <c r="BA356" s="1106">
        <v>1.125</v>
      </c>
      <c r="BB356" s="1107">
        <v>1.2</v>
      </c>
      <c r="BC356" s="1022">
        <v>0.625</v>
      </c>
      <c r="BD356" s="1107">
        <v>0.8</v>
      </c>
      <c r="BF356" s="830"/>
      <c r="BH356" s="1108">
        <f t="shared" si="373"/>
        <v>34.924999999999997</v>
      </c>
      <c r="BI356" s="1096">
        <f t="shared" si="374"/>
        <v>32.524999999999999</v>
      </c>
      <c r="BJ356" s="1110">
        <f t="shared" si="375"/>
        <v>9.583794196428569E-4</v>
      </c>
      <c r="BK356" s="1110">
        <f t="shared" si="375"/>
        <v>8.3118799107142842E-4</v>
      </c>
      <c r="BL356" s="1111">
        <f t="shared" si="376"/>
        <v>1.2719142857142848E-4</v>
      </c>
      <c r="BM356" s="1096">
        <f t="shared" si="377"/>
        <v>1.1320037142857133</v>
      </c>
      <c r="BN356" s="1109"/>
      <c r="BO356" s="1112"/>
      <c r="BP356" s="936"/>
      <c r="BR356" s="936"/>
      <c r="BS356" s="936"/>
      <c r="BW356" s="936"/>
      <c r="BY356" s="936"/>
      <c r="CH356" s="936"/>
      <c r="CI356" s="938"/>
    </row>
    <row r="357" spans="2:87" s="747" customFormat="1" ht="13.9" hidden="1" customHeight="1" outlineLevel="1">
      <c r="B357" s="931" t="str">
        <f t="shared" si="357"/>
        <v>Suction Pipe 15.0hp: H2001CC/ HEX2001CC</v>
      </c>
      <c r="D357" s="1100">
        <f t="shared" si="358"/>
        <v>1.625</v>
      </c>
      <c r="E357" s="811">
        <f t="shared" si="358"/>
        <v>1.4</v>
      </c>
      <c r="F357" s="1101">
        <f t="shared" si="359"/>
        <v>972</v>
      </c>
      <c r="G357" s="978"/>
      <c r="H357" s="924" t="s">
        <v>97</v>
      </c>
      <c r="I357" s="811">
        <f t="shared" si="360"/>
        <v>41.274999999999999</v>
      </c>
      <c r="J357" s="811">
        <f t="shared" si="361"/>
        <v>1.4</v>
      </c>
      <c r="K357" s="808">
        <f t="shared" si="361"/>
        <v>972</v>
      </c>
      <c r="L357" s="809"/>
      <c r="M357" s="860">
        <v>8900</v>
      </c>
      <c r="N357" s="813">
        <f t="shared" si="362"/>
        <v>1.7053739999999988E-4</v>
      </c>
      <c r="O357" s="814">
        <v>1</v>
      </c>
      <c r="P357" s="811">
        <f t="shared" si="363"/>
        <v>1.517782859999999</v>
      </c>
      <c r="Q357" s="978">
        <v>1.05</v>
      </c>
      <c r="R357" s="505">
        <f t="shared" si="364"/>
        <v>0</v>
      </c>
      <c r="S357" s="980">
        <f t="shared" si="365"/>
        <v>0</v>
      </c>
      <c r="T357" s="925" t="s">
        <v>115</v>
      </c>
      <c r="U357" s="946">
        <f t="shared" si="366"/>
        <v>207000</v>
      </c>
      <c r="V357" s="927">
        <f t="shared" si="367"/>
        <v>6.8240753377917299E-5</v>
      </c>
      <c r="W357" s="926">
        <v>1</v>
      </c>
      <c r="X357" s="820">
        <v>1</v>
      </c>
      <c r="Y357" s="928">
        <f t="shared" si="368"/>
        <v>0</v>
      </c>
      <c r="Z357" s="929">
        <f t="shared" si="369"/>
        <v>0</v>
      </c>
      <c r="AA357" s="823"/>
      <c r="AC357" s="457"/>
      <c r="AD357" s="457"/>
      <c r="AE357" s="457"/>
      <c r="AF357" s="457">
        <v>1</v>
      </c>
      <c r="AG357" s="824"/>
      <c r="AH357" s="827"/>
      <c r="AI357" s="824"/>
      <c r="AJ357" s="828">
        <f t="shared" si="370"/>
        <v>0</v>
      </c>
      <c r="AK357" s="862"/>
      <c r="AL357" s="828">
        <f t="shared" si="371"/>
        <v>0</v>
      </c>
      <c r="AM357" s="862"/>
      <c r="AN357" s="824"/>
      <c r="AO357" s="827"/>
      <c r="AP357" s="824"/>
      <c r="AQ357" s="930" t="s">
        <v>1606</v>
      </c>
      <c r="AR357" s="1102" t="s">
        <v>1603</v>
      </c>
      <c r="AS357" s="1054">
        <f t="shared" si="372"/>
        <v>1.5615049999999977</v>
      </c>
      <c r="AT357" s="931"/>
      <c r="AU357" s="824"/>
      <c r="AV357" s="827"/>
      <c r="AW357" s="824"/>
      <c r="AX357" s="1103">
        <v>440</v>
      </c>
      <c r="AY357" s="1104">
        <v>1.625</v>
      </c>
      <c r="AZ357" s="1105">
        <v>1.4</v>
      </c>
      <c r="BA357" s="1106">
        <v>1.125</v>
      </c>
      <c r="BB357" s="1107">
        <v>1.2</v>
      </c>
      <c r="BC357" s="1022">
        <v>0.625</v>
      </c>
      <c r="BD357" s="1107">
        <v>0.8</v>
      </c>
      <c r="BF357" s="830"/>
      <c r="BH357" s="1108">
        <f t="shared" si="373"/>
        <v>41.274999999999999</v>
      </c>
      <c r="BI357" s="1096">
        <f t="shared" si="374"/>
        <v>38.475000000000001</v>
      </c>
      <c r="BJ357" s="1110">
        <f t="shared" si="375"/>
        <v>1.3385629910714284E-3</v>
      </c>
      <c r="BK357" s="1110">
        <f t="shared" si="375"/>
        <v>1.1631129910714287E-3</v>
      </c>
      <c r="BL357" s="1111">
        <f t="shared" si="376"/>
        <v>1.7544999999999974E-4</v>
      </c>
      <c r="BM357" s="1096">
        <f t="shared" si="377"/>
        <v>1.5615049999999977</v>
      </c>
      <c r="BN357" s="1109"/>
      <c r="BO357" s="1112"/>
      <c r="BP357" s="936"/>
      <c r="BR357" s="936"/>
      <c r="BS357" s="936"/>
      <c r="BW357" s="936"/>
      <c r="BY357" s="936"/>
      <c r="CH357" s="936"/>
      <c r="CI357" s="938"/>
    </row>
    <row r="358" spans="2:87" s="370" customFormat="1" ht="15" collapsed="1">
      <c r="B358" s="895" t="s">
        <v>1521</v>
      </c>
      <c r="C358" s="896" t="s">
        <v>1522</v>
      </c>
      <c r="D358" s="897"/>
      <c r="E358" s="898"/>
      <c r="F358" s="899"/>
      <c r="G358" s="899"/>
      <c r="H358" s="900"/>
      <c r="I358" s="901"/>
      <c r="J358" s="902"/>
      <c r="K358" s="898"/>
      <c r="L358" s="899"/>
      <c r="M358" s="903"/>
      <c r="N358" s="904"/>
      <c r="O358" s="898"/>
      <c r="P358" s="902"/>
      <c r="Q358" s="905"/>
      <c r="R358" s="903"/>
      <c r="S358" s="905"/>
      <c r="T358" s="906"/>
      <c r="U358" s="906"/>
      <c r="V358" s="907"/>
      <c r="W358" s="908"/>
      <c r="X358" s="909"/>
      <c r="Y358" s="910">
        <f>SUM(Y359:Y362)</f>
        <v>0</v>
      </c>
      <c r="Z358" s="910">
        <f>SUM(Z359:Z362)</f>
        <v>0</v>
      </c>
      <c r="AA358" s="911"/>
      <c r="AB358" s="747"/>
      <c r="AC358" s="912"/>
      <c r="AD358" s="912"/>
      <c r="AE358" s="912"/>
      <c r="AF358" s="913"/>
      <c r="AH358" s="521"/>
      <c r="AJ358" s="483"/>
      <c r="AK358" s="522">
        <f>SUM(AJ359:AJ362)</f>
        <v>0</v>
      </c>
      <c r="AL358" s="401"/>
      <c r="AM358" s="523">
        <f>SUM(AL359:AL362)</f>
        <v>0</v>
      </c>
      <c r="AO358" s="521"/>
      <c r="AQ358" s="1155" t="str">
        <f>+B358</f>
        <v>- Discharge Pipe Assy</v>
      </c>
      <c r="AR358" s="1070" t="s">
        <v>87</v>
      </c>
      <c r="AS358" s="1071" t="s">
        <v>97</v>
      </c>
      <c r="AT358" s="915" t="s">
        <v>1345</v>
      </c>
      <c r="AV358" s="521"/>
      <c r="AX358" s="918" t="s">
        <v>19</v>
      </c>
      <c r="AY358" s="919" t="s">
        <v>1436</v>
      </c>
      <c r="AZ358" s="920"/>
      <c r="BA358" s="918" t="s">
        <v>1437</v>
      </c>
      <c r="BB358" s="920"/>
      <c r="BC358" s="918" t="s">
        <v>1438</v>
      </c>
      <c r="BD358" s="920"/>
      <c r="BF358" s="524"/>
      <c r="BG358" s="395"/>
      <c r="BH358" s="918" t="s">
        <v>1128</v>
      </c>
      <c r="BI358" s="919" t="s">
        <v>1514</v>
      </c>
      <c r="BJ358" s="919" t="s">
        <v>1515</v>
      </c>
      <c r="BK358" s="919" t="s">
        <v>1516</v>
      </c>
      <c r="BL358" s="919" t="s">
        <v>1517</v>
      </c>
      <c r="BM358" s="919" t="s">
        <v>1518</v>
      </c>
      <c r="BN358" s="919"/>
      <c r="BO358" s="920"/>
      <c r="BP358" s="395"/>
      <c r="BQ358" s="395"/>
      <c r="BR358" s="369"/>
      <c r="BS358" s="369"/>
      <c r="BT358" s="369"/>
      <c r="BU358" s="395"/>
      <c r="BV358" s="369"/>
      <c r="BW358" s="369"/>
      <c r="BX358" s="369"/>
      <c r="BY358" s="395"/>
      <c r="BZ358" s="369"/>
      <c r="CA358" s="369"/>
      <c r="CH358" s="395"/>
      <c r="CI358" s="511"/>
    </row>
    <row r="359" spans="2:87" s="747" customFormat="1" ht="13.9" hidden="1" customHeight="1" outlineLevel="1">
      <c r="B359" s="931" t="str">
        <f t="shared" ref="B359:B362" si="378">"Discharge Pipe "&amp;AQ359</f>
        <v>Discharge Pipe 7.5hp: H705CC/ HEX705CC</v>
      </c>
      <c r="C359" s="817"/>
      <c r="D359" s="1100">
        <f t="shared" ref="D359:E362" si="379">+BA359</f>
        <v>0.875</v>
      </c>
      <c r="E359" s="811">
        <f t="shared" si="379"/>
        <v>0.9</v>
      </c>
      <c r="F359" s="1101">
        <f>+D$352/4+E$352+F$352/3</f>
        <v>1508.5</v>
      </c>
      <c r="G359" s="978"/>
      <c r="H359" s="924" t="s">
        <v>97</v>
      </c>
      <c r="I359" s="811">
        <f t="shared" si="360"/>
        <v>22.224999999999998</v>
      </c>
      <c r="J359" s="811">
        <f t="shared" ref="J359:K371" si="380">+E359</f>
        <v>0.9</v>
      </c>
      <c r="K359" s="808">
        <f t="shared" si="380"/>
        <v>1508.5</v>
      </c>
      <c r="L359" s="809"/>
      <c r="M359" s="860">
        <v>8900</v>
      </c>
      <c r="N359" s="813">
        <f t="shared" ref="N359:N371" si="381">IF(I359&gt;0,22/28*((I359/1000)^2-(I359/1000-2*J359/1000)^2)*K359/1000,IF(J359&gt;0,J359/1000*K359/1000*L359/1000, IF(K359&gt;0,K359/1000*L359/1000, IF(L359=0,1,L359/1000))))</f>
        <v>9.0991642499999977E-5</v>
      </c>
      <c r="O359" s="814">
        <v>1</v>
      </c>
      <c r="P359" s="811">
        <f t="shared" si="363"/>
        <v>0.80982561824999977</v>
      </c>
      <c r="Q359" s="978">
        <v>1.05</v>
      </c>
      <c r="R359" s="505">
        <f t="shared" si="364"/>
        <v>0</v>
      </c>
      <c r="S359" s="980">
        <f t="shared" si="365"/>
        <v>0</v>
      </c>
      <c r="T359" s="925" t="s">
        <v>115</v>
      </c>
      <c r="U359" s="946">
        <f t="shared" ref="U359:U371" si="382">+P$65</f>
        <v>207000</v>
      </c>
      <c r="V359" s="927">
        <f t="shared" si="367"/>
        <v>6.8240753377917299E-5</v>
      </c>
      <c r="W359" s="926">
        <v>1</v>
      </c>
      <c r="X359" s="820">
        <v>1</v>
      </c>
      <c r="Y359" s="928">
        <f t="shared" si="368"/>
        <v>0</v>
      </c>
      <c r="Z359" s="929">
        <f t="shared" si="369"/>
        <v>0</v>
      </c>
      <c r="AA359" s="823">
        <v>1</v>
      </c>
      <c r="AC359" s="457">
        <v>1</v>
      </c>
      <c r="AD359" s="457"/>
      <c r="AE359" s="457"/>
      <c r="AF359" s="457"/>
      <c r="AG359" s="824"/>
      <c r="AH359" s="827"/>
      <c r="AI359" s="824"/>
      <c r="AJ359" s="828">
        <f t="shared" si="370"/>
        <v>0</v>
      </c>
      <c r="AK359" s="862"/>
      <c r="AL359" s="828">
        <f t="shared" si="371"/>
        <v>0</v>
      </c>
      <c r="AM359" s="862"/>
      <c r="AN359" s="824"/>
      <c r="AO359" s="827"/>
      <c r="AQ359" s="930" t="s">
        <v>1602</v>
      </c>
      <c r="AR359" s="1161" t="s">
        <v>1523</v>
      </c>
      <c r="AS359" s="1054">
        <f t="shared" ref="AS359:AS362" si="383">+BM359</f>
        <v>0.53684164285714275</v>
      </c>
      <c r="AT359" s="931"/>
      <c r="AV359" s="827"/>
      <c r="AX359" s="1103">
        <v>400.3</v>
      </c>
      <c r="AY359" s="1022"/>
      <c r="AZ359" s="935"/>
      <c r="BA359" s="1114">
        <v>0.875</v>
      </c>
      <c r="BB359" s="1115">
        <v>0.9</v>
      </c>
      <c r="BC359" s="1022"/>
      <c r="BD359" s="1107"/>
      <c r="BF359" s="830"/>
      <c r="BH359" s="1108">
        <f t="shared" ref="BH359:BH362" si="384">+BA359*25.4</f>
        <v>22.224999999999998</v>
      </c>
      <c r="BI359" s="1096">
        <f t="shared" ref="BI359:BI362" si="385">+BH359-2*BB359</f>
        <v>20.424999999999997</v>
      </c>
      <c r="BJ359" s="1110">
        <f t="shared" ref="BJ359:BK362" si="386">22/28*(BH359/1000)^2</f>
        <v>3.8810406249999992E-4</v>
      </c>
      <c r="BK359" s="1110">
        <f t="shared" si="386"/>
        <v>3.2778477678571422E-4</v>
      </c>
      <c r="BL359" s="1111">
        <f t="shared" ref="BL359:BL362" si="387">+BJ359-BK359</f>
        <v>6.0319285714285702E-5</v>
      </c>
      <c r="BM359" s="1096">
        <f t="shared" ref="BM359:BM362" si="388">+BL359*8900</f>
        <v>0.53684164285714275</v>
      </c>
      <c r="BN359" s="1109"/>
      <c r="BO359" s="1112"/>
      <c r="BP359" s="936"/>
      <c r="BQ359" s="936"/>
      <c r="BU359" s="936"/>
      <c r="BY359" s="936"/>
      <c r="CH359" s="936"/>
      <c r="CI359" s="938"/>
    </row>
    <row r="360" spans="2:87" s="747" customFormat="1" ht="13.9" hidden="1" customHeight="1" outlineLevel="1">
      <c r="B360" s="931" t="str">
        <f t="shared" si="378"/>
        <v>Discharge Pipe 10.0hp: H1002CC/ HEX1002CC</v>
      </c>
      <c r="D360" s="1100">
        <f t="shared" si="379"/>
        <v>0.875</v>
      </c>
      <c r="E360" s="811">
        <f t="shared" si="379"/>
        <v>0.9</v>
      </c>
      <c r="F360" s="1101">
        <f t="shared" ref="F360:F362" si="389">+D$352/4+E$352+F$352/3</f>
        <v>1508.5</v>
      </c>
      <c r="G360" s="978"/>
      <c r="H360" s="924" t="s">
        <v>97</v>
      </c>
      <c r="I360" s="811">
        <f t="shared" si="360"/>
        <v>22.224999999999998</v>
      </c>
      <c r="J360" s="811">
        <f t="shared" si="380"/>
        <v>0.9</v>
      </c>
      <c r="K360" s="808">
        <f t="shared" si="380"/>
        <v>1508.5</v>
      </c>
      <c r="L360" s="809"/>
      <c r="M360" s="860">
        <v>8900</v>
      </c>
      <c r="N360" s="813">
        <f t="shared" si="381"/>
        <v>9.0991642499999977E-5</v>
      </c>
      <c r="O360" s="814">
        <v>1</v>
      </c>
      <c r="P360" s="811">
        <f t="shared" si="363"/>
        <v>0.80982561824999977</v>
      </c>
      <c r="Q360" s="978">
        <v>1.05</v>
      </c>
      <c r="R360" s="505">
        <f t="shared" si="364"/>
        <v>0</v>
      </c>
      <c r="S360" s="980">
        <f t="shared" si="365"/>
        <v>0</v>
      </c>
      <c r="T360" s="925" t="s">
        <v>115</v>
      </c>
      <c r="U360" s="946">
        <f t="shared" si="382"/>
        <v>207000</v>
      </c>
      <c r="V360" s="927">
        <f t="shared" si="367"/>
        <v>6.8240753377917299E-5</v>
      </c>
      <c r="W360" s="926">
        <v>1</v>
      </c>
      <c r="X360" s="820">
        <v>1</v>
      </c>
      <c r="Y360" s="928">
        <f t="shared" si="368"/>
        <v>0</v>
      </c>
      <c r="Z360" s="929">
        <f t="shared" si="369"/>
        <v>0</v>
      </c>
      <c r="AA360" s="823"/>
      <c r="AC360" s="457"/>
      <c r="AD360" s="457">
        <v>1</v>
      </c>
      <c r="AE360" s="457"/>
      <c r="AF360" s="457"/>
      <c r="AG360" s="824"/>
      <c r="AH360" s="827"/>
      <c r="AI360" s="824"/>
      <c r="AJ360" s="828">
        <f t="shared" si="370"/>
        <v>0</v>
      </c>
      <c r="AK360" s="862"/>
      <c r="AL360" s="828">
        <f t="shared" si="371"/>
        <v>0</v>
      </c>
      <c r="AM360" s="862"/>
      <c r="AN360" s="824"/>
      <c r="AO360" s="827"/>
      <c r="AQ360" s="930" t="s">
        <v>1604</v>
      </c>
      <c r="AR360" s="1161" t="s">
        <v>1523</v>
      </c>
      <c r="AS360" s="1054">
        <f t="shared" si="383"/>
        <v>0.53684164285714275</v>
      </c>
      <c r="AT360" s="931"/>
      <c r="AV360" s="827"/>
      <c r="AX360" s="1103">
        <v>417.3</v>
      </c>
      <c r="AY360" s="1022"/>
      <c r="AZ360" s="935"/>
      <c r="BA360" s="1114">
        <v>0.875</v>
      </c>
      <c r="BB360" s="1115">
        <v>0.9</v>
      </c>
      <c r="BC360" s="1022"/>
      <c r="BD360" s="1107"/>
      <c r="BF360" s="830"/>
      <c r="BH360" s="1108">
        <f t="shared" si="384"/>
        <v>22.224999999999998</v>
      </c>
      <c r="BI360" s="1096">
        <f t="shared" si="385"/>
        <v>20.424999999999997</v>
      </c>
      <c r="BJ360" s="1110">
        <f t="shared" si="386"/>
        <v>3.8810406249999992E-4</v>
      </c>
      <c r="BK360" s="1110">
        <f t="shared" si="386"/>
        <v>3.2778477678571422E-4</v>
      </c>
      <c r="BL360" s="1111">
        <f t="shared" si="387"/>
        <v>6.0319285714285702E-5</v>
      </c>
      <c r="BM360" s="1096">
        <f t="shared" si="388"/>
        <v>0.53684164285714275</v>
      </c>
      <c r="BN360" s="1109"/>
      <c r="BO360" s="1112"/>
      <c r="BP360" s="936"/>
      <c r="BQ360" s="936"/>
      <c r="BU360" s="936"/>
      <c r="BY360" s="936"/>
      <c r="CH360" s="936"/>
      <c r="CI360" s="938"/>
    </row>
    <row r="361" spans="2:87" s="747" customFormat="1" ht="13.9" hidden="1" customHeight="1" outlineLevel="1">
      <c r="B361" s="931" t="str">
        <f t="shared" si="378"/>
        <v>Discharge Pipe 12.5hp: H1201CC/ HEX1201CC</v>
      </c>
      <c r="D361" s="1100">
        <f t="shared" si="379"/>
        <v>1.125</v>
      </c>
      <c r="E361" s="811">
        <f t="shared" si="379"/>
        <v>1.2</v>
      </c>
      <c r="F361" s="1101">
        <f t="shared" si="389"/>
        <v>1508.5</v>
      </c>
      <c r="G361" s="978"/>
      <c r="H361" s="924" t="s">
        <v>97</v>
      </c>
      <c r="I361" s="811">
        <f t="shared" si="360"/>
        <v>28.574999999999999</v>
      </c>
      <c r="J361" s="811">
        <f t="shared" si="380"/>
        <v>1.2</v>
      </c>
      <c r="K361" s="808">
        <f t="shared" si="380"/>
        <v>1508.5</v>
      </c>
      <c r="L361" s="809"/>
      <c r="M361" s="860">
        <v>8901</v>
      </c>
      <c r="N361" s="813">
        <f t="shared" si="381"/>
        <v>1.5574184999999992E-4</v>
      </c>
      <c r="O361" s="814">
        <v>1</v>
      </c>
      <c r="P361" s="811">
        <f t="shared" si="363"/>
        <v>1.3862582068499993</v>
      </c>
      <c r="Q361" s="978">
        <v>1.05</v>
      </c>
      <c r="R361" s="505">
        <f t="shared" si="364"/>
        <v>0</v>
      </c>
      <c r="S361" s="980">
        <f t="shared" si="365"/>
        <v>0</v>
      </c>
      <c r="T361" s="925" t="s">
        <v>115</v>
      </c>
      <c r="U361" s="946">
        <f t="shared" si="382"/>
        <v>207000</v>
      </c>
      <c r="V361" s="927">
        <f t="shared" si="367"/>
        <v>6.8240753377917299E-5</v>
      </c>
      <c r="W361" s="926">
        <v>1</v>
      </c>
      <c r="X361" s="820">
        <v>1</v>
      </c>
      <c r="Y361" s="928">
        <f t="shared" si="368"/>
        <v>0</v>
      </c>
      <c r="Z361" s="929">
        <f t="shared" si="369"/>
        <v>0</v>
      </c>
      <c r="AA361" s="823"/>
      <c r="AC361" s="457"/>
      <c r="AD361" s="457"/>
      <c r="AE361" s="457">
        <v>1</v>
      </c>
      <c r="AF361" s="457"/>
      <c r="AG361" s="824"/>
      <c r="AH361" s="827"/>
      <c r="AI361" s="824"/>
      <c r="AJ361" s="828">
        <f t="shared" si="370"/>
        <v>0</v>
      </c>
      <c r="AK361" s="862"/>
      <c r="AL361" s="828">
        <f t="shared" si="371"/>
        <v>0</v>
      </c>
      <c r="AM361" s="862"/>
      <c r="AN361" s="824"/>
      <c r="AO361" s="827"/>
      <c r="AQ361" s="930" t="s">
        <v>1605</v>
      </c>
      <c r="AR361" s="1161" t="s">
        <v>1519</v>
      </c>
      <c r="AS361" s="1054">
        <f t="shared" si="383"/>
        <v>0.91886142857142861</v>
      </c>
      <c r="AT361" s="931"/>
      <c r="AV361" s="827"/>
      <c r="AX361" s="1103">
        <v>414.2</v>
      </c>
      <c r="AY361" s="1022"/>
      <c r="AZ361" s="935"/>
      <c r="BA361" s="1114">
        <v>1.125</v>
      </c>
      <c r="BB361" s="1115">
        <v>1.2</v>
      </c>
      <c r="BC361" s="1022"/>
      <c r="BD361" s="1107"/>
      <c r="BF361" s="830"/>
      <c r="BH361" s="1108">
        <f t="shared" si="384"/>
        <v>28.574999999999999</v>
      </c>
      <c r="BI361" s="1096">
        <f t="shared" si="385"/>
        <v>26.175000000000001</v>
      </c>
      <c r="BJ361" s="1110">
        <f t="shared" si="386"/>
        <v>6.415597767857143E-4</v>
      </c>
      <c r="BK361" s="1110">
        <f t="shared" si="386"/>
        <v>5.3831691964285715E-4</v>
      </c>
      <c r="BL361" s="1111">
        <f t="shared" si="387"/>
        <v>1.0324285714285715E-4</v>
      </c>
      <c r="BM361" s="1096">
        <f t="shared" si="388"/>
        <v>0.91886142857142861</v>
      </c>
      <c r="BN361" s="1109"/>
      <c r="BO361" s="1112"/>
      <c r="BP361" s="936"/>
      <c r="BQ361" s="936"/>
      <c r="BU361" s="936"/>
      <c r="BY361" s="936"/>
      <c r="CH361" s="936"/>
      <c r="CI361" s="938"/>
    </row>
    <row r="362" spans="2:87" s="747" customFormat="1" ht="13.9" hidden="1" customHeight="1" outlineLevel="1">
      <c r="B362" s="931" t="str">
        <f t="shared" si="378"/>
        <v>Discharge Pipe 15.0hp: H2001CC/ HEX2001CC</v>
      </c>
      <c r="D362" s="1100">
        <f t="shared" si="379"/>
        <v>1.125</v>
      </c>
      <c r="E362" s="811">
        <f t="shared" si="379"/>
        <v>1.2</v>
      </c>
      <c r="F362" s="1101">
        <f t="shared" si="389"/>
        <v>1508.5</v>
      </c>
      <c r="G362" s="978"/>
      <c r="H362" s="924" t="s">
        <v>97</v>
      </c>
      <c r="I362" s="811">
        <f t="shared" si="360"/>
        <v>28.574999999999999</v>
      </c>
      <c r="J362" s="811">
        <f t="shared" si="380"/>
        <v>1.2</v>
      </c>
      <c r="K362" s="808">
        <f t="shared" si="380"/>
        <v>1508.5</v>
      </c>
      <c r="L362" s="809"/>
      <c r="M362" s="860">
        <v>8903</v>
      </c>
      <c r="N362" s="813">
        <f t="shared" si="381"/>
        <v>1.5574184999999992E-4</v>
      </c>
      <c r="O362" s="814">
        <v>1</v>
      </c>
      <c r="P362" s="811">
        <f t="shared" si="363"/>
        <v>1.3865696905499993</v>
      </c>
      <c r="Q362" s="978">
        <v>1.05</v>
      </c>
      <c r="R362" s="505">
        <f t="shared" si="364"/>
        <v>0</v>
      </c>
      <c r="S362" s="980">
        <f t="shared" si="365"/>
        <v>0</v>
      </c>
      <c r="T362" s="925" t="s">
        <v>115</v>
      </c>
      <c r="U362" s="946">
        <f t="shared" si="382"/>
        <v>207000</v>
      </c>
      <c r="V362" s="927">
        <f t="shared" si="367"/>
        <v>6.8240753377917299E-5</v>
      </c>
      <c r="W362" s="926">
        <v>1</v>
      </c>
      <c r="X362" s="820">
        <v>1</v>
      </c>
      <c r="Y362" s="928">
        <f t="shared" si="368"/>
        <v>0</v>
      </c>
      <c r="Z362" s="929">
        <f t="shared" si="369"/>
        <v>0</v>
      </c>
      <c r="AA362" s="823"/>
      <c r="AC362" s="457"/>
      <c r="AD362" s="457"/>
      <c r="AE362" s="457"/>
      <c r="AF362" s="457">
        <v>1</v>
      </c>
      <c r="AG362" s="824"/>
      <c r="AH362" s="827"/>
      <c r="AI362" s="824"/>
      <c r="AJ362" s="828">
        <f t="shared" si="370"/>
        <v>0</v>
      </c>
      <c r="AK362" s="862"/>
      <c r="AL362" s="828">
        <f t="shared" si="371"/>
        <v>0</v>
      </c>
      <c r="AM362" s="862"/>
      <c r="AN362" s="824"/>
      <c r="AO362" s="827"/>
      <c r="AQ362" s="930" t="s">
        <v>1606</v>
      </c>
      <c r="AR362" s="1161" t="s">
        <v>1519</v>
      </c>
      <c r="AS362" s="1054">
        <f t="shared" si="383"/>
        <v>0.91886142857142861</v>
      </c>
      <c r="AT362" s="931"/>
      <c r="AV362" s="827"/>
      <c r="AX362" s="1103">
        <v>440</v>
      </c>
      <c r="AY362" s="1022"/>
      <c r="AZ362" s="935"/>
      <c r="BA362" s="1114">
        <v>1.125</v>
      </c>
      <c r="BB362" s="1115">
        <v>1.2</v>
      </c>
      <c r="BC362" s="1022"/>
      <c r="BD362" s="1107"/>
      <c r="BF362" s="830"/>
      <c r="BH362" s="1108">
        <f t="shared" si="384"/>
        <v>28.574999999999999</v>
      </c>
      <c r="BI362" s="1096">
        <f t="shared" si="385"/>
        <v>26.175000000000001</v>
      </c>
      <c r="BJ362" s="1110">
        <f t="shared" si="386"/>
        <v>6.415597767857143E-4</v>
      </c>
      <c r="BK362" s="1110">
        <f t="shared" si="386"/>
        <v>5.3831691964285715E-4</v>
      </c>
      <c r="BL362" s="1111">
        <f t="shared" si="387"/>
        <v>1.0324285714285715E-4</v>
      </c>
      <c r="BM362" s="1096">
        <f t="shared" si="388"/>
        <v>0.91886142857142861</v>
      </c>
      <c r="BN362" s="1109"/>
      <c r="BO362" s="1112"/>
      <c r="BP362" s="936"/>
      <c r="BQ362" s="936"/>
      <c r="BU362" s="936"/>
      <c r="BY362" s="936"/>
      <c r="CH362" s="936"/>
      <c r="CI362" s="938"/>
    </row>
    <row r="363" spans="2:87" s="370" customFormat="1" ht="15" collapsed="1">
      <c r="B363" s="895" t="s">
        <v>1524</v>
      </c>
      <c r="C363" s="896" t="s">
        <v>1525</v>
      </c>
      <c r="D363" s="897"/>
      <c r="E363" s="898"/>
      <c r="F363" s="899"/>
      <c r="G363" s="899"/>
      <c r="H363" s="900"/>
      <c r="I363" s="901"/>
      <c r="J363" s="902"/>
      <c r="K363" s="898"/>
      <c r="L363" s="899"/>
      <c r="M363" s="903"/>
      <c r="N363" s="904"/>
      <c r="O363" s="898"/>
      <c r="P363" s="902"/>
      <c r="Q363" s="905"/>
      <c r="R363" s="903"/>
      <c r="S363" s="905"/>
      <c r="T363" s="906"/>
      <c r="U363" s="906"/>
      <c r="V363" s="907"/>
      <c r="W363" s="908"/>
      <c r="X363" s="909"/>
      <c r="Y363" s="910">
        <f>SUM(Y364:Y367)</f>
        <v>0</v>
      </c>
      <c r="Z363" s="910">
        <f>SUM(Z364:Z367)</f>
        <v>0</v>
      </c>
      <c r="AA363" s="911"/>
      <c r="AB363" s="747"/>
      <c r="AC363" s="912"/>
      <c r="AD363" s="912"/>
      <c r="AE363" s="912"/>
      <c r="AF363" s="913"/>
      <c r="AH363" s="521"/>
      <c r="AJ363" s="483"/>
      <c r="AK363" s="522">
        <f>SUM(AJ364:AJ367)</f>
        <v>0</v>
      </c>
      <c r="AL363" s="401"/>
      <c r="AM363" s="523">
        <f>SUM(AL364:AL367)</f>
        <v>0</v>
      </c>
      <c r="AO363" s="521"/>
      <c r="AQ363" s="1155" t="str">
        <f>+B363</f>
        <v>- Liquid Pipe Assy</v>
      </c>
      <c r="AR363" s="1070" t="s">
        <v>87</v>
      </c>
      <c r="AS363" s="1071" t="s">
        <v>97</v>
      </c>
      <c r="AT363" s="915" t="s">
        <v>1345</v>
      </c>
      <c r="AV363" s="521"/>
      <c r="AX363" s="918" t="s">
        <v>19</v>
      </c>
      <c r="AY363" s="919" t="s">
        <v>1436</v>
      </c>
      <c r="AZ363" s="920"/>
      <c r="BA363" s="918" t="s">
        <v>1437</v>
      </c>
      <c r="BB363" s="920"/>
      <c r="BC363" s="918" t="s">
        <v>1438</v>
      </c>
      <c r="BD363" s="920"/>
      <c r="BF363" s="524"/>
      <c r="BG363" s="395"/>
      <c r="BH363" s="918" t="s">
        <v>1128</v>
      </c>
      <c r="BI363" s="919" t="s">
        <v>1514</v>
      </c>
      <c r="BJ363" s="919" t="s">
        <v>1515</v>
      </c>
      <c r="BK363" s="919" t="s">
        <v>1516</v>
      </c>
      <c r="BL363" s="919" t="s">
        <v>1517</v>
      </c>
      <c r="BM363" s="919" t="s">
        <v>1518</v>
      </c>
      <c r="BN363" s="919"/>
      <c r="BO363" s="920"/>
      <c r="BP363" s="395"/>
      <c r="BQ363" s="395"/>
      <c r="BR363" s="369"/>
      <c r="BS363" s="369"/>
      <c r="BT363" s="369"/>
      <c r="BU363" s="395"/>
      <c r="BV363" s="369"/>
      <c r="BW363" s="369"/>
      <c r="BX363" s="369"/>
      <c r="BY363" s="395"/>
      <c r="BZ363" s="369"/>
      <c r="CA363" s="369"/>
      <c r="CH363" s="395"/>
      <c r="CI363" s="511"/>
    </row>
    <row r="364" spans="2:87" s="747" customFormat="1" ht="13.9" hidden="1" customHeight="1" outlineLevel="1">
      <c r="B364" s="931" t="str">
        <f t="shared" ref="B364:B367" si="390">"Liquid Pipe "&amp;AQ364</f>
        <v>Liquid Pipe 7.5hp: H705CC/ HEX705CC</v>
      </c>
      <c r="D364" s="1100">
        <f t="shared" ref="D364:E367" si="391">+BC364</f>
        <v>0.375</v>
      </c>
      <c r="E364" s="811">
        <f t="shared" si="391"/>
        <v>0.6</v>
      </c>
      <c r="F364" s="1101">
        <f t="shared" ref="F364:F367" si="392">+D$352/4+E$352+F$352/4</f>
        <v>1409.5</v>
      </c>
      <c r="G364" s="978"/>
      <c r="H364" s="924" t="s">
        <v>97</v>
      </c>
      <c r="I364" s="811">
        <f t="shared" si="360"/>
        <v>9.5249999999999986</v>
      </c>
      <c r="J364" s="811">
        <f t="shared" si="380"/>
        <v>0.6</v>
      </c>
      <c r="K364" s="808">
        <f t="shared" si="380"/>
        <v>1409.5</v>
      </c>
      <c r="L364" s="809"/>
      <c r="M364" s="860">
        <v>8900</v>
      </c>
      <c r="N364" s="813">
        <f t="shared" si="381"/>
        <v>2.3721884999999996E-5</v>
      </c>
      <c r="O364" s="814">
        <v>1</v>
      </c>
      <c r="P364" s="811">
        <f t="shared" si="363"/>
        <v>0.21112477649999997</v>
      </c>
      <c r="Q364" s="978">
        <v>1.05</v>
      </c>
      <c r="R364" s="505">
        <f t="shared" si="364"/>
        <v>0</v>
      </c>
      <c r="S364" s="980">
        <f t="shared" si="365"/>
        <v>0</v>
      </c>
      <c r="T364" s="925" t="s">
        <v>115</v>
      </c>
      <c r="U364" s="946">
        <f t="shared" si="382"/>
        <v>207000</v>
      </c>
      <c r="V364" s="927">
        <f t="shared" si="367"/>
        <v>6.8240753377917299E-5</v>
      </c>
      <c r="W364" s="926">
        <v>1</v>
      </c>
      <c r="X364" s="820">
        <v>1</v>
      </c>
      <c r="Y364" s="928">
        <f t="shared" si="368"/>
        <v>0</v>
      </c>
      <c r="Z364" s="929">
        <f t="shared" si="369"/>
        <v>0</v>
      </c>
      <c r="AA364" s="823">
        <v>1</v>
      </c>
      <c r="AC364" s="457">
        <v>1</v>
      </c>
      <c r="AD364" s="457"/>
      <c r="AE364" s="457"/>
      <c r="AF364" s="457"/>
      <c r="AG364" s="824"/>
      <c r="AH364" s="827"/>
      <c r="AI364" s="824"/>
      <c r="AJ364" s="828">
        <f t="shared" si="370"/>
        <v>0</v>
      </c>
      <c r="AK364" s="862"/>
      <c r="AL364" s="828">
        <f t="shared" si="371"/>
        <v>0</v>
      </c>
      <c r="AM364" s="862"/>
      <c r="AN364" s="824"/>
      <c r="AO364" s="827"/>
      <c r="AQ364" s="930" t="s">
        <v>1602</v>
      </c>
      <c r="AR364" s="1113" t="s">
        <v>1607</v>
      </c>
      <c r="AS364" s="1054">
        <f t="shared" ref="AS364:AS367" si="393">+BM364</f>
        <v>0.149787</v>
      </c>
      <c r="AT364" s="931"/>
      <c r="AV364" s="827"/>
      <c r="AX364" s="1103">
        <v>400.3</v>
      </c>
      <c r="AY364" s="1022"/>
      <c r="AZ364" s="935"/>
      <c r="BA364" s="1106"/>
      <c r="BB364" s="1107"/>
      <c r="BC364" s="1104">
        <v>0.375</v>
      </c>
      <c r="BD364" s="1115">
        <v>0.6</v>
      </c>
      <c r="BF364" s="830"/>
      <c r="BH364" s="1108">
        <f t="shared" ref="BH364:BH367" si="394">+BC364*25.4</f>
        <v>9.5249999999999986</v>
      </c>
      <c r="BI364" s="1096">
        <f t="shared" ref="BI364:BI367" si="395">+BH364-2*BD364</f>
        <v>8.3249999999999993</v>
      </c>
      <c r="BJ364" s="1110">
        <f t="shared" ref="BJ364:BK367" si="396">22/28*(BH364/1000)^2</f>
        <v>7.1284419642857129E-5</v>
      </c>
      <c r="BK364" s="1110">
        <f t="shared" si="396"/>
        <v>5.4454419642857129E-5</v>
      </c>
      <c r="BL364" s="1111">
        <f t="shared" ref="BL364:BL367" si="397">+BJ364-BK364</f>
        <v>1.683E-5</v>
      </c>
      <c r="BM364" s="1096">
        <f t="shared" ref="BM364:BM367" si="398">+BL364*8900</f>
        <v>0.149787</v>
      </c>
      <c r="BN364" s="1109"/>
      <c r="BO364" s="1112"/>
      <c r="BP364" s="936"/>
      <c r="BQ364" s="936"/>
      <c r="BU364" s="936"/>
      <c r="BY364" s="936"/>
      <c r="CH364" s="936"/>
      <c r="CI364" s="938"/>
    </row>
    <row r="365" spans="2:87" s="747" customFormat="1" ht="13.9" hidden="1" customHeight="1" outlineLevel="1">
      <c r="B365" s="931" t="str">
        <f t="shared" si="390"/>
        <v>Liquid Pipe 10.0hp: H1002CC/ HEX1002CC</v>
      </c>
      <c r="D365" s="1100">
        <f t="shared" si="391"/>
        <v>0.375</v>
      </c>
      <c r="E365" s="811">
        <f t="shared" si="391"/>
        <v>0.6</v>
      </c>
      <c r="F365" s="1101">
        <f t="shared" si="392"/>
        <v>1409.5</v>
      </c>
      <c r="G365" s="978"/>
      <c r="H365" s="924" t="s">
        <v>97</v>
      </c>
      <c r="I365" s="811">
        <f t="shared" si="360"/>
        <v>9.5249999999999986</v>
      </c>
      <c r="J365" s="811">
        <f t="shared" si="380"/>
        <v>0.6</v>
      </c>
      <c r="K365" s="808">
        <f t="shared" si="380"/>
        <v>1409.5</v>
      </c>
      <c r="L365" s="809"/>
      <c r="M365" s="860">
        <v>8900</v>
      </c>
      <c r="N365" s="813">
        <f t="shared" si="381"/>
        <v>2.3721884999999996E-5</v>
      </c>
      <c r="O365" s="814">
        <v>1</v>
      </c>
      <c r="P365" s="811">
        <f t="shared" si="363"/>
        <v>0.21112477649999997</v>
      </c>
      <c r="Q365" s="978">
        <v>1.05</v>
      </c>
      <c r="R365" s="505">
        <f t="shared" si="364"/>
        <v>0</v>
      </c>
      <c r="S365" s="980">
        <f t="shared" si="365"/>
        <v>0</v>
      </c>
      <c r="T365" s="925" t="s">
        <v>115</v>
      </c>
      <c r="U365" s="946">
        <f t="shared" si="382"/>
        <v>207000</v>
      </c>
      <c r="V365" s="927">
        <f t="shared" si="367"/>
        <v>6.8240753377917299E-5</v>
      </c>
      <c r="W365" s="926">
        <v>1</v>
      </c>
      <c r="X365" s="820">
        <v>1</v>
      </c>
      <c r="Y365" s="928">
        <f t="shared" si="368"/>
        <v>0</v>
      </c>
      <c r="Z365" s="929">
        <f t="shared" si="369"/>
        <v>0</v>
      </c>
      <c r="AA365" s="823"/>
      <c r="AC365" s="457"/>
      <c r="AD365" s="457">
        <v>1</v>
      </c>
      <c r="AE365" s="457"/>
      <c r="AF365" s="457"/>
      <c r="AG365" s="824"/>
      <c r="AH365" s="827"/>
      <c r="AI365" s="824"/>
      <c r="AJ365" s="828">
        <f t="shared" si="370"/>
        <v>0</v>
      </c>
      <c r="AK365" s="862"/>
      <c r="AL365" s="828">
        <f t="shared" si="371"/>
        <v>0</v>
      </c>
      <c r="AM365" s="862"/>
      <c r="AN365" s="824"/>
      <c r="AO365" s="827"/>
      <c r="AQ365" s="930" t="s">
        <v>1604</v>
      </c>
      <c r="AR365" s="1113" t="s">
        <v>1607</v>
      </c>
      <c r="AS365" s="1054">
        <f t="shared" si="393"/>
        <v>0.149787</v>
      </c>
      <c r="AT365" s="931"/>
      <c r="AV365" s="827"/>
      <c r="AX365" s="1103">
        <v>417.3</v>
      </c>
      <c r="AY365" s="1022"/>
      <c r="AZ365" s="935"/>
      <c r="BA365" s="1106"/>
      <c r="BB365" s="1107"/>
      <c r="BC365" s="1104">
        <v>0.375</v>
      </c>
      <c r="BD365" s="1115">
        <v>0.6</v>
      </c>
      <c r="BF365" s="830"/>
      <c r="BH365" s="1108">
        <f t="shared" si="394"/>
        <v>9.5249999999999986</v>
      </c>
      <c r="BI365" s="1096">
        <f t="shared" si="395"/>
        <v>8.3249999999999993</v>
      </c>
      <c r="BJ365" s="1110">
        <f t="shared" si="396"/>
        <v>7.1284419642857129E-5</v>
      </c>
      <c r="BK365" s="1110">
        <f t="shared" si="396"/>
        <v>5.4454419642857129E-5</v>
      </c>
      <c r="BL365" s="1111">
        <f t="shared" si="397"/>
        <v>1.683E-5</v>
      </c>
      <c r="BM365" s="1096">
        <f t="shared" si="398"/>
        <v>0.149787</v>
      </c>
      <c r="BN365" s="1109"/>
      <c r="BO365" s="1112"/>
      <c r="BP365" s="936"/>
      <c r="BQ365" s="936"/>
      <c r="BU365" s="936"/>
      <c r="BY365" s="936"/>
      <c r="CH365" s="936"/>
      <c r="CI365" s="938"/>
    </row>
    <row r="366" spans="2:87" s="747" customFormat="1" ht="13.9" hidden="1" customHeight="1" outlineLevel="1">
      <c r="B366" s="931" t="str">
        <f t="shared" si="390"/>
        <v>Liquid Pipe 12.5hp: H1201CC/ HEX1201CC</v>
      </c>
      <c r="D366" s="1100">
        <f t="shared" si="391"/>
        <v>0.375</v>
      </c>
      <c r="E366" s="811">
        <f t="shared" si="391"/>
        <v>0.6</v>
      </c>
      <c r="F366" s="1101">
        <f t="shared" si="392"/>
        <v>1409.5</v>
      </c>
      <c r="G366" s="978"/>
      <c r="H366" s="924" t="s">
        <v>97</v>
      </c>
      <c r="I366" s="811">
        <f t="shared" si="360"/>
        <v>9.5249999999999986</v>
      </c>
      <c r="J366" s="811">
        <f t="shared" si="380"/>
        <v>0.6</v>
      </c>
      <c r="K366" s="808">
        <f t="shared" si="380"/>
        <v>1409.5</v>
      </c>
      <c r="L366" s="809"/>
      <c r="M366" s="860">
        <v>8901</v>
      </c>
      <c r="N366" s="813">
        <f t="shared" si="381"/>
        <v>2.3721884999999996E-5</v>
      </c>
      <c r="O366" s="814">
        <v>2</v>
      </c>
      <c r="P366" s="811">
        <f t="shared" si="363"/>
        <v>0.42229699676999993</v>
      </c>
      <c r="Q366" s="978">
        <v>1.05</v>
      </c>
      <c r="R366" s="505">
        <f t="shared" si="364"/>
        <v>0</v>
      </c>
      <c r="S366" s="980">
        <f t="shared" si="365"/>
        <v>0</v>
      </c>
      <c r="T366" s="925" t="s">
        <v>115</v>
      </c>
      <c r="U366" s="946">
        <f t="shared" si="382"/>
        <v>207000</v>
      </c>
      <c r="V366" s="927">
        <f t="shared" si="367"/>
        <v>6.8240753377917299E-5</v>
      </c>
      <c r="W366" s="926">
        <v>1</v>
      </c>
      <c r="X366" s="820">
        <v>1</v>
      </c>
      <c r="Y366" s="928">
        <f t="shared" si="368"/>
        <v>0</v>
      </c>
      <c r="Z366" s="929">
        <f t="shared" si="369"/>
        <v>0</v>
      </c>
      <c r="AA366" s="823"/>
      <c r="AC366" s="457"/>
      <c r="AD366" s="457"/>
      <c r="AE366" s="457">
        <v>1</v>
      </c>
      <c r="AF366" s="457"/>
      <c r="AG366" s="824"/>
      <c r="AH366" s="827"/>
      <c r="AI366" s="824"/>
      <c r="AJ366" s="828">
        <f t="shared" si="370"/>
        <v>0</v>
      </c>
      <c r="AK366" s="862"/>
      <c r="AL366" s="828">
        <f t="shared" si="371"/>
        <v>0</v>
      </c>
      <c r="AM366" s="862"/>
      <c r="AN366" s="824"/>
      <c r="AO366" s="827"/>
      <c r="AQ366" s="930" t="s">
        <v>1605</v>
      </c>
      <c r="AR366" s="1113" t="s">
        <v>1607</v>
      </c>
      <c r="AS366" s="1054">
        <f t="shared" si="393"/>
        <v>0.149787</v>
      </c>
      <c r="AT366" s="931"/>
      <c r="AV366" s="827"/>
      <c r="AX366" s="1103">
        <v>414.2</v>
      </c>
      <c r="AY366" s="1022"/>
      <c r="AZ366" s="935"/>
      <c r="BA366" s="1106"/>
      <c r="BB366" s="1107"/>
      <c r="BC366" s="1104">
        <v>0.375</v>
      </c>
      <c r="BD366" s="1115">
        <v>0.6</v>
      </c>
      <c r="BF366" s="830"/>
      <c r="BH366" s="1108">
        <f t="shared" si="394"/>
        <v>9.5249999999999986</v>
      </c>
      <c r="BI366" s="1096">
        <f t="shared" si="395"/>
        <v>8.3249999999999993</v>
      </c>
      <c r="BJ366" s="1110">
        <f t="shared" si="396"/>
        <v>7.1284419642857129E-5</v>
      </c>
      <c r="BK366" s="1110">
        <f t="shared" si="396"/>
        <v>5.4454419642857129E-5</v>
      </c>
      <c r="BL366" s="1111">
        <f t="shared" si="397"/>
        <v>1.683E-5</v>
      </c>
      <c r="BM366" s="1096">
        <f t="shared" si="398"/>
        <v>0.149787</v>
      </c>
      <c r="BN366" s="1109"/>
      <c r="BO366" s="1112"/>
      <c r="BP366" s="936"/>
      <c r="BQ366" s="936"/>
      <c r="BU366" s="936"/>
      <c r="BY366" s="936"/>
      <c r="CH366" s="936"/>
      <c r="CI366" s="938"/>
    </row>
    <row r="367" spans="2:87" s="747" customFormat="1" ht="13.9" hidden="1" customHeight="1" outlineLevel="1">
      <c r="B367" s="931" t="str">
        <f t="shared" si="390"/>
        <v>Liquid Pipe 15.0hp: H2001CC/ HEX2001CC</v>
      </c>
      <c r="D367" s="1100">
        <f t="shared" si="391"/>
        <v>0.5</v>
      </c>
      <c r="E367" s="811">
        <f t="shared" si="391"/>
        <v>0.8</v>
      </c>
      <c r="F367" s="1101">
        <f t="shared" si="392"/>
        <v>1409.5</v>
      </c>
      <c r="G367" s="978"/>
      <c r="H367" s="924" t="s">
        <v>97</v>
      </c>
      <c r="I367" s="811">
        <f t="shared" si="360"/>
        <v>12.7</v>
      </c>
      <c r="J367" s="811">
        <f t="shared" si="380"/>
        <v>0.8</v>
      </c>
      <c r="K367" s="808">
        <f t="shared" si="380"/>
        <v>1409.5</v>
      </c>
      <c r="L367" s="809"/>
      <c r="M367" s="860">
        <v>8903</v>
      </c>
      <c r="N367" s="813">
        <f t="shared" si="381"/>
        <v>4.2172240000000012E-5</v>
      </c>
      <c r="O367" s="814">
        <v>4</v>
      </c>
      <c r="P367" s="811">
        <f t="shared" si="363"/>
        <v>1.5018378108800003</v>
      </c>
      <c r="Q367" s="978">
        <v>1.05</v>
      </c>
      <c r="R367" s="505">
        <f t="shared" si="364"/>
        <v>0</v>
      </c>
      <c r="S367" s="980">
        <f t="shared" si="365"/>
        <v>0</v>
      </c>
      <c r="T367" s="925" t="s">
        <v>115</v>
      </c>
      <c r="U367" s="946">
        <f t="shared" si="382"/>
        <v>207000</v>
      </c>
      <c r="V367" s="927">
        <f t="shared" si="367"/>
        <v>6.8240753377917299E-5</v>
      </c>
      <c r="W367" s="926">
        <v>1</v>
      </c>
      <c r="X367" s="820">
        <v>1</v>
      </c>
      <c r="Y367" s="928">
        <f t="shared" si="368"/>
        <v>0</v>
      </c>
      <c r="Z367" s="929">
        <f t="shared" si="369"/>
        <v>0</v>
      </c>
      <c r="AA367" s="823"/>
      <c r="AC367" s="457"/>
      <c r="AD367" s="457"/>
      <c r="AE367" s="457"/>
      <c r="AF367" s="457">
        <v>1</v>
      </c>
      <c r="AG367" s="824"/>
      <c r="AH367" s="827"/>
      <c r="AI367" s="824"/>
      <c r="AJ367" s="828">
        <f t="shared" si="370"/>
        <v>0</v>
      </c>
      <c r="AK367" s="862"/>
      <c r="AL367" s="828">
        <f t="shared" si="371"/>
        <v>0</v>
      </c>
      <c r="AM367" s="862"/>
      <c r="AN367" s="824"/>
      <c r="AO367" s="827"/>
      <c r="AQ367" s="930" t="s">
        <v>1606</v>
      </c>
      <c r="AR367" s="1113" t="s">
        <v>1526</v>
      </c>
      <c r="AS367" s="1054">
        <f t="shared" si="393"/>
        <v>0.26628799999999986</v>
      </c>
      <c r="AT367" s="931"/>
      <c r="AV367" s="827"/>
      <c r="AX367" s="1103">
        <v>440</v>
      </c>
      <c r="AY367" s="1022"/>
      <c r="AZ367" s="935"/>
      <c r="BA367" s="1106"/>
      <c r="BB367" s="1107"/>
      <c r="BC367" s="1104">
        <v>0.5</v>
      </c>
      <c r="BD367" s="1115">
        <v>0.8</v>
      </c>
      <c r="BF367" s="830"/>
      <c r="BH367" s="1108">
        <f t="shared" si="394"/>
        <v>12.7</v>
      </c>
      <c r="BI367" s="1096">
        <f t="shared" si="395"/>
        <v>11.1</v>
      </c>
      <c r="BJ367" s="1110">
        <f t="shared" si="396"/>
        <v>1.2672785714285713E-4</v>
      </c>
      <c r="BK367" s="1110">
        <f t="shared" si="396"/>
        <v>9.6807857142857149E-5</v>
      </c>
      <c r="BL367" s="1111">
        <f t="shared" si="397"/>
        <v>2.9919999999999985E-5</v>
      </c>
      <c r="BM367" s="1096">
        <f t="shared" si="398"/>
        <v>0.26628799999999986</v>
      </c>
      <c r="BN367" s="1109"/>
      <c r="BO367" s="1112"/>
      <c r="BP367" s="936"/>
      <c r="BQ367" s="936"/>
      <c r="BU367" s="936"/>
      <c r="BY367" s="936"/>
      <c r="CH367" s="936"/>
      <c r="CI367" s="938"/>
    </row>
    <row r="368" spans="2:87" s="370" customFormat="1" ht="15" collapsed="1">
      <c r="B368" s="895" t="s">
        <v>1529</v>
      </c>
      <c r="C368" s="896"/>
      <c r="D368" s="897"/>
      <c r="E368" s="898"/>
      <c r="F368" s="899"/>
      <c r="G368" s="899"/>
      <c r="H368" s="900"/>
      <c r="I368" s="901"/>
      <c r="J368" s="902"/>
      <c r="K368" s="898"/>
      <c r="L368" s="899"/>
      <c r="M368" s="903"/>
      <c r="N368" s="904"/>
      <c r="O368" s="898"/>
      <c r="P368" s="902"/>
      <c r="Q368" s="905"/>
      <c r="R368" s="903"/>
      <c r="S368" s="905"/>
      <c r="T368" s="906"/>
      <c r="U368" s="906"/>
      <c r="V368" s="907"/>
      <c r="W368" s="908"/>
      <c r="X368" s="909"/>
      <c r="Y368" s="910">
        <f>SUM(Y369:Y371)</f>
        <v>0</v>
      </c>
      <c r="Z368" s="910">
        <f>SUM(Z369:Z371)</f>
        <v>0</v>
      </c>
      <c r="AA368" s="911"/>
      <c r="AB368" s="747"/>
      <c r="AC368" s="912"/>
      <c r="AD368" s="912"/>
      <c r="AE368" s="912"/>
      <c r="AF368" s="913"/>
      <c r="AH368" s="521"/>
      <c r="AJ368" s="483"/>
      <c r="AK368" s="522">
        <f>SUM(AJ369:AJ371)</f>
        <v>0</v>
      </c>
      <c r="AL368" s="401"/>
      <c r="AM368" s="523">
        <f>SUM(AL369:AL371)</f>
        <v>0</v>
      </c>
      <c r="AO368" s="521"/>
      <c r="AQ368" s="1155" t="str">
        <f>+B368</f>
        <v>- Line Component Pipe Assy</v>
      </c>
      <c r="AR368" s="1070" t="s">
        <v>87</v>
      </c>
      <c r="AS368" s="1071" t="s">
        <v>97</v>
      </c>
      <c r="AT368" s="915" t="s">
        <v>1345</v>
      </c>
      <c r="AV368" s="521"/>
      <c r="AX368" s="918" t="s">
        <v>19</v>
      </c>
      <c r="AY368" s="919" t="s">
        <v>1436</v>
      </c>
      <c r="AZ368" s="920"/>
      <c r="BA368" s="918" t="s">
        <v>1437</v>
      </c>
      <c r="BB368" s="920"/>
      <c r="BC368" s="918" t="s">
        <v>1438</v>
      </c>
      <c r="BD368" s="920"/>
      <c r="BF368" s="524"/>
      <c r="BG368" s="395"/>
      <c r="BH368" s="918" t="s">
        <v>1128</v>
      </c>
      <c r="BI368" s="919" t="s">
        <v>1514</v>
      </c>
      <c r="BJ368" s="919" t="s">
        <v>1515</v>
      </c>
      <c r="BK368" s="919" t="s">
        <v>1516</v>
      </c>
      <c r="BL368" s="919" t="s">
        <v>1517</v>
      </c>
      <c r="BM368" s="919" t="s">
        <v>1518</v>
      </c>
      <c r="BN368" s="919"/>
      <c r="BO368" s="920"/>
      <c r="BP368" s="395"/>
      <c r="BQ368" s="395"/>
      <c r="BR368" s="369"/>
      <c r="BS368" s="369"/>
      <c r="BT368" s="369"/>
      <c r="BU368" s="395"/>
      <c r="BV368" s="369"/>
      <c r="BW368" s="369"/>
      <c r="BX368" s="369"/>
      <c r="BY368" s="395"/>
      <c r="BZ368" s="369"/>
      <c r="CA368" s="369"/>
      <c r="CH368" s="395"/>
      <c r="CI368" s="511"/>
    </row>
    <row r="369" spans="1:87" s="747" customFormat="1" ht="13.9" hidden="1" customHeight="1" outlineLevel="1">
      <c r="B369" s="931" t="s">
        <v>1530</v>
      </c>
      <c r="D369" s="1100">
        <v>0.25</v>
      </c>
      <c r="E369" s="811">
        <v>0.6</v>
      </c>
      <c r="F369" s="1116">
        <v>250</v>
      </c>
      <c r="G369" s="978"/>
      <c r="H369" s="924" t="s">
        <v>97</v>
      </c>
      <c r="I369" s="811">
        <f t="shared" si="360"/>
        <v>6.35</v>
      </c>
      <c r="J369" s="811">
        <f t="shared" si="380"/>
        <v>0.6</v>
      </c>
      <c r="K369" s="808">
        <f t="shared" si="380"/>
        <v>250</v>
      </c>
      <c r="L369" s="809"/>
      <c r="M369" s="860">
        <v>8900</v>
      </c>
      <c r="N369" s="813">
        <f t="shared" si="381"/>
        <v>2.7107142857142849E-6</v>
      </c>
      <c r="O369" s="814">
        <v>2</v>
      </c>
      <c r="P369" s="811">
        <f t="shared" si="363"/>
        <v>4.8250714285714272E-2</v>
      </c>
      <c r="Q369" s="978">
        <v>1.05</v>
      </c>
      <c r="R369" s="505">
        <f t="shared" ref="R369:R371" si="399">+R$352</f>
        <v>0</v>
      </c>
      <c r="S369" s="980">
        <f t="shared" si="365"/>
        <v>0</v>
      </c>
      <c r="T369" s="925" t="s">
        <v>115</v>
      </c>
      <c r="U369" s="946">
        <f t="shared" si="382"/>
        <v>207000</v>
      </c>
      <c r="V369" s="927">
        <f t="shared" si="367"/>
        <v>6.8240753377917299E-5</v>
      </c>
      <c r="W369" s="926">
        <v>1</v>
      </c>
      <c r="X369" s="820">
        <v>1</v>
      </c>
      <c r="Y369" s="928">
        <f t="shared" si="368"/>
        <v>0</v>
      </c>
      <c r="Z369" s="929">
        <f t="shared" si="369"/>
        <v>0</v>
      </c>
      <c r="AA369" s="823">
        <v>1</v>
      </c>
      <c r="AC369" s="825">
        <v>1</v>
      </c>
      <c r="AD369" s="825">
        <v>1</v>
      </c>
      <c r="AE369" s="825">
        <v>1</v>
      </c>
      <c r="AF369" s="825">
        <v>1</v>
      </c>
      <c r="AG369" s="824"/>
      <c r="AH369" s="827"/>
      <c r="AI369" s="824"/>
      <c r="AJ369" s="828">
        <f t="shared" si="370"/>
        <v>0</v>
      </c>
      <c r="AK369" s="862"/>
      <c r="AL369" s="828">
        <f t="shared" si="371"/>
        <v>0</v>
      </c>
      <c r="AM369" s="862"/>
      <c r="AN369" s="824"/>
      <c r="AO369" s="827"/>
      <c r="AP369" s="824"/>
      <c r="AQ369" s="965" t="s">
        <v>1531</v>
      </c>
      <c r="AR369" s="1117" t="s">
        <v>1532</v>
      </c>
      <c r="AS369" s="1082">
        <f>+BM369</f>
        <v>9.6501428571428613E-2</v>
      </c>
      <c r="AT369" s="1117"/>
      <c r="AU369" s="824"/>
      <c r="AV369" s="827"/>
      <c r="AW369" s="824"/>
      <c r="AX369" s="941"/>
      <c r="AY369" s="942"/>
      <c r="AZ369" s="942"/>
      <c r="BA369" s="942"/>
      <c r="BB369" s="966"/>
      <c r="BC369" s="1118">
        <v>0.25</v>
      </c>
      <c r="BD369" s="1119">
        <v>0.6</v>
      </c>
      <c r="BF369" s="830"/>
      <c r="BH369" s="1162">
        <f>+BC369*25.4</f>
        <v>6.35</v>
      </c>
      <c r="BI369" s="1163">
        <f>+BH369-2*BD369</f>
        <v>5.1499999999999995</v>
      </c>
      <c r="BJ369" s="1164">
        <f t="shared" ref="BJ369:BK371" si="400">22/28*(BH369/1000)^2</f>
        <v>3.1681964285714283E-5</v>
      </c>
      <c r="BK369" s="1164">
        <f t="shared" si="400"/>
        <v>2.0839107142857135E-5</v>
      </c>
      <c r="BL369" s="1165">
        <f>+BJ369-BK369</f>
        <v>1.0842857142857148E-5</v>
      </c>
      <c r="BM369" s="1163">
        <f>+BL369*8900</f>
        <v>9.6501428571428613E-2</v>
      </c>
      <c r="BN369" s="1166"/>
      <c r="BO369" s="1167"/>
      <c r="BP369" s="936"/>
      <c r="BS369" s="936"/>
      <c r="CH369" s="936"/>
      <c r="CI369" s="938"/>
    </row>
    <row r="370" spans="1:87" s="747" customFormat="1" ht="13.9" hidden="1" customHeight="1" outlineLevel="1">
      <c r="B370" s="931" t="s">
        <v>1533</v>
      </c>
      <c r="D370" s="1100">
        <v>0.25</v>
      </c>
      <c r="E370" s="811">
        <v>0.6</v>
      </c>
      <c r="F370" s="1116">
        <v>250</v>
      </c>
      <c r="G370" s="978"/>
      <c r="H370" s="924" t="s">
        <v>97</v>
      </c>
      <c r="I370" s="811">
        <f t="shared" si="360"/>
        <v>6.35</v>
      </c>
      <c r="J370" s="811">
        <f t="shared" si="380"/>
        <v>0.6</v>
      </c>
      <c r="K370" s="808">
        <f t="shared" si="380"/>
        <v>250</v>
      </c>
      <c r="L370" s="809"/>
      <c r="M370" s="860">
        <v>8900</v>
      </c>
      <c r="N370" s="813">
        <f t="shared" si="381"/>
        <v>2.7107142857142849E-6</v>
      </c>
      <c r="O370" s="814">
        <v>2</v>
      </c>
      <c r="P370" s="811">
        <f t="shared" si="363"/>
        <v>4.8250714285714272E-2</v>
      </c>
      <c r="Q370" s="978">
        <v>1.05</v>
      </c>
      <c r="R370" s="505">
        <f t="shared" si="399"/>
        <v>0</v>
      </c>
      <c r="S370" s="980">
        <f t="shared" si="365"/>
        <v>0</v>
      </c>
      <c r="T370" s="925" t="s">
        <v>115</v>
      </c>
      <c r="U370" s="946">
        <f t="shared" si="382"/>
        <v>207000</v>
      </c>
      <c r="V370" s="927">
        <f t="shared" si="367"/>
        <v>6.8240753377917299E-5</v>
      </c>
      <c r="W370" s="926">
        <v>1</v>
      </c>
      <c r="X370" s="820">
        <v>1</v>
      </c>
      <c r="Y370" s="928">
        <f t="shared" si="368"/>
        <v>0</v>
      </c>
      <c r="Z370" s="929">
        <f t="shared" si="369"/>
        <v>0</v>
      </c>
      <c r="AA370" s="823">
        <v>1</v>
      </c>
      <c r="AC370" s="825">
        <v>1</v>
      </c>
      <c r="AD370" s="825">
        <v>1</v>
      </c>
      <c r="AE370" s="825">
        <v>1</v>
      </c>
      <c r="AF370" s="825">
        <v>1</v>
      </c>
      <c r="AG370" s="824"/>
      <c r="AH370" s="827"/>
      <c r="AI370" s="824"/>
      <c r="AJ370" s="828">
        <f t="shared" si="370"/>
        <v>0</v>
      </c>
      <c r="AK370" s="862"/>
      <c r="AL370" s="828">
        <f t="shared" si="371"/>
        <v>0</v>
      </c>
      <c r="AM370" s="862"/>
      <c r="AN370" s="824"/>
      <c r="AO370" s="827"/>
      <c r="AP370" s="824"/>
      <c r="AQ370" s="930" t="s">
        <v>1534</v>
      </c>
      <c r="AR370" s="931" t="s">
        <v>1532</v>
      </c>
      <c r="AS370" s="828">
        <f>+BM370</f>
        <v>9.6501428571428613E-2</v>
      </c>
      <c r="AT370" s="931"/>
      <c r="AU370" s="824"/>
      <c r="AV370" s="827"/>
      <c r="AW370" s="824"/>
      <c r="AX370" s="934"/>
      <c r="AY370" s="936"/>
      <c r="AZ370" s="936"/>
      <c r="BA370" s="936"/>
      <c r="BC370" s="1114">
        <v>0.25</v>
      </c>
      <c r="BD370" s="1115">
        <v>0.6</v>
      </c>
      <c r="BF370" s="830"/>
      <c r="BH370" s="1108">
        <f>+BC370*25.4</f>
        <v>6.35</v>
      </c>
      <c r="BI370" s="1096">
        <f>+BH370-2*BD370</f>
        <v>5.1499999999999995</v>
      </c>
      <c r="BJ370" s="1110">
        <f t="shared" si="400"/>
        <v>3.1681964285714283E-5</v>
      </c>
      <c r="BK370" s="1110">
        <f t="shared" si="400"/>
        <v>2.0839107142857135E-5</v>
      </c>
      <c r="BL370" s="1111">
        <f>+BJ370-BK370</f>
        <v>1.0842857142857148E-5</v>
      </c>
      <c r="BM370" s="1096">
        <f>+BL370*8900</f>
        <v>9.6501428571428613E-2</v>
      </c>
      <c r="BN370" s="1109"/>
      <c r="BO370" s="1112"/>
      <c r="BP370" s="936"/>
      <c r="BS370" s="936"/>
      <c r="CH370" s="936"/>
      <c r="CI370" s="938"/>
    </row>
    <row r="371" spans="1:87" s="747" customFormat="1" ht="13.9" hidden="1" customHeight="1" outlineLevel="1">
      <c r="B371" s="931" t="s">
        <v>1535</v>
      </c>
      <c r="D371" s="1100">
        <v>0.25</v>
      </c>
      <c r="E371" s="811">
        <v>0.6</v>
      </c>
      <c r="F371" s="1101">
        <v>100</v>
      </c>
      <c r="G371" s="978"/>
      <c r="H371" s="924" t="s">
        <v>97</v>
      </c>
      <c r="I371" s="811">
        <f t="shared" si="360"/>
        <v>6.35</v>
      </c>
      <c r="J371" s="811">
        <f t="shared" si="380"/>
        <v>0.6</v>
      </c>
      <c r="K371" s="808">
        <f t="shared" si="380"/>
        <v>100</v>
      </c>
      <c r="L371" s="809"/>
      <c r="M371" s="860">
        <v>8900</v>
      </c>
      <c r="N371" s="813">
        <f t="shared" si="381"/>
        <v>1.0842857142857139E-6</v>
      </c>
      <c r="O371" s="814">
        <v>2</v>
      </c>
      <c r="P371" s="811">
        <f t="shared" si="363"/>
        <v>1.9300285714285707E-2</v>
      </c>
      <c r="Q371" s="978">
        <v>1.05</v>
      </c>
      <c r="R371" s="505">
        <f t="shared" si="399"/>
        <v>0</v>
      </c>
      <c r="S371" s="980">
        <f t="shared" si="365"/>
        <v>0</v>
      </c>
      <c r="T371" s="925" t="s">
        <v>115</v>
      </c>
      <c r="U371" s="946">
        <f t="shared" si="382"/>
        <v>207000</v>
      </c>
      <c r="V371" s="927">
        <f t="shared" si="367"/>
        <v>6.8240753377917299E-5</v>
      </c>
      <c r="W371" s="926">
        <v>1</v>
      </c>
      <c r="X371" s="820">
        <v>1</v>
      </c>
      <c r="Y371" s="928">
        <f t="shared" si="368"/>
        <v>0</v>
      </c>
      <c r="Z371" s="929">
        <f t="shared" si="369"/>
        <v>0</v>
      </c>
      <c r="AA371" s="823">
        <v>1</v>
      </c>
      <c r="AC371" s="825">
        <v>1</v>
      </c>
      <c r="AD371" s="825">
        <v>1</v>
      </c>
      <c r="AE371" s="825">
        <v>1</v>
      </c>
      <c r="AF371" s="825">
        <v>1</v>
      </c>
      <c r="AG371" s="824"/>
      <c r="AH371" s="827"/>
      <c r="AI371" s="824"/>
      <c r="AJ371" s="828">
        <f t="shared" si="370"/>
        <v>0</v>
      </c>
      <c r="AK371" s="862"/>
      <c r="AL371" s="828">
        <f t="shared" si="371"/>
        <v>0</v>
      </c>
      <c r="AM371" s="862"/>
      <c r="AN371" s="824"/>
      <c r="AO371" s="827"/>
      <c r="AP371" s="824"/>
      <c r="AQ371" s="985" t="s">
        <v>1536</v>
      </c>
      <c r="AR371" s="983" t="s">
        <v>1532</v>
      </c>
      <c r="AS371" s="1077">
        <f>+BM371</f>
        <v>9.6501428571428613E-2</v>
      </c>
      <c r="AT371" s="983"/>
      <c r="AU371" s="824"/>
      <c r="AV371" s="827"/>
      <c r="AW371" s="824"/>
      <c r="AX371" s="1085"/>
      <c r="AY371" s="1086"/>
      <c r="AZ371" s="1086"/>
      <c r="BA371" s="1086"/>
      <c r="BB371" s="1076"/>
      <c r="BC371" s="1120">
        <v>0.25</v>
      </c>
      <c r="BD371" s="1121">
        <v>0.6</v>
      </c>
      <c r="BF371" s="830"/>
      <c r="BH371" s="1122">
        <f>+BC371*25.4</f>
        <v>6.35</v>
      </c>
      <c r="BI371" s="1091">
        <f>+BH371-2*BD371</f>
        <v>5.1499999999999995</v>
      </c>
      <c r="BJ371" s="1123">
        <f t="shared" si="400"/>
        <v>3.1681964285714283E-5</v>
      </c>
      <c r="BK371" s="1123">
        <f t="shared" si="400"/>
        <v>2.0839107142857135E-5</v>
      </c>
      <c r="BL371" s="1124">
        <f>+BJ371-BK371</f>
        <v>1.0842857142857148E-5</v>
      </c>
      <c r="BM371" s="1091">
        <f>+BL371*8900</f>
        <v>9.6501428571428613E-2</v>
      </c>
      <c r="BN371" s="1125"/>
      <c r="BO371" s="1126"/>
      <c r="BP371" s="936"/>
      <c r="BS371" s="936"/>
      <c r="CH371" s="936"/>
      <c r="CI371" s="938"/>
    </row>
    <row r="372" spans="1:87" s="370" customFormat="1" ht="15" collapsed="1">
      <c r="A372" s="369"/>
      <c r="B372" s="783" t="s">
        <v>1608</v>
      </c>
      <c r="C372" s="784"/>
      <c r="D372" s="785"/>
      <c r="E372" s="786"/>
      <c r="F372" s="787"/>
      <c r="G372" s="787"/>
      <c r="H372" s="788" t="s">
        <v>30</v>
      </c>
      <c r="I372" s="789" t="s">
        <v>1162</v>
      </c>
      <c r="J372" s="790" t="s">
        <v>1071</v>
      </c>
      <c r="K372" s="786" t="s">
        <v>1072</v>
      </c>
      <c r="L372" s="787" t="s">
        <v>21</v>
      </c>
      <c r="M372" s="791" t="s">
        <v>82</v>
      </c>
      <c r="N372" s="839" t="s">
        <v>1163</v>
      </c>
      <c r="O372" s="786" t="s">
        <v>1154</v>
      </c>
      <c r="P372" s="790" t="s">
        <v>1164</v>
      </c>
      <c r="Q372" s="793" t="s">
        <v>34</v>
      </c>
      <c r="R372" s="791">
        <f>+R$330+R$341</f>
        <v>0</v>
      </c>
      <c r="S372" s="793" t="s">
        <v>13</v>
      </c>
      <c r="T372" s="794" t="s">
        <v>128</v>
      </c>
      <c r="U372" s="794" t="s">
        <v>111</v>
      </c>
      <c r="V372" s="795" t="s">
        <v>32</v>
      </c>
      <c r="W372" s="796" t="s">
        <v>33</v>
      </c>
      <c r="X372" s="797"/>
      <c r="Y372" s="798"/>
      <c r="Z372" s="799"/>
      <c r="AA372" s="800" t="str">
        <f>+AA$2</f>
        <v>SCU75M1</v>
      </c>
      <c r="AB372" s="747"/>
      <c r="AC372" s="801" t="str">
        <f>+AC$2</f>
        <v>SCU75M1</v>
      </c>
      <c r="AD372" s="801" t="str">
        <f>+AD$2</f>
        <v>SCU100M1</v>
      </c>
      <c r="AE372" s="801" t="str">
        <f>+AE$2</f>
        <v>SCU125M1</v>
      </c>
      <c r="AF372" s="802" t="str">
        <f>+AF$2</f>
        <v>SCU150M1</v>
      </c>
      <c r="AH372" s="521"/>
      <c r="AJ372" s="483"/>
      <c r="AK372" s="522"/>
      <c r="AL372" s="401"/>
      <c r="AM372" s="523"/>
      <c r="AO372" s="521"/>
      <c r="AQ372" s="2143" t="str">
        <f>+B372</f>
        <v>COMPRESSOR: SH Recip In Line Components</v>
      </c>
      <c r="AR372" s="2144"/>
      <c r="AS372" s="2144"/>
      <c r="AT372" s="2145"/>
      <c r="AV372" s="521"/>
      <c r="AX372" s="2143" t="str">
        <f>+AQ372</f>
        <v>COMPRESSOR: SH Recip In Line Components</v>
      </c>
      <c r="AY372" s="2144"/>
      <c r="AZ372" s="2144"/>
      <c r="BA372" s="2144"/>
      <c r="BB372" s="2144"/>
      <c r="BC372" s="2144"/>
      <c r="BD372" s="2145"/>
      <c r="BF372" s="524"/>
      <c r="BG372" s="395"/>
      <c r="BH372" s="2143" t="str">
        <f>+AX372</f>
        <v>COMPRESSOR: SH Recip In Line Components</v>
      </c>
      <c r="BI372" s="2144"/>
      <c r="BJ372" s="2144"/>
      <c r="BK372" s="2144"/>
      <c r="BL372" s="2144"/>
      <c r="BM372" s="2144"/>
      <c r="BN372" s="2144"/>
      <c r="BO372" s="2145"/>
      <c r="BP372" s="395"/>
      <c r="BQ372" s="369"/>
      <c r="BR372" s="369"/>
      <c r="BS372" s="395"/>
      <c r="BT372" s="369"/>
      <c r="BU372" s="369"/>
      <c r="BV372" s="369"/>
      <c r="BW372" s="369"/>
      <c r="BX372" s="369"/>
      <c r="BY372" s="369"/>
      <c r="CH372" s="395"/>
      <c r="CI372" s="511"/>
    </row>
    <row r="373" spans="1:87" s="370" customFormat="1" ht="15">
      <c r="A373" s="369"/>
      <c r="B373" s="895" t="s">
        <v>1538</v>
      </c>
      <c r="C373" s="896"/>
      <c r="D373" s="897"/>
      <c r="E373" s="898"/>
      <c r="F373" s="899"/>
      <c r="G373" s="899"/>
      <c r="H373" s="900"/>
      <c r="I373" s="901"/>
      <c r="J373" s="902"/>
      <c r="K373" s="898"/>
      <c r="L373" s="899"/>
      <c r="M373" s="903"/>
      <c r="N373" s="904"/>
      <c r="O373" s="898"/>
      <c r="P373" s="902"/>
      <c r="Q373" s="905"/>
      <c r="R373" s="894">
        <f>IF(AND(L$8=1,R$372=1),1,0)</f>
        <v>0</v>
      </c>
      <c r="S373" s="905"/>
      <c r="T373" s="906"/>
      <c r="U373" s="906"/>
      <c r="V373" s="907"/>
      <c r="W373" s="908"/>
      <c r="X373" s="909"/>
      <c r="Y373" s="910">
        <f>SUM(Y374:Y377)</f>
        <v>0</v>
      </c>
      <c r="Z373" s="1069">
        <f>SUM(Z374:Z377)</f>
        <v>0</v>
      </c>
      <c r="AA373" s="911"/>
      <c r="AB373" s="747"/>
      <c r="AC373" s="912"/>
      <c r="AD373" s="912"/>
      <c r="AE373" s="912"/>
      <c r="AF373" s="913"/>
      <c r="AH373" s="521"/>
      <c r="AJ373" s="483"/>
      <c r="AK373" s="522">
        <f>SUM(AJ374:AJ377)</f>
        <v>0</v>
      </c>
      <c r="AL373" s="401"/>
      <c r="AM373" s="523">
        <f>SUM(AL374:AL377)</f>
        <v>0</v>
      </c>
      <c r="AO373" s="521"/>
      <c r="AQ373" s="1155" t="str">
        <f>+B373</f>
        <v>- Suction Accummulator</v>
      </c>
      <c r="AR373" s="1070" t="s">
        <v>1539</v>
      </c>
      <c r="AS373" s="1071" t="s">
        <v>97</v>
      </c>
      <c r="AT373" s="915" t="s">
        <v>1345</v>
      </c>
      <c r="AV373" s="521"/>
      <c r="AX373" s="918" t="s">
        <v>1433</v>
      </c>
      <c r="AY373" s="919" t="s">
        <v>1436</v>
      </c>
      <c r="AZ373" s="960"/>
      <c r="BA373" s="960"/>
      <c r="BB373" s="960"/>
      <c r="BC373" s="960"/>
      <c r="BD373" s="961"/>
      <c r="BF373" s="524"/>
      <c r="BG373" s="395"/>
      <c r="BH373" s="1168" t="s">
        <v>1540</v>
      </c>
      <c r="BI373" s="1169" t="s">
        <v>1541</v>
      </c>
      <c r="BJ373" s="1170" t="s">
        <v>1542</v>
      </c>
      <c r="BK373" s="1170" t="s">
        <v>1543</v>
      </c>
      <c r="BL373" s="1170" t="s">
        <v>1544</v>
      </c>
      <c r="BM373" s="1170" t="s">
        <v>734</v>
      </c>
      <c r="BN373" s="1171" t="s">
        <v>1545</v>
      </c>
      <c r="BO373" s="1172"/>
      <c r="BP373" s="395"/>
      <c r="BQ373" s="369"/>
      <c r="BR373" s="395"/>
      <c r="BS373" s="369"/>
      <c r="BT373" s="369"/>
      <c r="BU373" s="369"/>
      <c r="BV373" s="369"/>
      <c r="BW373" s="369"/>
      <c r="BX373" s="369"/>
      <c r="BY373" s="369"/>
      <c r="CH373" s="395"/>
      <c r="CI373" s="524"/>
    </row>
    <row r="374" spans="1:87" s="747" customFormat="1" ht="13.9" hidden="1" customHeight="1" outlineLevel="1">
      <c r="B374" s="921" t="str">
        <f t="shared" ref="B374:B377" si="401">"Suction Accummulator "&amp;AQ374&amp;"- "&amp;AR374</f>
        <v>Suction Accummulator 7.5hp: H705CC/ HEX705CC- RA211</v>
      </c>
      <c r="C374" s="922" t="s">
        <v>1609</v>
      </c>
      <c r="D374" s="923"/>
      <c r="E374" s="808"/>
      <c r="F374" s="809"/>
      <c r="G374" s="809"/>
      <c r="H374" s="924" t="s">
        <v>100</v>
      </c>
      <c r="J374" s="828"/>
      <c r="K374" s="808"/>
      <c r="L374" s="809"/>
      <c r="M374" s="860">
        <v>1</v>
      </c>
      <c r="N374" s="813">
        <f t="shared" ref="N374:N377" si="402">IF(I374&gt;0,22/28*((I374/1000)^2-(I374/1000-2*J374/1000)^2)*K374/1000,IF(J374&gt;0,J374/1000*K374/1000*L374/1000, IF(K374&gt;0,K374/1000*L374/1000, IF(L374=0,1,L374/1000))))</f>
        <v>1</v>
      </c>
      <c r="O374" s="814">
        <v>1</v>
      </c>
      <c r="P374" s="811">
        <f t="shared" ref="P374:P377" si="403">M374*N374*O374</f>
        <v>1</v>
      </c>
      <c r="Q374" s="815">
        <v>1</v>
      </c>
      <c r="R374" s="505">
        <f t="shared" ref="R374:R377" si="404">+R$373</f>
        <v>0</v>
      </c>
      <c r="S374" s="815">
        <f t="shared" ref="S374:S377" si="405">P374*AA374*Q374*R374</f>
        <v>0</v>
      </c>
      <c r="T374" s="925" t="s">
        <v>46</v>
      </c>
      <c r="U374" s="1128"/>
      <c r="V374" s="927">
        <f t="shared" ref="V374:V377" si="406">1/VLOOKUP(T374,Y$12:Z$18,2,FALSE)</f>
        <v>1</v>
      </c>
      <c r="W374" s="926">
        <v>1</v>
      </c>
      <c r="X374" s="820"/>
      <c r="Y374" s="928">
        <f t="shared" ref="Y374:Y377" si="407">+P374*R374*AA374*X374</f>
        <v>0</v>
      </c>
      <c r="Z374" s="929">
        <f t="shared" ref="Z374:Z377" si="408">S374*U374*V374*W374</f>
        <v>0</v>
      </c>
      <c r="AA374" s="823">
        <v>1</v>
      </c>
      <c r="AC374" s="457">
        <v>1</v>
      </c>
      <c r="AD374" s="457"/>
      <c r="AE374" s="457"/>
      <c r="AF374" s="457"/>
      <c r="AG374" s="824"/>
      <c r="AH374" s="827"/>
      <c r="AI374" s="824"/>
      <c r="AJ374" s="828">
        <f t="shared" ref="AJ374:AJ377" si="409">+Y374</f>
        <v>0</v>
      </c>
      <c r="AK374" s="862"/>
      <c r="AL374" s="828">
        <f t="shared" ref="AL374:AL377" si="410">+Z374</f>
        <v>0</v>
      </c>
      <c r="AM374" s="862"/>
      <c r="AN374" s="824"/>
      <c r="AO374" s="827"/>
      <c r="AQ374" s="930" t="s">
        <v>1602</v>
      </c>
      <c r="AR374" s="930" t="s">
        <v>1547</v>
      </c>
      <c r="AS374" s="1054"/>
      <c r="AT374" s="931"/>
      <c r="AV374" s="827"/>
      <c r="AX374" s="505">
        <v>21.54</v>
      </c>
      <c r="AY374" s="1022">
        <v>1.125</v>
      </c>
      <c r="BD374" s="964"/>
      <c r="BF374" s="830"/>
      <c r="BG374" s="936"/>
      <c r="BH374" s="1129" t="s">
        <v>1610</v>
      </c>
      <c r="BI374" s="1104">
        <v>1.625</v>
      </c>
      <c r="BJ374" s="1105">
        <v>6.5</v>
      </c>
      <c r="BK374" s="1105">
        <v>22.84</v>
      </c>
      <c r="BL374" s="1105">
        <v>10.9</v>
      </c>
      <c r="BM374" s="1109"/>
      <c r="BN374" s="1109"/>
      <c r="BO374" s="1112"/>
      <c r="BP374" s="936"/>
      <c r="BR374" s="936"/>
      <c r="CH374" s="936"/>
      <c r="CI374" s="830"/>
    </row>
    <row r="375" spans="1:87" s="747" customFormat="1" ht="13.9" hidden="1" customHeight="1" outlineLevel="1">
      <c r="B375" s="921" t="str">
        <f t="shared" si="401"/>
        <v>Suction Accummulator 10.0hp: H1002CC/ HEX1002CC- RA213</v>
      </c>
      <c r="C375" s="922" t="s">
        <v>1549</v>
      </c>
      <c r="D375" s="923"/>
      <c r="E375" s="808"/>
      <c r="F375" s="809"/>
      <c r="G375" s="809"/>
      <c r="H375" s="924" t="s">
        <v>100</v>
      </c>
      <c r="J375" s="828"/>
      <c r="K375" s="808"/>
      <c r="L375" s="809"/>
      <c r="M375" s="860">
        <v>1</v>
      </c>
      <c r="N375" s="813">
        <f t="shared" si="402"/>
        <v>1</v>
      </c>
      <c r="O375" s="814">
        <v>1</v>
      </c>
      <c r="P375" s="811">
        <f t="shared" si="403"/>
        <v>1</v>
      </c>
      <c r="Q375" s="815">
        <v>1</v>
      </c>
      <c r="R375" s="505">
        <f t="shared" si="404"/>
        <v>0</v>
      </c>
      <c r="S375" s="815">
        <f t="shared" si="405"/>
        <v>0</v>
      </c>
      <c r="T375" s="925" t="s">
        <v>46</v>
      </c>
      <c r="U375" s="1128"/>
      <c r="V375" s="927">
        <f t="shared" si="406"/>
        <v>1</v>
      </c>
      <c r="W375" s="926">
        <v>1</v>
      </c>
      <c r="X375" s="820"/>
      <c r="Y375" s="928">
        <f t="shared" si="407"/>
        <v>0</v>
      </c>
      <c r="Z375" s="929">
        <f t="shared" si="408"/>
        <v>0</v>
      </c>
      <c r="AA375" s="823"/>
      <c r="AC375" s="457"/>
      <c r="AD375" s="457">
        <v>1</v>
      </c>
      <c r="AE375" s="457"/>
      <c r="AF375" s="457"/>
      <c r="AG375" s="824"/>
      <c r="AH375" s="827"/>
      <c r="AI375" s="824"/>
      <c r="AJ375" s="828">
        <f t="shared" si="409"/>
        <v>0</v>
      </c>
      <c r="AK375" s="862"/>
      <c r="AL375" s="828">
        <f t="shared" si="410"/>
        <v>0</v>
      </c>
      <c r="AM375" s="862"/>
      <c r="AN375" s="824"/>
      <c r="AO375" s="827"/>
      <c r="AQ375" s="930" t="s">
        <v>1604</v>
      </c>
      <c r="AR375" s="930" t="s">
        <v>1548</v>
      </c>
      <c r="AS375" s="1054"/>
      <c r="AT375" s="931"/>
      <c r="AV375" s="827"/>
      <c r="AX375" s="505">
        <v>28.66</v>
      </c>
      <c r="AY375" s="1022">
        <v>1.375</v>
      </c>
      <c r="BD375" s="964"/>
      <c r="BF375" s="830"/>
      <c r="BG375" s="936"/>
      <c r="BH375" s="1129" t="s">
        <v>1552</v>
      </c>
      <c r="BI375" s="1104">
        <v>2.625</v>
      </c>
      <c r="BJ375" s="1105">
        <v>10.75</v>
      </c>
      <c r="BK375" s="1105">
        <v>25.6</v>
      </c>
      <c r="BL375" s="1105">
        <v>33.4</v>
      </c>
      <c r="BM375" s="1109"/>
      <c r="BN375" s="1109"/>
      <c r="BO375" s="1112"/>
      <c r="BP375" s="936"/>
      <c r="BR375" s="936"/>
      <c r="CH375" s="936"/>
      <c r="CI375" s="830"/>
    </row>
    <row r="376" spans="1:87" s="747" customFormat="1" ht="13.9" hidden="1" customHeight="1" outlineLevel="1">
      <c r="B376" s="921" t="str">
        <f t="shared" si="401"/>
        <v>Suction Accummulator 12.5hp: H1201CC/ HEX1201CC- RA213</v>
      </c>
      <c r="C376" s="922" t="s">
        <v>1551</v>
      </c>
      <c r="D376" s="923"/>
      <c r="E376" s="808"/>
      <c r="F376" s="809"/>
      <c r="G376" s="809"/>
      <c r="H376" s="924" t="s">
        <v>100</v>
      </c>
      <c r="J376" s="828"/>
      <c r="K376" s="808"/>
      <c r="L376" s="809"/>
      <c r="M376" s="860">
        <v>1</v>
      </c>
      <c r="N376" s="813">
        <f t="shared" si="402"/>
        <v>1</v>
      </c>
      <c r="O376" s="814">
        <v>1</v>
      </c>
      <c r="P376" s="811">
        <f t="shared" si="403"/>
        <v>1</v>
      </c>
      <c r="Q376" s="815">
        <v>1</v>
      </c>
      <c r="R376" s="505">
        <f t="shared" si="404"/>
        <v>0</v>
      </c>
      <c r="S376" s="815">
        <f t="shared" si="405"/>
        <v>0</v>
      </c>
      <c r="T376" s="925" t="s">
        <v>46</v>
      </c>
      <c r="U376" s="1128"/>
      <c r="V376" s="927">
        <f t="shared" si="406"/>
        <v>1</v>
      </c>
      <c r="W376" s="926">
        <v>1</v>
      </c>
      <c r="X376" s="820"/>
      <c r="Y376" s="928">
        <f t="shared" si="407"/>
        <v>0</v>
      </c>
      <c r="Z376" s="929">
        <f t="shared" si="408"/>
        <v>0</v>
      </c>
      <c r="AA376" s="823"/>
      <c r="AC376" s="457"/>
      <c r="AD376" s="457"/>
      <c r="AE376" s="457">
        <v>1</v>
      </c>
      <c r="AF376" s="457"/>
      <c r="AG376" s="824"/>
      <c r="AH376" s="827"/>
      <c r="AI376" s="824"/>
      <c r="AJ376" s="828">
        <f t="shared" si="409"/>
        <v>0</v>
      </c>
      <c r="AK376" s="862"/>
      <c r="AL376" s="828">
        <f t="shared" si="410"/>
        <v>0</v>
      </c>
      <c r="AM376" s="862"/>
      <c r="AN376" s="824"/>
      <c r="AO376" s="827"/>
      <c r="AQ376" s="930" t="s">
        <v>1605</v>
      </c>
      <c r="AR376" s="930" t="s">
        <v>1548</v>
      </c>
      <c r="AS376" s="1054"/>
      <c r="AT376" s="931"/>
      <c r="AV376" s="827"/>
      <c r="AX376" s="505">
        <v>35.770000000000003</v>
      </c>
      <c r="AY376" s="1022">
        <v>1.375</v>
      </c>
      <c r="BD376" s="964"/>
      <c r="BF376" s="830"/>
      <c r="BG376" s="936"/>
      <c r="BH376" s="1129" t="s">
        <v>1611</v>
      </c>
      <c r="BI376" s="1104">
        <v>3.125</v>
      </c>
      <c r="BJ376" s="1105">
        <v>12.73</v>
      </c>
      <c r="BK376" s="1105">
        <v>23.62</v>
      </c>
      <c r="BL376" s="1105">
        <v>43.19</v>
      </c>
      <c r="BM376" s="1109"/>
      <c r="BN376" s="1109"/>
      <c r="BO376" s="1112"/>
      <c r="BP376" s="936"/>
      <c r="BR376" s="936"/>
      <c r="CH376" s="936"/>
      <c r="CI376" s="830"/>
    </row>
    <row r="377" spans="1:87" s="747" customFormat="1" ht="13.9" hidden="1" customHeight="1" outlineLevel="1">
      <c r="B377" s="921" t="str">
        <f t="shared" si="401"/>
        <v>Suction Accummulator 15.0hp: H2001CC/ HEX2001CC- RA215</v>
      </c>
      <c r="C377" s="922" t="s">
        <v>1553</v>
      </c>
      <c r="D377" s="923"/>
      <c r="E377" s="808"/>
      <c r="F377" s="809"/>
      <c r="G377" s="809"/>
      <c r="H377" s="924" t="s">
        <v>100</v>
      </c>
      <c r="J377" s="828"/>
      <c r="K377" s="808"/>
      <c r="L377" s="809"/>
      <c r="M377" s="860">
        <v>1</v>
      </c>
      <c r="N377" s="813">
        <f t="shared" si="402"/>
        <v>1</v>
      </c>
      <c r="O377" s="814">
        <v>1</v>
      </c>
      <c r="P377" s="811">
        <f t="shared" si="403"/>
        <v>1</v>
      </c>
      <c r="Q377" s="815">
        <v>1</v>
      </c>
      <c r="R377" s="505">
        <f t="shared" si="404"/>
        <v>0</v>
      </c>
      <c r="S377" s="815">
        <f t="shared" si="405"/>
        <v>0</v>
      </c>
      <c r="T377" s="925" t="s">
        <v>46</v>
      </c>
      <c r="U377" s="1128"/>
      <c r="V377" s="927">
        <f t="shared" si="406"/>
        <v>1</v>
      </c>
      <c r="W377" s="926">
        <v>1</v>
      </c>
      <c r="X377" s="820"/>
      <c r="Y377" s="928">
        <f t="shared" si="407"/>
        <v>0</v>
      </c>
      <c r="Z377" s="929">
        <f t="shared" si="408"/>
        <v>0</v>
      </c>
      <c r="AA377" s="823"/>
      <c r="AC377" s="457"/>
      <c r="AD377" s="457"/>
      <c r="AE377" s="457"/>
      <c r="AF377" s="457">
        <v>1</v>
      </c>
      <c r="AG377" s="824"/>
      <c r="AH377" s="827"/>
      <c r="AI377" s="824"/>
      <c r="AJ377" s="828">
        <f t="shared" si="409"/>
        <v>0</v>
      </c>
      <c r="AK377" s="862"/>
      <c r="AL377" s="828">
        <f t="shared" si="410"/>
        <v>0</v>
      </c>
      <c r="AM377" s="862"/>
      <c r="AN377" s="824"/>
      <c r="AO377" s="827"/>
      <c r="AQ377" s="930" t="s">
        <v>1606</v>
      </c>
      <c r="AR377" s="930" t="s">
        <v>1610</v>
      </c>
      <c r="AS377" s="1054"/>
      <c r="AT377" s="931"/>
      <c r="AV377" s="827"/>
      <c r="AX377" s="505">
        <v>46.05</v>
      </c>
      <c r="AY377" s="1022">
        <v>1.625</v>
      </c>
      <c r="BD377" s="964"/>
      <c r="BF377" s="830"/>
      <c r="BG377" s="936"/>
      <c r="BH377" s="1129"/>
      <c r="BI377" s="1104"/>
      <c r="BJ377" s="1105"/>
      <c r="BK377" s="1105"/>
      <c r="BL377" s="1105"/>
      <c r="BM377" s="1109"/>
      <c r="BN377" s="1109"/>
      <c r="BO377" s="1112"/>
      <c r="BP377" s="936"/>
      <c r="BR377" s="936"/>
      <c r="CH377" s="936"/>
      <c r="CI377" s="830"/>
    </row>
    <row r="378" spans="1:87" s="370" customFormat="1" ht="15" collapsed="1">
      <c r="A378" s="369"/>
      <c r="B378" s="895" t="s">
        <v>1554</v>
      </c>
      <c r="C378" s="896"/>
      <c r="D378" s="897"/>
      <c r="E378" s="898"/>
      <c r="F378" s="899"/>
      <c r="G378" s="899"/>
      <c r="H378" s="900"/>
      <c r="I378" s="901"/>
      <c r="J378" s="902"/>
      <c r="K378" s="898"/>
      <c r="L378" s="899"/>
      <c r="M378" s="903"/>
      <c r="N378" s="904"/>
      <c r="O378" s="898"/>
      <c r="P378" s="902"/>
      <c r="Q378" s="905"/>
      <c r="R378" s="894">
        <f>IF(AND(M$8=1,R$372=1),1,0)</f>
        <v>0</v>
      </c>
      <c r="S378" s="905"/>
      <c r="T378" s="906"/>
      <c r="U378" s="906"/>
      <c r="V378" s="907"/>
      <c r="W378" s="908"/>
      <c r="X378" s="909"/>
      <c r="Y378" s="910">
        <f>SUM(Y379:Y382)</f>
        <v>0</v>
      </c>
      <c r="Z378" s="1069">
        <f>SUM(Z379:Z382)</f>
        <v>0</v>
      </c>
      <c r="AA378" s="911"/>
      <c r="AB378" s="747"/>
      <c r="AC378" s="912"/>
      <c r="AD378" s="912"/>
      <c r="AE378" s="912"/>
      <c r="AF378" s="913"/>
      <c r="AH378" s="521"/>
      <c r="AJ378" s="483"/>
      <c r="AK378" s="522">
        <f>SUM(AJ379:AJ382)</f>
        <v>0</v>
      </c>
      <c r="AL378" s="401"/>
      <c r="AM378" s="523">
        <f>SUM(AL379:AL382)</f>
        <v>0</v>
      </c>
      <c r="AO378" s="521"/>
      <c r="AQ378" s="1155" t="str">
        <f>+B378</f>
        <v>- Filter Drier</v>
      </c>
      <c r="AR378" s="1070" t="s">
        <v>1612</v>
      </c>
      <c r="AS378" s="1071" t="s">
        <v>97</v>
      </c>
      <c r="AT378" s="915" t="s">
        <v>1345</v>
      </c>
      <c r="AV378" s="521"/>
      <c r="AX378" s="918" t="s">
        <v>1433</v>
      </c>
      <c r="AY378" s="919" t="s">
        <v>1438</v>
      </c>
      <c r="AZ378" s="960"/>
      <c r="BA378" s="960"/>
      <c r="BB378" s="960"/>
      <c r="BC378" s="960"/>
      <c r="BD378" s="961"/>
      <c r="BF378" s="524"/>
      <c r="BG378" s="395"/>
      <c r="BH378" s="918" t="s">
        <v>1555</v>
      </c>
      <c r="BI378" s="1127" t="s">
        <v>1556</v>
      </c>
      <c r="BJ378" s="919" t="s">
        <v>1152</v>
      </c>
      <c r="BK378" s="919" t="s">
        <v>1544</v>
      </c>
      <c r="BL378" s="919"/>
      <c r="BM378" s="919" t="s">
        <v>734</v>
      </c>
      <c r="BN378" s="919" t="s">
        <v>1545</v>
      </c>
      <c r="BO378" s="940"/>
      <c r="BP378" s="369"/>
      <c r="BQ378" s="369"/>
      <c r="BR378" s="369"/>
      <c r="BS378" s="369"/>
      <c r="BT378" s="369"/>
      <c r="BU378" s="369"/>
      <c r="BV378" s="369"/>
      <c r="BY378" s="395"/>
      <c r="CH378" s="369"/>
      <c r="CI378" s="524"/>
    </row>
    <row r="379" spans="1:87" s="369" customFormat="1" ht="13.9" hidden="1" customHeight="1" outlineLevel="1">
      <c r="B379" s="371" t="str">
        <f t="shared" ref="B379:B382" si="411">"Filter Drier "&amp;AQ379&amp;" - "&amp;AR379</f>
        <v>Filter Drier 7.5hp: H705CC/ HEX705CC - DML33s</v>
      </c>
      <c r="C379" s="398"/>
      <c r="D379" s="415"/>
      <c r="E379" s="438"/>
      <c r="F379" s="439"/>
      <c r="G379" s="439"/>
      <c r="H379" s="385" t="s">
        <v>100</v>
      </c>
      <c r="J379" s="401"/>
      <c r="K379" s="438"/>
      <c r="L379" s="439"/>
      <c r="M379" s="440">
        <v>1</v>
      </c>
      <c r="N379" s="1173">
        <f t="shared" ref="N379:N382" si="412">IF(I379&gt;0,22/28*((I379/1000)^2-(I379/1000-2*J379/1000)^2)*K379/1000,IF(J379&gt;0,J379/1000*K379/1000*L379/1000, IF(K379&gt;0,K379/1000*L379/1000, IF(L379=0,1,L379/1000))))</f>
        <v>1</v>
      </c>
      <c r="O379" s="391">
        <v>1</v>
      </c>
      <c r="P379" s="400">
        <f t="shared" ref="P379:P382" si="413">M379*N379*O379</f>
        <v>1</v>
      </c>
      <c r="Q379" s="410">
        <v>1</v>
      </c>
      <c r="R379" s="373">
        <f t="shared" ref="R379:R382" si="414">+R$378</f>
        <v>0</v>
      </c>
      <c r="S379" s="410">
        <f t="shared" ref="S379:S382" si="415">P379*AA379*Q379*R379</f>
        <v>0</v>
      </c>
      <c r="T379" s="412" t="s">
        <v>46</v>
      </c>
      <c r="U379" s="481"/>
      <c r="V379" s="376">
        <f t="shared" ref="V379:V382" si="416">1/VLOOKUP(T379,Y$12:Z$18,2,FALSE)</f>
        <v>1</v>
      </c>
      <c r="W379" s="406">
        <v>1</v>
      </c>
      <c r="X379" s="475">
        <v>0.23</v>
      </c>
      <c r="Y379" s="1174">
        <f t="shared" ref="Y379:Y382" si="417">+P379*R379*AA379*X379</f>
        <v>0</v>
      </c>
      <c r="Z379" s="1175">
        <f t="shared" ref="Z379:Z382" si="418">S379*U379*V379*W379</f>
        <v>0</v>
      </c>
      <c r="AA379" s="456">
        <v>1</v>
      </c>
      <c r="AC379" s="457">
        <v>1</v>
      </c>
      <c r="AD379" s="457"/>
      <c r="AE379" s="457"/>
      <c r="AF379" s="457"/>
      <c r="AG379" s="370"/>
      <c r="AH379" s="521"/>
      <c r="AI379" s="370"/>
      <c r="AJ379" s="483">
        <f t="shared" ref="AJ379:AJ382" si="419">+Y379</f>
        <v>0</v>
      </c>
      <c r="AK379" s="522"/>
      <c r="AL379" s="401">
        <f t="shared" ref="AL379:AL382" si="420">+Z379</f>
        <v>0</v>
      </c>
      <c r="AM379" s="523"/>
      <c r="AN379" s="370"/>
      <c r="AO379" s="521"/>
      <c r="AQ379" s="421" t="s">
        <v>1602</v>
      </c>
      <c r="AR379" s="504" t="s">
        <v>1613</v>
      </c>
      <c r="AS379" s="1176">
        <v>0.23</v>
      </c>
      <c r="AT379" s="1177"/>
      <c r="AV379" s="521"/>
      <c r="AX379" s="373">
        <v>21.54</v>
      </c>
      <c r="AY379" s="1178">
        <v>0.375</v>
      </c>
      <c r="BD379" s="417"/>
      <c r="BF379" s="524"/>
      <c r="BG379" s="395"/>
      <c r="BH379" s="1179" t="s">
        <v>1614</v>
      </c>
      <c r="BI379" s="1180">
        <v>1.125</v>
      </c>
      <c r="BJ379" s="1181" t="s">
        <v>1615</v>
      </c>
      <c r="BK379" s="1182">
        <v>204</v>
      </c>
      <c r="BL379" s="1182"/>
      <c r="BM379" s="1183">
        <f>3.85+0.73</f>
        <v>4.58</v>
      </c>
      <c r="BN379" s="1184"/>
      <c r="BO379" s="1185"/>
      <c r="BP379" s="395"/>
      <c r="BR379" s="395"/>
      <c r="CH379" s="395"/>
      <c r="CI379" s="524"/>
    </row>
    <row r="380" spans="1:87" s="369" customFormat="1" ht="13.9" hidden="1" customHeight="1" outlineLevel="1">
      <c r="B380" s="371" t="str">
        <f t="shared" si="411"/>
        <v>Filter Drier 10.0hp: H1002CC/ HEX1002CC - DML33s</v>
      </c>
      <c r="C380" s="398"/>
      <c r="D380" s="415"/>
      <c r="E380" s="438"/>
      <c r="F380" s="439"/>
      <c r="G380" s="439"/>
      <c r="H380" s="385" t="s">
        <v>100</v>
      </c>
      <c r="J380" s="401"/>
      <c r="K380" s="438"/>
      <c r="L380" s="439"/>
      <c r="M380" s="440">
        <v>1</v>
      </c>
      <c r="N380" s="1173">
        <f t="shared" si="412"/>
        <v>1</v>
      </c>
      <c r="O380" s="391">
        <v>1</v>
      </c>
      <c r="P380" s="400">
        <f t="shared" si="413"/>
        <v>1</v>
      </c>
      <c r="Q380" s="410">
        <v>1</v>
      </c>
      <c r="R380" s="373">
        <f t="shared" si="414"/>
        <v>0</v>
      </c>
      <c r="S380" s="410">
        <f t="shared" si="415"/>
        <v>0</v>
      </c>
      <c r="T380" s="412" t="s">
        <v>46</v>
      </c>
      <c r="U380" s="481"/>
      <c r="V380" s="376">
        <f t="shared" si="416"/>
        <v>1</v>
      </c>
      <c r="W380" s="406">
        <v>1</v>
      </c>
      <c r="X380" s="475">
        <v>0.23</v>
      </c>
      <c r="Y380" s="1174">
        <f t="shared" si="417"/>
        <v>0</v>
      </c>
      <c r="Z380" s="1175">
        <f t="shared" si="418"/>
        <v>0</v>
      </c>
      <c r="AA380" s="456"/>
      <c r="AC380" s="457"/>
      <c r="AD380" s="457">
        <v>1</v>
      </c>
      <c r="AE380" s="457"/>
      <c r="AF380" s="457"/>
      <c r="AG380" s="370"/>
      <c r="AH380" s="521"/>
      <c r="AI380" s="370"/>
      <c r="AJ380" s="483">
        <f t="shared" si="419"/>
        <v>0</v>
      </c>
      <c r="AK380" s="522"/>
      <c r="AL380" s="401">
        <f t="shared" si="420"/>
        <v>0</v>
      </c>
      <c r="AM380" s="523"/>
      <c r="AN380" s="370"/>
      <c r="AO380" s="521"/>
      <c r="AQ380" s="421" t="s">
        <v>1604</v>
      </c>
      <c r="AR380" s="504" t="s">
        <v>1613</v>
      </c>
      <c r="AS380" s="1176">
        <v>0.23</v>
      </c>
      <c r="AT380" s="1177"/>
      <c r="AV380" s="521"/>
      <c r="AX380" s="373">
        <v>28.66</v>
      </c>
      <c r="AY380" s="1178">
        <v>0.375</v>
      </c>
      <c r="BD380" s="417"/>
      <c r="BF380" s="524"/>
      <c r="BG380" s="395"/>
      <c r="BH380" s="1179" t="s">
        <v>1616</v>
      </c>
      <c r="BI380" s="1180">
        <v>0.875</v>
      </c>
      <c r="BJ380" s="1181" t="s">
        <v>1617</v>
      </c>
      <c r="BK380" s="1182" t="e">
        <f>+#REF!*2</f>
        <v>#REF!</v>
      </c>
      <c r="BL380" s="1182"/>
      <c r="BM380" s="1183">
        <f>5.05+0.73*2</f>
        <v>6.51</v>
      </c>
      <c r="BN380" s="1184"/>
      <c r="BO380" s="1185"/>
      <c r="BP380" s="395"/>
      <c r="BR380" s="395"/>
      <c r="CH380" s="395"/>
      <c r="CI380" s="524"/>
    </row>
    <row r="381" spans="1:87" s="369" customFormat="1" ht="13.9" hidden="1" customHeight="1" outlineLevel="1">
      <c r="B381" s="371" t="str">
        <f t="shared" si="411"/>
        <v>Filter Drier 12.5hp: H1201CC/ HEX1201CC - DML33s</v>
      </c>
      <c r="C381" s="398"/>
      <c r="D381" s="415"/>
      <c r="E381" s="438"/>
      <c r="F381" s="439"/>
      <c r="G381" s="439"/>
      <c r="H381" s="385" t="s">
        <v>100</v>
      </c>
      <c r="J381" s="401"/>
      <c r="K381" s="438"/>
      <c r="L381" s="439"/>
      <c r="M381" s="440">
        <v>1</v>
      </c>
      <c r="N381" s="1173">
        <f t="shared" si="412"/>
        <v>1</v>
      </c>
      <c r="O381" s="391">
        <v>1</v>
      </c>
      <c r="P381" s="400">
        <f t="shared" si="413"/>
        <v>1</v>
      </c>
      <c r="Q381" s="410">
        <v>1</v>
      </c>
      <c r="R381" s="373">
        <f t="shared" si="414"/>
        <v>0</v>
      </c>
      <c r="S381" s="410">
        <f t="shared" si="415"/>
        <v>0</v>
      </c>
      <c r="T381" s="412" t="s">
        <v>46</v>
      </c>
      <c r="U381" s="481"/>
      <c r="V381" s="376">
        <f t="shared" si="416"/>
        <v>1</v>
      </c>
      <c r="W381" s="406">
        <v>1</v>
      </c>
      <c r="X381" s="475">
        <v>0.23</v>
      </c>
      <c r="Y381" s="1174">
        <f t="shared" si="417"/>
        <v>0</v>
      </c>
      <c r="Z381" s="1175">
        <f t="shared" si="418"/>
        <v>0</v>
      </c>
      <c r="AA381" s="456"/>
      <c r="AC381" s="457"/>
      <c r="AD381" s="457"/>
      <c r="AE381" s="457">
        <v>1</v>
      </c>
      <c r="AF381" s="457"/>
      <c r="AG381" s="370"/>
      <c r="AH381" s="521"/>
      <c r="AI381" s="370"/>
      <c r="AJ381" s="483">
        <f t="shared" si="419"/>
        <v>0</v>
      </c>
      <c r="AK381" s="522"/>
      <c r="AL381" s="401">
        <f t="shared" si="420"/>
        <v>0</v>
      </c>
      <c r="AM381" s="523"/>
      <c r="AN381" s="370"/>
      <c r="AO381" s="521"/>
      <c r="AQ381" s="421" t="s">
        <v>1605</v>
      </c>
      <c r="AR381" s="504" t="s">
        <v>1613</v>
      </c>
      <c r="AS381" s="1176">
        <v>0.23</v>
      </c>
      <c r="AT381" s="1177"/>
      <c r="AV381" s="521"/>
      <c r="AX381" s="373">
        <v>35.770000000000003</v>
      </c>
      <c r="AY381" s="1178">
        <v>0.375</v>
      </c>
      <c r="BD381" s="417"/>
      <c r="BF381" s="524"/>
      <c r="BG381" s="395"/>
      <c r="BH381" s="1179" t="s">
        <v>1618</v>
      </c>
      <c r="BI381" s="1180">
        <v>1.125</v>
      </c>
      <c r="BJ381" s="1181" t="s">
        <v>1617</v>
      </c>
      <c r="BK381" s="1182" t="e">
        <f>+#REF!*2</f>
        <v>#REF!</v>
      </c>
      <c r="BL381" s="1182"/>
      <c r="BM381" s="1183">
        <f>5.05+0.73*2</f>
        <v>6.51</v>
      </c>
      <c r="BN381" s="1184"/>
      <c r="BO381" s="1185"/>
      <c r="BP381" s="395"/>
      <c r="BR381" s="395"/>
      <c r="CH381" s="395"/>
      <c r="CI381" s="524"/>
    </row>
    <row r="382" spans="1:87" s="369" customFormat="1" ht="13.9" hidden="1" customHeight="1" outlineLevel="1">
      <c r="B382" s="371" t="str">
        <f t="shared" si="411"/>
        <v>Filter Drier 15.0hp: H2001CC/ HEX2001CC - DML34s</v>
      </c>
      <c r="C382" s="398"/>
      <c r="D382" s="415"/>
      <c r="E382" s="438"/>
      <c r="F382" s="439"/>
      <c r="G382" s="439"/>
      <c r="H382" s="385" t="s">
        <v>100</v>
      </c>
      <c r="J382" s="401"/>
      <c r="K382" s="438"/>
      <c r="L382" s="439"/>
      <c r="M382" s="440">
        <v>1</v>
      </c>
      <c r="N382" s="1173">
        <f t="shared" si="412"/>
        <v>1</v>
      </c>
      <c r="O382" s="391">
        <v>1</v>
      </c>
      <c r="P382" s="400">
        <f t="shared" si="413"/>
        <v>1</v>
      </c>
      <c r="Q382" s="410">
        <v>1</v>
      </c>
      <c r="R382" s="373">
        <f t="shared" si="414"/>
        <v>0</v>
      </c>
      <c r="S382" s="410">
        <f t="shared" si="415"/>
        <v>0</v>
      </c>
      <c r="T382" s="412" t="s">
        <v>46</v>
      </c>
      <c r="U382" s="481"/>
      <c r="V382" s="376">
        <f t="shared" si="416"/>
        <v>1</v>
      </c>
      <c r="W382" s="406">
        <v>1</v>
      </c>
      <c r="X382" s="475">
        <v>0.23</v>
      </c>
      <c r="Y382" s="1174">
        <f t="shared" si="417"/>
        <v>0</v>
      </c>
      <c r="Z382" s="1175">
        <f t="shared" si="418"/>
        <v>0</v>
      </c>
      <c r="AA382" s="456"/>
      <c r="AC382" s="457"/>
      <c r="AD382" s="457"/>
      <c r="AE382" s="457"/>
      <c r="AF382" s="457">
        <v>1</v>
      </c>
      <c r="AG382" s="370"/>
      <c r="AH382" s="521"/>
      <c r="AI382" s="370"/>
      <c r="AJ382" s="483">
        <f t="shared" si="419"/>
        <v>0</v>
      </c>
      <c r="AK382" s="522"/>
      <c r="AL382" s="401">
        <f t="shared" si="420"/>
        <v>0</v>
      </c>
      <c r="AM382" s="523"/>
      <c r="AN382" s="370"/>
      <c r="AO382" s="521"/>
      <c r="AQ382" s="421" t="s">
        <v>1606</v>
      </c>
      <c r="AR382" s="504" t="s">
        <v>1557</v>
      </c>
      <c r="AS382" s="1176">
        <v>0.23</v>
      </c>
      <c r="AT382" s="1177"/>
      <c r="AV382" s="521"/>
      <c r="AX382" s="373">
        <v>46.05</v>
      </c>
      <c r="AY382" s="1178">
        <v>0.5</v>
      </c>
      <c r="BD382" s="417"/>
      <c r="BF382" s="524"/>
      <c r="BG382" s="395"/>
      <c r="BH382" s="1179"/>
      <c r="BI382" s="1180"/>
      <c r="BJ382" s="1181"/>
      <c r="BK382" s="1182"/>
      <c r="BL382" s="1182"/>
      <c r="BM382" s="1183"/>
      <c r="BN382" s="1184"/>
      <c r="BO382" s="1185"/>
      <c r="BP382" s="395"/>
      <c r="BR382" s="395"/>
      <c r="CH382" s="395"/>
      <c r="CI382" s="524"/>
    </row>
    <row r="383" spans="1:87" s="370" customFormat="1" ht="15" collapsed="1">
      <c r="A383" s="369"/>
      <c r="B383" s="895" t="s">
        <v>1560</v>
      </c>
      <c r="C383" s="896"/>
      <c r="D383" s="897"/>
      <c r="E383" s="898"/>
      <c r="F383" s="899"/>
      <c r="G383" s="899"/>
      <c r="H383" s="900"/>
      <c r="I383" s="901"/>
      <c r="J383" s="902"/>
      <c r="K383" s="898"/>
      <c r="L383" s="899"/>
      <c r="M383" s="903"/>
      <c r="N383" s="904"/>
      <c r="O383" s="898"/>
      <c r="P383" s="902"/>
      <c r="Q383" s="905"/>
      <c r="R383" s="894">
        <f>IF(AND(M$8=1,R$372=1),1,0)</f>
        <v>0</v>
      </c>
      <c r="S383" s="905"/>
      <c r="T383" s="906"/>
      <c r="U383" s="906"/>
      <c r="V383" s="907"/>
      <c r="W383" s="908"/>
      <c r="X383" s="909"/>
      <c r="Y383" s="910">
        <f>SUM(Y384:Y387)</f>
        <v>0</v>
      </c>
      <c r="Z383" s="1069">
        <f>SUM(Z384:Z387)</f>
        <v>0</v>
      </c>
      <c r="AA383" s="911"/>
      <c r="AB383" s="747"/>
      <c r="AC383" s="912"/>
      <c r="AD383" s="912"/>
      <c r="AE383" s="912"/>
      <c r="AF383" s="913"/>
      <c r="AH383" s="521"/>
      <c r="AJ383" s="483"/>
      <c r="AK383" s="522">
        <f>SUM(AJ384:AJ387)</f>
        <v>0</v>
      </c>
      <c r="AL383" s="401"/>
      <c r="AM383" s="523">
        <f>SUM(AL384:AL387)</f>
        <v>0</v>
      </c>
      <c r="AO383" s="521"/>
      <c r="AQ383" s="1155" t="str">
        <f>+B383</f>
        <v>- Sight Glass</v>
      </c>
      <c r="AR383" s="1070" t="s">
        <v>1555</v>
      </c>
      <c r="AS383" s="1071" t="s">
        <v>97</v>
      </c>
      <c r="AT383" s="915" t="s">
        <v>1345</v>
      </c>
      <c r="AV383" s="521"/>
      <c r="AX383" s="918" t="s">
        <v>1433</v>
      </c>
      <c r="AY383" s="919" t="s">
        <v>1438</v>
      </c>
      <c r="AZ383" s="960"/>
      <c r="BA383" s="960"/>
      <c r="BB383" s="960"/>
      <c r="BC383" s="960"/>
      <c r="BD383" s="961"/>
      <c r="BF383" s="524"/>
      <c r="BG383" s="395"/>
      <c r="BH383" s="918" t="s">
        <v>1555</v>
      </c>
      <c r="BI383" s="1127" t="s">
        <v>1556</v>
      </c>
      <c r="BJ383" s="919" t="s">
        <v>1152</v>
      </c>
      <c r="BK383" s="919" t="s">
        <v>1544</v>
      </c>
      <c r="BL383" s="919"/>
      <c r="BM383" s="919" t="s">
        <v>734</v>
      </c>
      <c r="BN383" s="919" t="s">
        <v>1545</v>
      </c>
      <c r="BO383" s="940"/>
      <c r="BP383" s="369"/>
      <c r="BQ383" s="369"/>
      <c r="BR383" s="369"/>
      <c r="BS383" s="369"/>
      <c r="BT383" s="369"/>
      <c r="BU383" s="369"/>
      <c r="BV383" s="369"/>
      <c r="BY383" s="395"/>
      <c r="CH383" s="369"/>
      <c r="CI383" s="524"/>
    </row>
    <row r="384" spans="1:87" s="747" customFormat="1" ht="13.9" hidden="1" customHeight="1" outlineLevel="1">
      <c r="B384" s="921" t="str">
        <f t="shared" ref="B384:B387" si="421">"Sight Glass "&amp;AQ384&amp;" - "&amp;AR384</f>
        <v>Sight Glass 7.5hp: H705CC/ HEX705CC - SGN 10s / SGP6s</v>
      </c>
      <c r="C384" s="922"/>
      <c r="D384" s="923"/>
      <c r="E384" s="808"/>
      <c r="F384" s="809"/>
      <c r="G384" s="809"/>
      <c r="H384" s="924" t="s">
        <v>100</v>
      </c>
      <c r="J384" s="828"/>
      <c r="K384" s="808"/>
      <c r="L384" s="809"/>
      <c r="M384" s="860">
        <v>1</v>
      </c>
      <c r="N384" s="813">
        <f t="shared" ref="N384:N387" si="422">IF(I384&gt;0,22/28*((I384/1000)^2-(I384/1000-2*J384/1000)^2)*K384/1000,IF(J384&gt;0,J384/1000*K384/1000*L384/1000, IF(K384&gt;0,K384/1000*L384/1000, IF(L384=0,1,L384/1000))))</f>
        <v>1</v>
      </c>
      <c r="O384" s="814">
        <v>1</v>
      </c>
      <c r="P384" s="811">
        <f t="shared" ref="P384:P387" si="423">M384*N384*O384</f>
        <v>1</v>
      </c>
      <c r="Q384" s="815">
        <v>1</v>
      </c>
      <c r="R384" s="505">
        <f t="shared" ref="R384:R387" si="424">+R$383</f>
        <v>0</v>
      </c>
      <c r="S384" s="815">
        <f t="shared" ref="S384:S387" si="425">P384*AA384*Q384*R384</f>
        <v>0</v>
      </c>
      <c r="T384" s="925" t="s">
        <v>46</v>
      </c>
      <c r="U384" s="811">
        <v>5.9440559440559442</v>
      </c>
      <c r="V384" s="927">
        <f t="shared" ref="V384:V387" si="426">1/VLOOKUP(T384,Y$12:Z$18,2,FALSE)</f>
        <v>1</v>
      </c>
      <c r="W384" s="926">
        <v>1</v>
      </c>
      <c r="X384" s="820">
        <v>0.1</v>
      </c>
      <c r="Y384" s="928">
        <f t="shared" ref="Y384:Y387" si="427">+P384*R384*AA384*X384</f>
        <v>0</v>
      </c>
      <c r="Z384" s="929">
        <f t="shared" ref="Z384:Z387" si="428">S384*U384*V384*W384</f>
        <v>0</v>
      </c>
      <c r="AA384" s="823">
        <v>1</v>
      </c>
      <c r="AC384" s="457">
        <v>1</v>
      </c>
      <c r="AD384" s="457"/>
      <c r="AE384" s="457"/>
      <c r="AF384" s="457"/>
      <c r="AG384" s="824"/>
      <c r="AH384" s="827"/>
      <c r="AI384" s="824"/>
      <c r="AJ384" s="828">
        <f t="shared" ref="AJ384:AJ402" si="429">+Y384</f>
        <v>0</v>
      </c>
      <c r="AK384" s="862"/>
      <c r="AL384" s="828">
        <f t="shared" ref="AL384:AL402" si="430">+Z384</f>
        <v>0</v>
      </c>
      <c r="AM384" s="862"/>
      <c r="AN384" s="824"/>
      <c r="AO384" s="827"/>
      <c r="AQ384" s="930" t="s">
        <v>1602</v>
      </c>
      <c r="AR384" s="930" t="s">
        <v>1619</v>
      </c>
      <c r="AS384" s="1054">
        <v>0.1</v>
      </c>
      <c r="AT384" s="1150">
        <v>5.9440559440559442</v>
      </c>
      <c r="AV384" s="827"/>
      <c r="AX384" s="505">
        <v>21.54</v>
      </c>
      <c r="AY384" s="1022">
        <v>0.375</v>
      </c>
      <c r="BD384" s="964"/>
      <c r="BF384" s="830"/>
      <c r="BG384" s="936"/>
      <c r="BH384" s="1129"/>
      <c r="BI384" s="1104"/>
      <c r="BJ384" s="1105"/>
      <c r="BK384" s="1105"/>
      <c r="BL384" s="1105"/>
      <c r="BM384" s="1105"/>
      <c r="BN384" s="1151"/>
      <c r="BO384" s="1152"/>
      <c r="BY384" s="936"/>
      <c r="CI384" s="830"/>
    </row>
    <row r="385" spans="2:87" s="747" customFormat="1" ht="13.9" hidden="1" customHeight="1" outlineLevel="1">
      <c r="B385" s="921" t="str">
        <f t="shared" si="421"/>
        <v>Sight Glass 10.0hp: H1002CC/ HEX1002CC - SGN 10s / SGP6s</v>
      </c>
      <c r="C385" s="922"/>
      <c r="D385" s="923"/>
      <c r="E385" s="808"/>
      <c r="F385" s="809"/>
      <c r="G385" s="809"/>
      <c r="H385" s="924" t="s">
        <v>100</v>
      </c>
      <c r="J385" s="828"/>
      <c r="K385" s="808"/>
      <c r="L385" s="809"/>
      <c r="M385" s="860">
        <v>1</v>
      </c>
      <c r="N385" s="813">
        <f t="shared" si="422"/>
        <v>1</v>
      </c>
      <c r="O385" s="814">
        <v>1</v>
      </c>
      <c r="P385" s="811">
        <f t="shared" si="423"/>
        <v>1</v>
      </c>
      <c r="Q385" s="815">
        <v>1</v>
      </c>
      <c r="R385" s="505">
        <f t="shared" si="424"/>
        <v>0</v>
      </c>
      <c r="S385" s="815">
        <f t="shared" si="425"/>
        <v>0</v>
      </c>
      <c r="T385" s="925" t="s">
        <v>46</v>
      </c>
      <c r="U385" s="811">
        <v>5.9440559440559442</v>
      </c>
      <c r="V385" s="927">
        <f t="shared" si="426"/>
        <v>1</v>
      </c>
      <c r="W385" s="926">
        <v>1</v>
      </c>
      <c r="X385" s="820">
        <v>0.1</v>
      </c>
      <c r="Y385" s="928">
        <f t="shared" si="427"/>
        <v>0</v>
      </c>
      <c r="Z385" s="929">
        <f t="shared" si="428"/>
        <v>0</v>
      </c>
      <c r="AA385" s="823"/>
      <c r="AC385" s="457"/>
      <c r="AD385" s="457">
        <v>1</v>
      </c>
      <c r="AE385" s="457"/>
      <c r="AF385" s="457"/>
      <c r="AG385" s="824"/>
      <c r="AH385" s="827"/>
      <c r="AI385" s="824"/>
      <c r="AJ385" s="828">
        <f t="shared" si="429"/>
        <v>0</v>
      </c>
      <c r="AK385" s="862"/>
      <c r="AL385" s="828">
        <f t="shared" si="430"/>
        <v>0</v>
      </c>
      <c r="AM385" s="862"/>
      <c r="AN385" s="824"/>
      <c r="AO385" s="827"/>
      <c r="AQ385" s="930" t="s">
        <v>1604</v>
      </c>
      <c r="AR385" s="930" t="s">
        <v>1619</v>
      </c>
      <c r="AS385" s="1054">
        <v>0.1</v>
      </c>
      <c r="AT385" s="1150">
        <v>5.9440559440559442</v>
      </c>
      <c r="AV385" s="827"/>
      <c r="AX385" s="505">
        <v>28.66</v>
      </c>
      <c r="AY385" s="1022">
        <v>0.375</v>
      </c>
      <c r="BD385" s="964"/>
      <c r="BF385" s="830"/>
      <c r="BG385" s="936"/>
      <c r="BH385" s="1129"/>
      <c r="BI385" s="1104"/>
      <c r="BJ385" s="1105"/>
      <c r="BK385" s="1105"/>
      <c r="BL385" s="1105"/>
      <c r="BM385" s="1105"/>
      <c r="BN385" s="1151"/>
      <c r="BO385" s="1152"/>
      <c r="BY385" s="936"/>
      <c r="CI385" s="830"/>
    </row>
    <row r="386" spans="2:87" s="747" customFormat="1" ht="13.9" hidden="1" customHeight="1" outlineLevel="1">
      <c r="B386" s="921" t="str">
        <f t="shared" si="421"/>
        <v>Sight Glass 12.5hp: H1201CC/ HEX1201CC - SGN 10s / SGP6s</v>
      </c>
      <c r="C386" s="922"/>
      <c r="D386" s="923"/>
      <c r="E386" s="808"/>
      <c r="F386" s="809"/>
      <c r="G386" s="809"/>
      <c r="H386" s="924" t="s">
        <v>100</v>
      </c>
      <c r="J386" s="828"/>
      <c r="K386" s="808"/>
      <c r="L386" s="809"/>
      <c r="M386" s="860">
        <v>1</v>
      </c>
      <c r="N386" s="813">
        <f t="shared" si="422"/>
        <v>1</v>
      </c>
      <c r="O386" s="814">
        <v>1</v>
      </c>
      <c r="P386" s="811">
        <f t="shared" si="423"/>
        <v>1</v>
      </c>
      <c r="Q386" s="815">
        <v>1</v>
      </c>
      <c r="R386" s="505">
        <f t="shared" si="424"/>
        <v>0</v>
      </c>
      <c r="S386" s="815">
        <f t="shared" si="425"/>
        <v>0</v>
      </c>
      <c r="T386" s="925" t="s">
        <v>46</v>
      </c>
      <c r="U386" s="811">
        <v>5.9440559440559442</v>
      </c>
      <c r="V386" s="927">
        <f t="shared" si="426"/>
        <v>1</v>
      </c>
      <c r="W386" s="926">
        <v>1</v>
      </c>
      <c r="X386" s="820">
        <v>0.1</v>
      </c>
      <c r="Y386" s="928">
        <f t="shared" si="427"/>
        <v>0</v>
      </c>
      <c r="Z386" s="929">
        <f t="shared" si="428"/>
        <v>0</v>
      </c>
      <c r="AA386" s="823"/>
      <c r="AC386" s="457"/>
      <c r="AD386" s="457"/>
      <c r="AE386" s="457">
        <v>1</v>
      </c>
      <c r="AF386" s="457"/>
      <c r="AG386" s="824"/>
      <c r="AH386" s="827"/>
      <c r="AI386" s="824"/>
      <c r="AJ386" s="828">
        <f t="shared" si="429"/>
        <v>0</v>
      </c>
      <c r="AK386" s="862"/>
      <c r="AL386" s="828">
        <f t="shared" si="430"/>
        <v>0</v>
      </c>
      <c r="AM386" s="862"/>
      <c r="AN386" s="824"/>
      <c r="AO386" s="827"/>
      <c r="AQ386" s="930" t="s">
        <v>1605</v>
      </c>
      <c r="AR386" s="930" t="s">
        <v>1619</v>
      </c>
      <c r="AS386" s="1054">
        <v>0.1</v>
      </c>
      <c r="AT386" s="1150">
        <v>5.9440559440559442</v>
      </c>
      <c r="AV386" s="827"/>
      <c r="AX386" s="505">
        <v>35.770000000000003</v>
      </c>
      <c r="AY386" s="1022">
        <v>0.375</v>
      </c>
      <c r="BD386" s="964"/>
      <c r="BF386" s="830"/>
      <c r="BG386" s="936"/>
      <c r="BH386" s="1129"/>
      <c r="BI386" s="1104"/>
      <c r="BJ386" s="1105"/>
      <c r="BK386" s="1105"/>
      <c r="BL386" s="1105"/>
      <c r="BM386" s="1105"/>
      <c r="BN386" s="1151"/>
      <c r="BO386" s="1152"/>
      <c r="BY386" s="936"/>
      <c r="CI386" s="830"/>
    </row>
    <row r="387" spans="2:87" s="747" customFormat="1" ht="13.9" hidden="1" customHeight="1" outlineLevel="1">
      <c r="B387" s="921" t="str">
        <f t="shared" si="421"/>
        <v>Sight Glass 15.0hp: H2001CC/ HEX2001CC - SGN 12s / SGP10s</v>
      </c>
      <c r="C387" s="922"/>
      <c r="D387" s="923"/>
      <c r="E387" s="808"/>
      <c r="F387" s="809"/>
      <c r="G387" s="809"/>
      <c r="H387" s="924" t="s">
        <v>100</v>
      </c>
      <c r="J387" s="828"/>
      <c r="K387" s="808"/>
      <c r="L387" s="809"/>
      <c r="M387" s="860">
        <v>1</v>
      </c>
      <c r="N387" s="813">
        <f t="shared" si="422"/>
        <v>1</v>
      </c>
      <c r="O387" s="814">
        <v>1</v>
      </c>
      <c r="P387" s="811">
        <f t="shared" si="423"/>
        <v>1</v>
      </c>
      <c r="Q387" s="815">
        <v>1</v>
      </c>
      <c r="R387" s="505">
        <f t="shared" si="424"/>
        <v>0</v>
      </c>
      <c r="S387" s="815">
        <f t="shared" si="425"/>
        <v>0</v>
      </c>
      <c r="T387" s="925" t="s">
        <v>46</v>
      </c>
      <c r="U387" s="811">
        <v>6.0839160839160842</v>
      </c>
      <c r="V387" s="927">
        <f t="shared" si="426"/>
        <v>1</v>
      </c>
      <c r="W387" s="926">
        <v>1</v>
      </c>
      <c r="X387" s="820">
        <v>0.2</v>
      </c>
      <c r="Y387" s="928">
        <f t="shared" si="427"/>
        <v>0</v>
      </c>
      <c r="Z387" s="929">
        <f t="shared" si="428"/>
        <v>0</v>
      </c>
      <c r="AA387" s="823"/>
      <c r="AC387" s="457"/>
      <c r="AD387" s="457"/>
      <c r="AE387" s="457"/>
      <c r="AF387" s="457">
        <v>1</v>
      </c>
      <c r="AG387" s="824"/>
      <c r="AH387" s="827"/>
      <c r="AI387" s="824"/>
      <c r="AJ387" s="828">
        <f t="shared" si="429"/>
        <v>0</v>
      </c>
      <c r="AK387" s="862"/>
      <c r="AL387" s="828">
        <f t="shared" si="430"/>
        <v>0</v>
      </c>
      <c r="AM387" s="862"/>
      <c r="AN387" s="824"/>
      <c r="AO387" s="827"/>
      <c r="AQ387" s="930" t="s">
        <v>1606</v>
      </c>
      <c r="AR387" s="930" t="s">
        <v>1620</v>
      </c>
      <c r="AS387" s="1054">
        <v>0.2</v>
      </c>
      <c r="AT387" s="1150">
        <v>6.0839160839160842</v>
      </c>
      <c r="AV387" s="827"/>
      <c r="AX387" s="505">
        <v>46.05</v>
      </c>
      <c r="AY387" s="1022">
        <v>0.5</v>
      </c>
      <c r="BD387" s="964"/>
      <c r="BF387" s="830"/>
      <c r="BG387" s="936"/>
      <c r="BH387" s="1129"/>
      <c r="BI387" s="1104"/>
      <c r="BJ387" s="1105"/>
      <c r="BK387" s="1105"/>
      <c r="BL387" s="1105"/>
      <c r="BM387" s="1105"/>
      <c r="BN387" s="1151"/>
      <c r="BO387" s="1152"/>
      <c r="BY387" s="936"/>
      <c r="CI387" s="830"/>
    </row>
    <row r="388" spans="2:87" s="370" customFormat="1" ht="15" collapsed="1">
      <c r="B388" s="895" t="s">
        <v>1564</v>
      </c>
      <c r="C388" s="896"/>
      <c r="D388" s="897"/>
      <c r="E388" s="898"/>
      <c r="F388" s="899"/>
      <c r="G388" s="899"/>
      <c r="H388" s="900"/>
      <c r="I388" s="901"/>
      <c r="J388" s="902"/>
      <c r="K388" s="898"/>
      <c r="L388" s="899"/>
      <c r="M388" s="903"/>
      <c r="N388" s="904"/>
      <c r="O388" s="898"/>
      <c r="P388" s="902"/>
      <c r="Q388" s="905"/>
      <c r="R388" s="903">
        <v>0</v>
      </c>
      <c r="S388" s="905"/>
      <c r="T388" s="906"/>
      <c r="U388" s="906"/>
      <c r="V388" s="907"/>
      <c r="W388" s="908"/>
      <c r="X388" s="909"/>
      <c r="Y388" s="910">
        <f>SUM(Y389:Y392)</f>
        <v>0</v>
      </c>
      <c r="Z388" s="1069">
        <f>SUM(Z389:Z392)</f>
        <v>0</v>
      </c>
      <c r="AA388" s="911"/>
      <c r="AB388" s="747"/>
      <c r="AC388" s="912"/>
      <c r="AD388" s="912"/>
      <c r="AE388" s="912"/>
      <c r="AF388" s="913"/>
      <c r="AH388" s="521"/>
      <c r="AJ388" s="483"/>
      <c r="AK388" s="522">
        <f>SUM(AJ389:AJ392)</f>
        <v>0</v>
      </c>
      <c r="AL388" s="401"/>
      <c r="AM388" s="523">
        <f>SUM(AL389:AL392)</f>
        <v>0</v>
      </c>
      <c r="AO388" s="521"/>
      <c r="AQ388" s="1155" t="str">
        <f>+B388</f>
        <v>- Suction Line Ball Valves</v>
      </c>
      <c r="AR388" s="1070" t="s">
        <v>1555</v>
      </c>
      <c r="AS388" s="916" t="s">
        <v>97</v>
      </c>
      <c r="AT388" s="917" t="s">
        <v>1345</v>
      </c>
      <c r="AV388" s="521"/>
      <c r="AX388" s="918" t="s">
        <v>1433</v>
      </c>
      <c r="AY388" s="919" t="s">
        <v>1436</v>
      </c>
      <c r="AZ388" s="960"/>
      <c r="BA388" s="960"/>
      <c r="BB388" s="960"/>
      <c r="BC388" s="960"/>
      <c r="BD388" s="961"/>
      <c r="BF388" s="524"/>
      <c r="BG388" s="395"/>
      <c r="BH388" s="918" t="s">
        <v>1555</v>
      </c>
      <c r="BI388" s="1127" t="s">
        <v>1556</v>
      </c>
      <c r="BJ388" s="919" t="s">
        <v>1152</v>
      </c>
      <c r="BK388" s="919" t="s">
        <v>1544</v>
      </c>
      <c r="BL388" s="919"/>
      <c r="BM388" s="919" t="s">
        <v>734</v>
      </c>
      <c r="BN388" s="919" t="s">
        <v>1545</v>
      </c>
      <c r="BO388" s="920"/>
      <c r="BP388" s="395"/>
      <c r="BQ388" s="369"/>
      <c r="BR388" s="395"/>
      <c r="BS388" s="369"/>
      <c r="BT388" s="369"/>
      <c r="BU388" s="369"/>
      <c r="BV388" s="369"/>
      <c r="BW388" s="369"/>
      <c r="BX388" s="369"/>
      <c r="BY388" s="369"/>
      <c r="CH388" s="395"/>
      <c r="CI388" s="524"/>
    </row>
    <row r="389" spans="2:87" s="747" customFormat="1" ht="13.9" hidden="1" customHeight="1" outlineLevel="1">
      <c r="B389" s="921" t="str">
        <f t="shared" ref="B389:B392" si="431">"Suction Line Ball Valve "&amp;AQ389&amp;" - "&amp;AR389</f>
        <v>Suction Line Ball Valve 7.5hp: H705CC/ HEX705CC - GBC 28s</v>
      </c>
      <c r="C389" s="922"/>
      <c r="D389" s="923"/>
      <c r="E389" s="808"/>
      <c r="F389" s="809"/>
      <c r="G389" s="809"/>
      <c r="H389" s="924" t="s">
        <v>100</v>
      </c>
      <c r="J389" s="828"/>
      <c r="K389" s="808"/>
      <c r="L389" s="809"/>
      <c r="M389" s="860">
        <v>1</v>
      </c>
      <c r="N389" s="813">
        <f t="shared" ref="N389:N402" si="432">IF(I389&gt;0,22/28*((I389/1000)^2-(I389/1000-2*J389/1000)^2)*K389/1000,IF(J389&gt;0,J389/1000*K389/1000*L389/1000, IF(K389&gt;0,K389/1000*L389/1000, IF(L389=0,1,L389/1000))))</f>
        <v>1</v>
      </c>
      <c r="O389" s="814">
        <v>1</v>
      </c>
      <c r="P389" s="811">
        <f t="shared" ref="P389:P402" si="433">M389*N389*O389</f>
        <v>1</v>
      </c>
      <c r="Q389" s="815">
        <v>1</v>
      </c>
      <c r="R389" s="505">
        <f t="shared" ref="R389:R392" si="434">+R$388</f>
        <v>0</v>
      </c>
      <c r="S389" s="815">
        <f t="shared" ref="S389:S402" si="435">P389*AA389*Q389*R389</f>
        <v>0</v>
      </c>
      <c r="T389" s="925" t="s">
        <v>46</v>
      </c>
      <c r="U389" s="811">
        <v>17.902097902097903</v>
      </c>
      <c r="V389" s="927">
        <f t="shared" ref="V389:V402" si="436">1/VLOOKUP(T389,Y$12:Z$18,2,FALSE)</f>
        <v>1</v>
      </c>
      <c r="W389" s="926">
        <v>1</v>
      </c>
      <c r="X389" s="820">
        <v>0.95</v>
      </c>
      <c r="Y389" s="928">
        <f t="shared" ref="Y389:Y402" si="437">+P389*R389*AA389*X389</f>
        <v>0</v>
      </c>
      <c r="Z389" s="929">
        <f t="shared" ref="Z389:Z402" si="438">S389*U389*V389*W389</f>
        <v>0</v>
      </c>
      <c r="AA389" s="823">
        <v>1</v>
      </c>
      <c r="AC389" s="457">
        <v>1</v>
      </c>
      <c r="AD389" s="457"/>
      <c r="AE389" s="457"/>
      <c r="AF389" s="457"/>
      <c r="AG389" s="824"/>
      <c r="AH389" s="827"/>
      <c r="AI389" s="824"/>
      <c r="AJ389" s="828">
        <f t="shared" si="429"/>
        <v>0</v>
      </c>
      <c r="AK389" s="862"/>
      <c r="AL389" s="828">
        <f t="shared" si="430"/>
        <v>0</v>
      </c>
      <c r="AM389" s="862"/>
      <c r="AN389" s="824"/>
      <c r="AO389" s="827"/>
      <c r="AQ389" s="930" t="s">
        <v>1602</v>
      </c>
      <c r="AR389" s="923" t="s">
        <v>1565</v>
      </c>
      <c r="AS389" s="948">
        <v>0.9</v>
      </c>
      <c r="AT389" s="1153">
        <v>17.902097902097903</v>
      </c>
      <c r="AV389" s="827"/>
      <c r="AX389" s="505">
        <v>21.54</v>
      </c>
      <c r="AY389" s="1022">
        <v>1.125</v>
      </c>
      <c r="BD389" s="964"/>
      <c r="BF389" s="830"/>
      <c r="BG389" s="936"/>
      <c r="BH389" s="1129" t="s">
        <v>1566</v>
      </c>
      <c r="BI389" s="1104">
        <v>1.625</v>
      </c>
      <c r="BJ389" s="1105"/>
      <c r="BK389" s="1105"/>
      <c r="BL389" s="1105"/>
      <c r="BM389" s="1105">
        <v>2.2000000000000002</v>
      </c>
      <c r="BN389" s="1151">
        <v>59.44055944055944</v>
      </c>
      <c r="BO389" s="1152"/>
      <c r="BY389" s="936"/>
      <c r="CI389" s="830"/>
    </row>
    <row r="390" spans="2:87" s="747" customFormat="1" ht="13.9" hidden="1" customHeight="1" outlineLevel="1">
      <c r="B390" s="921" t="str">
        <f t="shared" si="431"/>
        <v>Suction Line Ball Valve 10.0hp: H1002CC/ HEX1002CC - GBC 35s</v>
      </c>
      <c r="C390" s="922"/>
      <c r="D390" s="923"/>
      <c r="E390" s="808"/>
      <c r="F390" s="809"/>
      <c r="G390" s="809"/>
      <c r="H390" s="924" t="s">
        <v>100</v>
      </c>
      <c r="J390" s="828"/>
      <c r="K390" s="808"/>
      <c r="L390" s="809"/>
      <c r="M390" s="860">
        <v>1</v>
      </c>
      <c r="N390" s="813">
        <f t="shared" si="432"/>
        <v>1</v>
      </c>
      <c r="O390" s="814">
        <v>1</v>
      </c>
      <c r="P390" s="811">
        <f t="shared" si="433"/>
        <v>1</v>
      </c>
      <c r="Q390" s="815">
        <v>1</v>
      </c>
      <c r="R390" s="505">
        <f t="shared" si="434"/>
        <v>0</v>
      </c>
      <c r="S390" s="815">
        <f t="shared" si="435"/>
        <v>0</v>
      </c>
      <c r="T390" s="925" t="s">
        <v>46</v>
      </c>
      <c r="U390" s="811">
        <v>49.650349650349654</v>
      </c>
      <c r="V390" s="927">
        <f t="shared" si="436"/>
        <v>1</v>
      </c>
      <c r="W390" s="926">
        <v>1</v>
      </c>
      <c r="X390" s="820">
        <v>1.4650000000000001</v>
      </c>
      <c r="Y390" s="928">
        <f t="shared" si="437"/>
        <v>0</v>
      </c>
      <c r="Z390" s="929">
        <f t="shared" si="438"/>
        <v>0</v>
      </c>
      <c r="AA390" s="823"/>
      <c r="AC390" s="457"/>
      <c r="AD390" s="457">
        <v>1</v>
      </c>
      <c r="AE390" s="457"/>
      <c r="AF390" s="457"/>
      <c r="AG390" s="824"/>
      <c r="AH390" s="827"/>
      <c r="AI390" s="824"/>
      <c r="AJ390" s="828">
        <f t="shared" si="429"/>
        <v>0</v>
      </c>
      <c r="AK390" s="862"/>
      <c r="AL390" s="828">
        <f t="shared" si="430"/>
        <v>0</v>
      </c>
      <c r="AM390" s="862"/>
      <c r="AN390" s="824"/>
      <c r="AO390" s="827"/>
      <c r="AQ390" s="930" t="s">
        <v>1604</v>
      </c>
      <c r="AR390" s="923" t="s">
        <v>1567</v>
      </c>
      <c r="AS390" s="948">
        <v>1.4</v>
      </c>
      <c r="AT390" s="1153">
        <v>49.650349650349654</v>
      </c>
      <c r="AV390" s="827"/>
      <c r="AX390" s="505">
        <v>28.66</v>
      </c>
      <c r="AY390" s="1022">
        <v>1.375</v>
      </c>
      <c r="BD390" s="964"/>
      <c r="BF390" s="830"/>
      <c r="BG390" s="936"/>
      <c r="BH390" s="1129" t="s">
        <v>1621</v>
      </c>
      <c r="BI390" s="1104">
        <v>2.625</v>
      </c>
      <c r="BJ390" s="1105"/>
      <c r="BK390" s="1105"/>
      <c r="BL390" s="1105"/>
      <c r="BM390" s="1105">
        <v>4.4000000000000004</v>
      </c>
      <c r="BN390" s="1151"/>
      <c r="BO390" s="1152"/>
      <c r="BY390" s="936"/>
      <c r="CI390" s="830"/>
    </row>
    <row r="391" spans="2:87" s="747" customFormat="1" ht="13.9" hidden="1" customHeight="1" outlineLevel="1">
      <c r="B391" s="921" t="str">
        <f t="shared" si="431"/>
        <v>Suction Line Ball Valve 12.5hp: H1201CC/ HEX1201CC - GBC 35s</v>
      </c>
      <c r="C391" s="922"/>
      <c r="D391" s="923"/>
      <c r="E391" s="808"/>
      <c r="F391" s="809"/>
      <c r="G391" s="809"/>
      <c r="H391" s="924" t="s">
        <v>100</v>
      </c>
      <c r="J391" s="828"/>
      <c r="K391" s="808"/>
      <c r="L391" s="809"/>
      <c r="M391" s="860">
        <v>1</v>
      </c>
      <c r="N391" s="813">
        <f t="shared" si="432"/>
        <v>1</v>
      </c>
      <c r="O391" s="814">
        <v>1</v>
      </c>
      <c r="P391" s="811">
        <f t="shared" si="433"/>
        <v>1</v>
      </c>
      <c r="Q391" s="815">
        <v>1</v>
      </c>
      <c r="R391" s="505">
        <f t="shared" si="434"/>
        <v>0</v>
      </c>
      <c r="S391" s="815">
        <f t="shared" si="435"/>
        <v>0</v>
      </c>
      <c r="T391" s="925" t="s">
        <v>46</v>
      </c>
      <c r="U391" s="811">
        <v>49.650349650349654</v>
      </c>
      <c r="V391" s="927">
        <f t="shared" si="436"/>
        <v>1</v>
      </c>
      <c r="W391" s="926">
        <v>1</v>
      </c>
      <c r="X391" s="820">
        <v>1.4650000000000001</v>
      </c>
      <c r="Y391" s="928">
        <f t="shared" si="437"/>
        <v>0</v>
      </c>
      <c r="Z391" s="929">
        <f t="shared" si="438"/>
        <v>0</v>
      </c>
      <c r="AA391" s="823"/>
      <c r="AC391" s="457"/>
      <c r="AD391" s="457"/>
      <c r="AE391" s="457">
        <v>1</v>
      </c>
      <c r="AF391" s="457"/>
      <c r="AG391" s="824"/>
      <c r="AH391" s="827"/>
      <c r="AI391" s="824"/>
      <c r="AJ391" s="828">
        <f t="shared" si="429"/>
        <v>0</v>
      </c>
      <c r="AK391" s="862"/>
      <c r="AL391" s="828">
        <f t="shared" si="430"/>
        <v>0</v>
      </c>
      <c r="AM391" s="862"/>
      <c r="AN391" s="824"/>
      <c r="AO391" s="827"/>
      <c r="AQ391" s="930" t="s">
        <v>1605</v>
      </c>
      <c r="AR391" s="923" t="s">
        <v>1567</v>
      </c>
      <c r="AS391" s="948">
        <v>1.4</v>
      </c>
      <c r="AT391" s="1153">
        <v>49.650349650349654</v>
      </c>
      <c r="AV391" s="827"/>
      <c r="AX391" s="505">
        <v>35.770000000000003</v>
      </c>
      <c r="AY391" s="1022">
        <v>1.375</v>
      </c>
      <c r="BD391" s="964"/>
      <c r="BF391" s="830"/>
      <c r="BG391" s="936"/>
      <c r="BH391" s="1129" t="s">
        <v>1622</v>
      </c>
      <c r="BI391" s="1104">
        <v>3.125</v>
      </c>
      <c r="BJ391" s="1105"/>
      <c r="BK391" s="1105"/>
      <c r="BL391" s="1105"/>
      <c r="BM391" s="1105">
        <v>4.5</v>
      </c>
      <c r="BN391" s="1151"/>
      <c r="BO391" s="1152"/>
      <c r="BY391" s="936"/>
      <c r="CI391" s="830"/>
    </row>
    <row r="392" spans="2:87" s="747" customFormat="1" ht="13.9" hidden="1" customHeight="1" outlineLevel="1">
      <c r="B392" s="921" t="str">
        <f t="shared" si="431"/>
        <v>Suction Line Ball Valve 15.0hp: H2001CC/ HEX2001CC - GBC 42s</v>
      </c>
      <c r="C392" s="922"/>
      <c r="D392" s="923"/>
      <c r="E392" s="808"/>
      <c r="F392" s="809"/>
      <c r="G392" s="809"/>
      <c r="H392" s="924" t="s">
        <v>100</v>
      </c>
      <c r="J392" s="828"/>
      <c r="K392" s="808"/>
      <c r="L392" s="809"/>
      <c r="M392" s="860">
        <v>1</v>
      </c>
      <c r="N392" s="813">
        <f t="shared" si="432"/>
        <v>1</v>
      </c>
      <c r="O392" s="814">
        <v>1</v>
      </c>
      <c r="P392" s="811">
        <f t="shared" si="433"/>
        <v>1</v>
      </c>
      <c r="Q392" s="815">
        <v>1</v>
      </c>
      <c r="R392" s="505">
        <f t="shared" si="434"/>
        <v>0</v>
      </c>
      <c r="S392" s="815">
        <f t="shared" si="435"/>
        <v>0</v>
      </c>
      <c r="T392" s="925" t="s">
        <v>46</v>
      </c>
      <c r="U392" s="811">
        <v>59.44055944055944</v>
      </c>
      <c r="V392" s="927">
        <f t="shared" si="436"/>
        <v>1</v>
      </c>
      <c r="W392" s="926">
        <v>1</v>
      </c>
      <c r="X392" s="820">
        <v>2.41</v>
      </c>
      <c r="Y392" s="928">
        <f t="shared" si="437"/>
        <v>0</v>
      </c>
      <c r="Z392" s="929">
        <f t="shared" si="438"/>
        <v>0</v>
      </c>
      <c r="AA392" s="823"/>
      <c r="AC392" s="457"/>
      <c r="AD392" s="457"/>
      <c r="AE392" s="457"/>
      <c r="AF392" s="457">
        <v>1</v>
      </c>
      <c r="AG392" s="824"/>
      <c r="AH392" s="827"/>
      <c r="AI392" s="824"/>
      <c r="AJ392" s="828">
        <f t="shared" si="429"/>
        <v>0</v>
      </c>
      <c r="AK392" s="862"/>
      <c r="AL392" s="828">
        <f t="shared" si="430"/>
        <v>0</v>
      </c>
      <c r="AM392" s="862"/>
      <c r="AN392" s="824"/>
      <c r="AO392" s="827"/>
      <c r="AQ392" s="930" t="s">
        <v>1606</v>
      </c>
      <c r="AR392" s="923" t="s">
        <v>1566</v>
      </c>
      <c r="AS392" s="948">
        <v>2.2000000000000002</v>
      </c>
      <c r="AT392" s="1153">
        <v>59.44055944055944</v>
      </c>
      <c r="AV392" s="827"/>
      <c r="AX392" s="505">
        <v>46.05</v>
      </c>
      <c r="AY392" s="1022">
        <v>1.625</v>
      </c>
      <c r="BD392" s="964"/>
      <c r="BF392" s="830"/>
      <c r="BG392" s="936"/>
      <c r="BH392" s="1129"/>
      <c r="BI392" s="1104"/>
      <c r="BJ392" s="1105"/>
      <c r="BK392" s="1105"/>
      <c r="BL392" s="1105"/>
      <c r="BM392" s="1105"/>
      <c r="BN392" s="1151"/>
      <c r="BO392" s="1152"/>
      <c r="BY392" s="936"/>
      <c r="CI392" s="830"/>
    </row>
    <row r="393" spans="2:87" s="370" customFormat="1" ht="15" collapsed="1">
      <c r="B393" s="895" t="s">
        <v>1568</v>
      </c>
      <c r="C393" s="896"/>
      <c r="D393" s="897"/>
      <c r="E393" s="898"/>
      <c r="F393" s="899"/>
      <c r="G393" s="899"/>
      <c r="H393" s="900"/>
      <c r="I393" s="901"/>
      <c r="J393" s="902"/>
      <c r="K393" s="898"/>
      <c r="L393" s="899"/>
      <c r="M393" s="903"/>
      <c r="N393" s="904"/>
      <c r="O393" s="898"/>
      <c r="P393" s="902"/>
      <c r="Q393" s="905"/>
      <c r="R393" s="903">
        <v>0</v>
      </c>
      <c r="S393" s="905"/>
      <c r="T393" s="906"/>
      <c r="U393" s="906"/>
      <c r="V393" s="907"/>
      <c r="W393" s="908"/>
      <c r="X393" s="909"/>
      <c r="Y393" s="910">
        <f>SUM(Y394:Y397)</f>
        <v>0</v>
      </c>
      <c r="Z393" s="1069">
        <f>SUM(Z394:Z397)</f>
        <v>0</v>
      </c>
      <c r="AA393" s="911"/>
      <c r="AB393" s="747"/>
      <c r="AC393" s="912"/>
      <c r="AD393" s="912"/>
      <c r="AE393" s="912"/>
      <c r="AF393" s="913"/>
      <c r="AH393" s="521"/>
      <c r="AJ393" s="483"/>
      <c r="AK393" s="522">
        <f>SUM(AJ394:AJ397)</f>
        <v>0</v>
      </c>
      <c r="AL393" s="401"/>
      <c r="AM393" s="523">
        <f>SUM(AL394:AL397)</f>
        <v>0</v>
      </c>
      <c r="AO393" s="521"/>
      <c r="AQ393" s="1155" t="str">
        <f>+B393</f>
        <v>- Discharge Line Ball Valves</v>
      </c>
      <c r="AR393" s="1070" t="s">
        <v>1555</v>
      </c>
      <c r="AS393" s="916" t="s">
        <v>97</v>
      </c>
      <c r="AT393" s="917" t="s">
        <v>1345</v>
      </c>
      <c r="AV393" s="521"/>
      <c r="AX393" s="918" t="s">
        <v>1433</v>
      </c>
      <c r="AY393" s="919" t="s">
        <v>1437</v>
      </c>
      <c r="AZ393" s="960"/>
      <c r="BA393" s="960"/>
      <c r="BB393" s="960"/>
      <c r="BC393" s="960"/>
      <c r="BD393" s="961"/>
      <c r="BF393" s="524"/>
      <c r="BG393" s="395"/>
      <c r="BH393" s="918" t="s">
        <v>1555</v>
      </c>
      <c r="BI393" s="1127" t="s">
        <v>1556</v>
      </c>
      <c r="BJ393" s="919" t="s">
        <v>1152</v>
      </c>
      <c r="BK393" s="919" t="s">
        <v>1544</v>
      </c>
      <c r="BL393" s="919"/>
      <c r="BM393" s="919" t="s">
        <v>734</v>
      </c>
      <c r="BN393" s="919" t="s">
        <v>1545</v>
      </c>
      <c r="BO393" s="920"/>
      <c r="BP393" s="395"/>
      <c r="BQ393" s="369"/>
      <c r="BR393" s="395"/>
      <c r="BS393" s="369"/>
      <c r="BT393" s="369"/>
      <c r="BU393" s="369"/>
      <c r="BV393" s="369"/>
      <c r="BW393" s="369"/>
      <c r="BX393" s="369"/>
      <c r="BY393" s="369"/>
      <c r="CH393" s="395"/>
      <c r="CI393" s="524"/>
    </row>
    <row r="394" spans="2:87" s="747" customFormat="1" ht="13.9" hidden="1" customHeight="1" outlineLevel="1">
      <c r="B394" s="921" t="str">
        <f t="shared" ref="B394:B397" si="439">"Discharge Line Ball Valve "&amp;AQ394&amp;" - "&amp;AR394</f>
        <v>Discharge Line Ball Valve 7.5hp: H705CC/ HEX705CC - GBC 22s</v>
      </c>
      <c r="C394" s="922"/>
      <c r="D394" s="923"/>
      <c r="E394" s="808"/>
      <c r="F394" s="809"/>
      <c r="G394" s="809"/>
      <c r="H394" s="924" t="s">
        <v>100</v>
      </c>
      <c r="J394" s="828"/>
      <c r="K394" s="808"/>
      <c r="L394" s="809"/>
      <c r="M394" s="860">
        <v>1</v>
      </c>
      <c r="N394" s="813">
        <f t="shared" si="432"/>
        <v>1</v>
      </c>
      <c r="O394" s="814">
        <v>1</v>
      </c>
      <c r="P394" s="811">
        <f t="shared" si="433"/>
        <v>1</v>
      </c>
      <c r="Q394" s="815">
        <v>1</v>
      </c>
      <c r="R394" s="505">
        <f>+R$393</f>
        <v>0</v>
      </c>
      <c r="S394" s="815">
        <f t="shared" si="435"/>
        <v>0</v>
      </c>
      <c r="T394" s="925" t="s">
        <v>46</v>
      </c>
      <c r="U394" s="811">
        <v>17.902097902097903</v>
      </c>
      <c r="V394" s="927">
        <f t="shared" si="436"/>
        <v>1</v>
      </c>
      <c r="W394" s="926">
        <v>1</v>
      </c>
      <c r="X394" s="820">
        <v>0.4</v>
      </c>
      <c r="Y394" s="928">
        <f t="shared" si="437"/>
        <v>0</v>
      </c>
      <c r="Z394" s="929">
        <f t="shared" si="438"/>
        <v>0</v>
      </c>
      <c r="AA394" s="823">
        <v>1</v>
      </c>
      <c r="AC394" s="457">
        <v>1</v>
      </c>
      <c r="AD394" s="457"/>
      <c r="AE394" s="457"/>
      <c r="AF394" s="457"/>
      <c r="AG394" s="824"/>
      <c r="AH394" s="827"/>
      <c r="AI394" s="824"/>
      <c r="AJ394" s="828">
        <f t="shared" si="429"/>
        <v>0</v>
      </c>
      <c r="AK394" s="862"/>
      <c r="AL394" s="828">
        <f t="shared" si="430"/>
        <v>0</v>
      </c>
      <c r="AM394" s="862"/>
      <c r="AN394" s="824"/>
      <c r="AO394" s="827"/>
      <c r="AQ394" s="930" t="s">
        <v>1602</v>
      </c>
      <c r="AR394" s="923" t="s">
        <v>1569</v>
      </c>
      <c r="AS394" s="948">
        <v>0.4</v>
      </c>
      <c r="AT394" s="1153">
        <v>17.902097902097903</v>
      </c>
      <c r="AV394" s="827"/>
      <c r="AX394" s="505">
        <v>21.54</v>
      </c>
      <c r="AY394" s="1022">
        <v>0.875</v>
      </c>
      <c r="BD394" s="964"/>
      <c r="BF394" s="830"/>
      <c r="BG394" s="936"/>
      <c r="BH394" s="1129" t="s">
        <v>1566</v>
      </c>
      <c r="BI394" s="1104">
        <v>1.625</v>
      </c>
      <c r="BJ394" s="1105"/>
      <c r="BK394" s="1105"/>
      <c r="BL394" s="1105"/>
      <c r="BM394" s="1105">
        <v>2.2000000000000002</v>
      </c>
      <c r="BN394" s="1151">
        <v>59.44055944055944</v>
      </c>
      <c r="BO394" s="1152"/>
      <c r="BY394" s="936"/>
      <c r="CI394" s="830"/>
    </row>
    <row r="395" spans="2:87" s="747" customFormat="1" ht="13.9" hidden="1" customHeight="1" outlineLevel="1">
      <c r="B395" s="921" t="str">
        <f t="shared" si="439"/>
        <v>Discharge Line Ball Valve 10.0hp: H1002CC/ HEX1002CC - GBC 22s</v>
      </c>
      <c r="C395" s="922"/>
      <c r="D395" s="923"/>
      <c r="E395" s="808"/>
      <c r="F395" s="809"/>
      <c r="G395" s="809"/>
      <c r="H395" s="924" t="s">
        <v>100</v>
      </c>
      <c r="J395" s="828"/>
      <c r="K395" s="808"/>
      <c r="L395" s="809"/>
      <c r="M395" s="860">
        <v>1</v>
      </c>
      <c r="N395" s="813">
        <f t="shared" si="432"/>
        <v>1</v>
      </c>
      <c r="O395" s="814">
        <v>1</v>
      </c>
      <c r="P395" s="811">
        <f t="shared" si="433"/>
        <v>1</v>
      </c>
      <c r="Q395" s="815">
        <v>1</v>
      </c>
      <c r="R395" s="505">
        <f>+R$393</f>
        <v>0</v>
      </c>
      <c r="S395" s="815">
        <f t="shared" si="435"/>
        <v>0</v>
      </c>
      <c r="T395" s="925" t="s">
        <v>46</v>
      </c>
      <c r="U395" s="811">
        <v>17.902097902097903</v>
      </c>
      <c r="V395" s="927">
        <f t="shared" si="436"/>
        <v>1</v>
      </c>
      <c r="W395" s="926">
        <v>1</v>
      </c>
      <c r="X395" s="820">
        <v>0.4</v>
      </c>
      <c r="Y395" s="928">
        <f t="shared" si="437"/>
        <v>0</v>
      </c>
      <c r="Z395" s="929">
        <f t="shared" si="438"/>
        <v>0</v>
      </c>
      <c r="AA395" s="823"/>
      <c r="AC395" s="457"/>
      <c r="AD395" s="457">
        <v>1</v>
      </c>
      <c r="AE395" s="457"/>
      <c r="AF395" s="457"/>
      <c r="AG395" s="824"/>
      <c r="AH395" s="827"/>
      <c r="AI395" s="824"/>
      <c r="AJ395" s="828">
        <f t="shared" si="429"/>
        <v>0</v>
      </c>
      <c r="AK395" s="862"/>
      <c r="AL395" s="828">
        <f t="shared" si="430"/>
        <v>0</v>
      </c>
      <c r="AM395" s="862"/>
      <c r="AN395" s="824"/>
      <c r="AO395" s="827"/>
      <c r="AQ395" s="930" t="s">
        <v>1604</v>
      </c>
      <c r="AR395" s="923" t="s">
        <v>1569</v>
      </c>
      <c r="AS395" s="948">
        <v>0.4</v>
      </c>
      <c r="AT395" s="1153">
        <v>17.902097902097903</v>
      </c>
      <c r="AV395" s="827"/>
      <c r="AX395" s="505">
        <v>28.66</v>
      </c>
      <c r="AY395" s="1022">
        <v>0.875</v>
      </c>
      <c r="BD395" s="964"/>
      <c r="BF395" s="830"/>
      <c r="BG395" s="936"/>
      <c r="BH395" s="1129" t="s">
        <v>1621</v>
      </c>
      <c r="BI395" s="1104">
        <v>2.625</v>
      </c>
      <c r="BJ395" s="1105"/>
      <c r="BK395" s="1105"/>
      <c r="BL395" s="1105"/>
      <c r="BM395" s="1105">
        <v>4.4000000000000004</v>
      </c>
      <c r="BN395" s="1151"/>
      <c r="BO395" s="1152"/>
      <c r="BY395" s="936"/>
      <c r="CI395" s="830"/>
    </row>
    <row r="396" spans="2:87" s="747" customFormat="1" ht="13.9" hidden="1" customHeight="1" outlineLevel="1">
      <c r="B396" s="921" t="str">
        <f t="shared" si="439"/>
        <v>Discharge Line Ball Valve 12.5hp: H1201CC/ HEX1201CC - GBC 28s</v>
      </c>
      <c r="C396" s="922"/>
      <c r="D396" s="923"/>
      <c r="E396" s="808"/>
      <c r="F396" s="809"/>
      <c r="G396" s="809"/>
      <c r="H396" s="924" t="s">
        <v>100</v>
      </c>
      <c r="J396" s="828"/>
      <c r="K396" s="808"/>
      <c r="L396" s="809"/>
      <c r="M396" s="860">
        <v>1</v>
      </c>
      <c r="N396" s="813">
        <f t="shared" si="432"/>
        <v>1</v>
      </c>
      <c r="O396" s="814">
        <v>1</v>
      </c>
      <c r="P396" s="811">
        <f t="shared" si="433"/>
        <v>1</v>
      </c>
      <c r="Q396" s="815">
        <v>1</v>
      </c>
      <c r="R396" s="505">
        <f>+R$393</f>
        <v>0</v>
      </c>
      <c r="S396" s="815">
        <f t="shared" si="435"/>
        <v>0</v>
      </c>
      <c r="T396" s="925" t="s">
        <v>46</v>
      </c>
      <c r="U396" s="811">
        <v>17.902097902097903</v>
      </c>
      <c r="V396" s="927">
        <f t="shared" si="436"/>
        <v>1</v>
      </c>
      <c r="W396" s="926">
        <v>1</v>
      </c>
      <c r="X396" s="820">
        <v>0.9</v>
      </c>
      <c r="Y396" s="928">
        <f t="shared" si="437"/>
        <v>0</v>
      </c>
      <c r="Z396" s="929">
        <f t="shared" si="438"/>
        <v>0</v>
      </c>
      <c r="AA396" s="823"/>
      <c r="AC396" s="457"/>
      <c r="AD396" s="457"/>
      <c r="AE396" s="457">
        <v>1</v>
      </c>
      <c r="AF396" s="457"/>
      <c r="AG396" s="824"/>
      <c r="AH396" s="827"/>
      <c r="AI396" s="824"/>
      <c r="AJ396" s="828">
        <f t="shared" si="429"/>
        <v>0</v>
      </c>
      <c r="AK396" s="862"/>
      <c r="AL396" s="828">
        <f t="shared" si="430"/>
        <v>0</v>
      </c>
      <c r="AM396" s="862"/>
      <c r="AN396" s="824"/>
      <c r="AO396" s="827"/>
      <c r="AQ396" s="930" t="s">
        <v>1605</v>
      </c>
      <c r="AR396" s="923" t="s">
        <v>1565</v>
      </c>
      <c r="AS396" s="948">
        <v>0.9</v>
      </c>
      <c r="AT396" s="1153">
        <v>17.902097902097903</v>
      </c>
      <c r="AV396" s="827"/>
      <c r="AX396" s="505">
        <v>35.770000000000003</v>
      </c>
      <c r="AY396" s="1022">
        <v>1.125</v>
      </c>
      <c r="BD396" s="964"/>
      <c r="BF396" s="830"/>
      <c r="BG396" s="936"/>
      <c r="BH396" s="1129" t="s">
        <v>1622</v>
      </c>
      <c r="BI396" s="1104">
        <v>3.125</v>
      </c>
      <c r="BJ396" s="1105"/>
      <c r="BK396" s="1105"/>
      <c r="BL396" s="1105"/>
      <c r="BM396" s="1105">
        <v>4.5</v>
      </c>
      <c r="BN396" s="1151"/>
      <c r="BO396" s="1152"/>
      <c r="BY396" s="936"/>
      <c r="CI396" s="830"/>
    </row>
    <row r="397" spans="2:87" s="747" customFormat="1" ht="13.9" hidden="1" customHeight="1" outlineLevel="1">
      <c r="B397" s="921" t="str">
        <f t="shared" si="439"/>
        <v>Discharge Line Ball Valve 15.0hp: H2001CC/ HEX2001CC - GBC 28s</v>
      </c>
      <c r="C397" s="922"/>
      <c r="D397" s="923"/>
      <c r="E397" s="808"/>
      <c r="F397" s="809"/>
      <c r="G397" s="809"/>
      <c r="H397" s="924" t="s">
        <v>100</v>
      </c>
      <c r="J397" s="828"/>
      <c r="K397" s="808"/>
      <c r="L397" s="809"/>
      <c r="M397" s="860">
        <v>1</v>
      </c>
      <c r="N397" s="813">
        <f t="shared" si="432"/>
        <v>1</v>
      </c>
      <c r="O397" s="814">
        <v>1</v>
      </c>
      <c r="P397" s="811">
        <f t="shared" si="433"/>
        <v>1</v>
      </c>
      <c r="Q397" s="815">
        <v>1</v>
      </c>
      <c r="R397" s="505">
        <f>+R$393</f>
        <v>0</v>
      </c>
      <c r="S397" s="815">
        <f t="shared" si="435"/>
        <v>0</v>
      </c>
      <c r="T397" s="925" t="s">
        <v>46</v>
      </c>
      <c r="U397" s="811">
        <v>17.902097902097903</v>
      </c>
      <c r="V397" s="927">
        <f t="shared" si="436"/>
        <v>1</v>
      </c>
      <c r="W397" s="926">
        <v>1</v>
      </c>
      <c r="X397" s="820">
        <v>0.9</v>
      </c>
      <c r="Y397" s="928">
        <f t="shared" si="437"/>
        <v>0</v>
      </c>
      <c r="Z397" s="929">
        <f t="shared" si="438"/>
        <v>0</v>
      </c>
      <c r="AA397" s="823"/>
      <c r="AC397" s="457"/>
      <c r="AD397" s="457"/>
      <c r="AE397" s="457"/>
      <c r="AF397" s="457">
        <v>1</v>
      </c>
      <c r="AG397" s="824"/>
      <c r="AH397" s="827"/>
      <c r="AI397" s="824"/>
      <c r="AJ397" s="828">
        <f t="shared" si="429"/>
        <v>0</v>
      </c>
      <c r="AK397" s="862"/>
      <c r="AL397" s="828">
        <f t="shared" si="430"/>
        <v>0</v>
      </c>
      <c r="AM397" s="862"/>
      <c r="AN397" s="824"/>
      <c r="AO397" s="827"/>
      <c r="AQ397" s="930" t="s">
        <v>1606</v>
      </c>
      <c r="AR397" s="923" t="s">
        <v>1565</v>
      </c>
      <c r="AS397" s="948">
        <v>0.9</v>
      </c>
      <c r="AT397" s="1153">
        <v>17.902097902097903</v>
      </c>
      <c r="AV397" s="827"/>
      <c r="AX397" s="505">
        <v>46.05</v>
      </c>
      <c r="AY397" s="1022">
        <v>1.125</v>
      </c>
      <c r="BD397" s="964"/>
      <c r="BF397" s="830"/>
      <c r="BG397" s="936"/>
      <c r="BH397" s="1154"/>
      <c r="BI397" s="1104"/>
      <c r="BJ397" s="1105"/>
      <c r="BK397" s="1105"/>
      <c r="BL397" s="1105"/>
      <c r="BM397" s="1105"/>
      <c r="BN397" s="1151"/>
      <c r="BO397" s="1152"/>
      <c r="BY397" s="936"/>
      <c r="CI397" s="830"/>
    </row>
    <row r="398" spans="2:87" s="370" customFormat="1" ht="15" collapsed="1">
      <c r="B398" s="895" t="s">
        <v>1570</v>
      </c>
      <c r="C398" s="896"/>
      <c r="D398" s="897"/>
      <c r="E398" s="898"/>
      <c r="F398" s="899"/>
      <c r="G398" s="899"/>
      <c r="H398" s="900"/>
      <c r="I398" s="901"/>
      <c r="J398" s="902"/>
      <c r="K398" s="898"/>
      <c r="L398" s="899"/>
      <c r="M398" s="903"/>
      <c r="N398" s="904"/>
      <c r="O398" s="898"/>
      <c r="P398" s="902"/>
      <c r="Q398" s="905"/>
      <c r="R398" s="903">
        <f>IF(AND(N$8=1,R$372=1),1,0)</f>
        <v>0</v>
      </c>
      <c r="S398" s="905"/>
      <c r="T398" s="906"/>
      <c r="U398" s="906"/>
      <c r="V398" s="907"/>
      <c r="W398" s="908"/>
      <c r="X398" s="909"/>
      <c r="Y398" s="910">
        <f>SUM(Y399:Y402)</f>
        <v>0</v>
      </c>
      <c r="Z398" s="1069">
        <f>SUM(Z399:Z402)</f>
        <v>0</v>
      </c>
      <c r="AA398" s="911"/>
      <c r="AB398" s="747"/>
      <c r="AC398" s="912"/>
      <c r="AD398" s="912"/>
      <c r="AE398" s="912"/>
      <c r="AF398" s="913"/>
      <c r="AH398" s="521"/>
      <c r="AJ398" s="483"/>
      <c r="AK398" s="522">
        <f>SUM(AJ399:AJ402)</f>
        <v>0</v>
      </c>
      <c r="AL398" s="401"/>
      <c r="AM398" s="523">
        <f>SUM(AL399:AL402)</f>
        <v>0</v>
      </c>
      <c r="AO398" s="521"/>
      <c r="AQ398" s="1155" t="str">
        <f>+B398</f>
        <v>- Liquid Line Ball Valves</v>
      </c>
      <c r="AR398" s="1070" t="s">
        <v>1555</v>
      </c>
      <c r="AS398" s="916" t="s">
        <v>97</v>
      </c>
      <c r="AT398" s="917" t="s">
        <v>1345</v>
      </c>
      <c r="AV398" s="521"/>
      <c r="AX398" s="918" t="s">
        <v>1433</v>
      </c>
      <c r="AY398" s="919" t="s">
        <v>1438</v>
      </c>
      <c r="AZ398" s="960"/>
      <c r="BA398" s="960"/>
      <c r="BB398" s="960"/>
      <c r="BC398" s="960"/>
      <c r="BD398" s="961"/>
      <c r="BF398" s="524"/>
      <c r="BG398" s="395"/>
      <c r="BH398" s="918" t="s">
        <v>1555</v>
      </c>
      <c r="BI398" s="1127" t="s">
        <v>1556</v>
      </c>
      <c r="BJ398" s="919" t="s">
        <v>1152</v>
      </c>
      <c r="BK398" s="919" t="s">
        <v>1544</v>
      </c>
      <c r="BL398" s="919"/>
      <c r="BM398" s="919" t="s">
        <v>734</v>
      </c>
      <c r="BN398" s="919" t="s">
        <v>1545</v>
      </c>
      <c r="BO398" s="920"/>
      <c r="BP398" s="395"/>
      <c r="BQ398" s="369"/>
      <c r="BR398" s="395"/>
      <c r="BS398" s="369"/>
      <c r="BT398" s="369"/>
      <c r="BU398" s="369"/>
      <c r="BV398" s="369"/>
      <c r="BW398" s="369"/>
      <c r="BX398" s="369"/>
      <c r="BY398" s="369"/>
      <c r="CH398" s="395"/>
      <c r="CI398" s="524"/>
    </row>
    <row r="399" spans="2:87" s="747" customFormat="1" ht="13.9" hidden="1" customHeight="1" outlineLevel="1">
      <c r="B399" s="921" t="str">
        <f t="shared" ref="B399:B402" si="440">"Liquid Line Ball Valve "&amp;AQ399&amp;" - "&amp;AR399</f>
        <v>Liquid Line Ball Valve 7.5hp: H705CC/ HEX705CC - GBC 12s</v>
      </c>
      <c r="C399" s="922"/>
      <c r="D399" s="923"/>
      <c r="E399" s="808"/>
      <c r="F399" s="809"/>
      <c r="G399" s="809"/>
      <c r="H399" s="924" t="s">
        <v>100</v>
      </c>
      <c r="J399" s="828"/>
      <c r="K399" s="808"/>
      <c r="L399" s="809"/>
      <c r="M399" s="860">
        <v>1</v>
      </c>
      <c r="N399" s="813">
        <f t="shared" si="432"/>
        <v>1</v>
      </c>
      <c r="O399" s="814">
        <v>2</v>
      </c>
      <c r="P399" s="811">
        <f t="shared" si="433"/>
        <v>2</v>
      </c>
      <c r="Q399" s="815">
        <v>1</v>
      </c>
      <c r="R399" s="505">
        <f t="shared" ref="R399:R402" si="441">+R$398</f>
        <v>0</v>
      </c>
      <c r="S399" s="815">
        <f t="shared" si="435"/>
        <v>0</v>
      </c>
      <c r="T399" s="925" t="s">
        <v>46</v>
      </c>
      <c r="U399" s="811">
        <v>11.328671328671328</v>
      </c>
      <c r="V399" s="927">
        <f t="shared" si="436"/>
        <v>1</v>
      </c>
      <c r="W399" s="926">
        <v>1</v>
      </c>
      <c r="X399" s="820">
        <v>0.11000000000000001</v>
      </c>
      <c r="Y399" s="928">
        <f t="shared" si="437"/>
        <v>0</v>
      </c>
      <c r="Z399" s="929">
        <f t="shared" si="438"/>
        <v>0</v>
      </c>
      <c r="AA399" s="823">
        <v>1</v>
      </c>
      <c r="AC399" s="457">
        <v>1</v>
      </c>
      <c r="AD399" s="457"/>
      <c r="AE399" s="457"/>
      <c r="AF399" s="457"/>
      <c r="AG399" s="824"/>
      <c r="AH399" s="827"/>
      <c r="AI399" s="824"/>
      <c r="AJ399" s="828">
        <f t="shared" si="429"/>
        <v>0</v>
      </c>
      <c r="AK399" s="862"/>
      <c r="AL399" s="828">
        <f t="shared" si="430"/>
        <v>0</v>
      </c>
      <c r="AM399" s="862"/>
      <c r="AN399" s="824"/>
      <c r="AO399" s="827"/>
      <c r="AQ399" s="930" t="s">
        <v>1602</v>
      </c>
      <c r="AR399" s="923" t="s">
        <v>1571</v>
      </c>
      <c r="AS399" s="948">
        <v>0.2</v>
      </c>
      <c r="AT399" s="1153">
        <v>11.43</v>
      </c>
      <c r="AV399" s="827"/>
      <c r="AX399" s="505">
        <v>21.54</v>
      </c>
      <c r="AY399" s="1022">
        <v>0.5</v>
      </c>
      <c r="BD399" s="964"/>
      <c r="BF399" s="830"/>
      <c r="BG399" s="936"/>
      <c r="BH399" s="1129" t="s">
        <v>1566</v>
      </c>
      <c r="BI399" s="1104">
        <v>1.625</v>
      </c>
      <c r="BJ399" s="1105"/>
      <c r="BK399" s="1105"/>
      <c r="BL399" s="1105"/>
      <c r="BM399" s="1105">
        <v>2.2000000000000002</v>
      </c>
      <c r="BN399" s="1151">
        <v>59.44055944055944</v>
      </c>
      <c r="BO399" s="1152"/>
      <c r="BY399" s="936"/>
      <c r="CI399" s="830"/>
    </row>
    <row r="400" spans="2:87" s="747" customFormat="1" ht="13.9" hidden="1" customHeight="1" outlineLevel="1">
      <c r="B400" s="921" t="str">
        <f t="shared" si="440"/>
        <v>Liquid Line Ball Valve 10.0hp: H1002CC/ HEX1002CC - GBC 16s</v>
      </c>
      <c r="C400" s="922"/>
      <c r="D400" s="923"/>
      <c r="E400" s="808"/>
      <c r="F400" s="809"/>
      <c r="G400" s="809"/>
      <c r="H400" s="924" t="s">
        <v>100</v>
      </c>
      <c r="J400" s="828"/>
      <c r="K400" s="808"/>
      <c r="L400" s="809"/>
      <c r="M400" s="860">
        <v>1</v>
      </c>
      <c r="N400" s="813">
        <f t="shared" si="432"/>
        <v>1</v>
      </c>
      <c r="O400" s="814">
        <v>2</v>
      </c>
      <c r="P400" s="811">
        <f t="shared" si="433"/>
        <v>2</v>
      </c>
      <c r="Q400" s="815">
        <v>1</v>
      </c>
      <c r="R400" s="505">
        <f t="shared" si="441"/>
        <v>0</v>
      </c>
      <c r="S400" s="815">
        <f t="shared" si="435"/>
        <v>0</v>
      </c>
      <c r="T400" s="925" t="s">
        <v>46</v>
      </c>
      <c r="U400" s="811">
        <v>11.328671328671328</v>
      </c>
      <c r="V400" s="927">
        <f t="shared" si="436"/>
        <v>1</v>
      </c>
      <c r="W400" s="926">
        <v>1</v>
      </c>
      <c r="X400" s="820">
        <v>0.11000000000000001</v>
      </c>
      <c r="Y400" s="928">
        <f t="shared" si="437"/>
        <v>0</v>
      </c>
      <c r="Z400" s="929">
        <f t="shared" si="438"/>
        <v>0</v>
      </c>
      <c r="AA400" s="823"/>
      <c r="AC400" s="457"/>
      <c r="AD400" s="457">
        <v>1</v>
      </c>
      <c r="AE400" s="457"/>
      <c r="AF400" s="457"/>
      <c r="AG400" s="824"/>
      <c r="AH400" s="827"/>
      <c r="AI400" s="824"/>
      <c r="AJ400" s="828">
        <f t="shared" si="429"/>
        <v>0</v>
      </c>
      <c r="AK400" s="862"/>
      <c r="AL400" s="828">
        <f t="shared" si="430"/>
        <v>0</v>
      </c>
      <c r="AM400" s="862"/>
      <c r="AN400" s="824"/>
      <c r="AO400" s="827"/>
      <c r="AQ400" s="930" t="s">
        <v>1604</v>
      </c>
      <c r="AR400" s="923" t="s">
        <v>1572</v>
      </c>
      <c r="AS400" s="948">
        <v>0.2</v>
      </c>
      <c r="AT400" s="1153">
        <v>11.538461538461538</v>
      </c>
      <c r="AV400" s="827"/>
      <c r="AX400" s="505">
        <v>28.66</v>
      </c>
      <c r="AY400" s="1022">
        <v>0.625</v>
      </c>
      <c r="BD400" s="964"/>
      <c r="BF400" s="830"/>
      <c r="BG400" s="936"/>
      <c r="BH400" s="1129" t="s">
        <v>1621</v>
      </c>
      <c r="BI400" s="1104">
        <v>2.625</v>
      </c>
      <c r="BJ400" s="1105"/>
      <c r="BK400" s="1105"/>
      <c r="BL400" s="1105"/>
      <c r="BM400" s="1105">
        <v>4.4000000000000004</v>
      </c>
      <c r="BN400" s="1151"/>
      <c r="BO400" s="1152"/>
      <c r="BY400" s="936"/>
      <c r="CI400" s="830"/>
    </row>
    <row r="401" spans="1:87" s="747" customFormat="1" ht="13.9" hidden="1" customHeight="1" outlineLevel="1">
      <c r="B401" s="921" t="str">
        <f t="shared" si="440"/>
        <v>Liquid Line Ball Valve 12.5hp: H1201CC/ HEX1201CC - GBC 16s</v>
      </c>
      <c r="C401" s="922"/>
      <c r="D401" s="923"/>
      <c r="E401" s="808"/>
      <c r="F401" s="809"/>
      <c r="G401" s="809"/>
      <c r="H401" s="924" t="s">
        <v>100</v>
      </c>
      <c r="J401" s="828"/>
      <c r="K401" s="808"/>
      <c r="L401" s="809"/>
      <c r="M401" s="860">
        <v>1</v>
      </c>
      <c r="N401" s="813">
        <f t="shared" si="432"/>
        <v>1</v>
      </c>
      <c r="O401" s="814">
        <v>2</v>
      </c>
      <c r="P401" s="811">
        <f t="shared" si="433"/>
        <v>2</v>
      </c>
      <c r="Q401" s="815">
        <v>1</v>
      </c>
      <c r="R401" s="505">
        <f t="shared" si="441"/>
        <v>0</v>
      </c>
      <c r="S401" s="815">
        <f t="shared" si="435"/>
        <v>0</v>
      </c>
      <c r="T401" s="925" t="s">
        <v>46</v>
      </c>
      <c r="U401" s="811">
        <v>11.328671328671328</v>
      </c>
      <c r="V401" s="927">
        <f t="shared" si="436"/>
        <v>1</v>
      </c>
      <c r="W401" s="926">
        <v>1</v>
      </c>
      <c r="X401" s="820">
        <v>0.11000000000000001</v>
      </c>
      <c r="Y401" s="928">
        <f t="shared" si="437"/>
        <v>0</v>
      </c>
      <c r="Z401" s="929">
        <f t="shared" si="438"/>
        <v>0</v>
      </c>
      <c r="AA401" s="823"/>
      <c r="AC401" s="457"/>
      <c r="AD401" s="457"/>
      <c r="AE401" s="457">
        <v>1</v>
      </c>
      <c r="AF401" s="457"/>
      <c r="AG401" s="824"/>
      <c r="AH401" s="827"/>
      <c r="AI401" s="824"/>
      <c r="AJ401" s="828">
        <f t="shared" si="429"/>
        <v>0</v>
      </c>
      <c r="AK401" s="862"/>
      <c r="AL401" s="828">
        <f t="shared" si="430"/>
        <v>0</v>
      </c>
      <c r="AM401" s="862"/>
      <c r="AN401" s="824"/>
      <c r="AO401" s="827"/>
      <c r="AQ401" s="930" t="s">
        <v>1605</v>
      </c>
      <c r="AR401" s="923" t="s">
        <v>1572</v>
      </c>
      <c r="AS401" s="948">
        <v>0.2</v>
      </c>
      <c r="AT401" s="1153">
        <v>11.538461538461538</v>
      </c>
      <c r="AV401" s="827"/>
      <c r="AX401" s="505">
        <v>35.770000000000003</v>
      </c>
      <c r="AY401" s="1022">
        <v>0.625</v>
      </c>
      <c r="BD401" s="964"/>
      <c r="BF401" s="830"/>
      <c r="BG401" s="936"/>
      <c r="BH401" s="1129" t="s">
        <v>1622</v>
      </c>
      <c r="BI401" s="1104">
        <v>3.125</v>
      </c>
      <c r="BJ401" s="1105"/>
      <c r="BK401" s="1105"/>
      <c r="BL401" s="1105"/>
      <c r="BM401" s="1105">
        <v>4.5</v>
      </c>
      <c r="BN401" s="1151"/>
      <c r="BO401" s="1152"/>
      <c r="BY401" s="936"/>
      <c r="CI401" s="830"/>
    </row>
    <row r="402" spans="1:87" s="747" customFormat="1" ht="13.9" hidden="1" customHeight="1" outlineLevel="1">
      <c r="B402" s="921" t="str">
        <f t="shared" si="440"/>
        <v>Liquid Line Ball Valve 15.0hp: H2001CC/ HEX2001CC - GBC 16s</v>
      </c>
      <c r="C402" s="922"/>
      <c r="D402" s="923"/>
      <c r="E402" s="808"/>
      <c r="F402" s="809"/>
      <c r="G402" s="809"/>
      <c r="H402" s="924" t="s">
        <v>100</v>
      </c>
      <c r="J402" s="828"/>
      <c r="K402" s="808"/>
      <c r="L402" s="809"/>
      <c r="M402" s="860">
        <v>1</v>
      </c>
      <c r="N402" s="813">
        <f t="shared" si="432"/>
        <v>1</v>
      </c>
      <c r="O402" s="814">
        <v>2</v>
      </c>
      <c r="P402" s="811">
        <f t="shared" si="433"/>
        <v>2</v>
      </c>
      <c r="Q402" s="815">
        <v>1</v>
      </c>
      <c r="R402" s="505">
        <f t="shared" si="441"/>
        <v>0</v>
      </c>
      <c r="S402" s="815">
        <f t="shared" si="435"/>
        <v>0</v>
      </c>
      <c r="T402" s="925" t="s">
        <v>46</v>
      </c>
      <c r="U402" s="811">
        <v>11.43</v>
      </c>
      <c r="V402" s="927">
        <f t="shared" si="436"/>
        <v>1</v>
      </c>
      <c r="W402" s="926">
        <v>1</v>
      </c>
      <c r="X402" s="820">
        <v>0.16999999999999998</v>
      </c>
      <c r="Y402" s="928">
        <f t="shared" si="437"/>
        <v>0</v>
      </c>
      <c r="Z402" s="929">
        <f t="shared" si="438"/>
        <v>0</v>
      </c>
      <c r="AA402" s="823"/>
      <c r="AC402" s="457"/>
      <c r="AD402" s="457"/>
      <c r="AE402" s="457"/>
      <c r="AF402" s="457">
        <v>1</v>
      </c>
      <c r="AG402" s="824"/>
      <c r="AH402" s="827"/>
      <c r="AI402" s="824"/>
      <c r="AJ402" s="828">
        <f t="shared" si="429"/>
        <v>0</v>
      </c>
      <c r="AK402" s="862"/>
      <c r="AL402" s="828">
        <f t="shared" si="430"/>
        <v>0</v>
      </c>
      <c r="AM402" s="862"/>
      <c r="AN402" s="824"/>
      <c r="AO402" s="827"/>
      <c r="AQ402" s="930" t="s">
        <v>1606</v>
      </c>
      <c r="AR402" s="923" t="s">
        <v>1572</v>
      </c>
      <c r="AS402" s="948">
        <v>0.2</v>
      </c>
      <c r="AT402" s="1153">
        <v>11.538461538461538</v>
      </c>
      <c r="AV402" s="827"/>
      <c r="AX402" s="505">
        <v>46.05</v>
      </c>
      <c r="AY402" s="1022">
        <v>0.625</v>
      </c>
      <c r="BD402" s="964"/>
      <c r="BF402" s="830"/>
      <c r="BG402" s="936"/>
      <c r="BH402" s="1154"/>
      <c r="BI402" s="1104"/>
      <c r="BJ402" s="1105"/>
      <c r="BK402" s="1105"/>
      <c r="BL402" s="1105"/>
      <c r="BM402" s="1105"/>
      <c r="BN402" s="1151"/>
      <c r="BO402" s="1152"/>
      <c r="BY402" s="936"/>
      <c r="CI402" s="830"/>
    </row>
    <row r="403" spans="1:87" s="370" customFormat="1" ht="15" collapsed="1">
      <c r="B403" s="895" t="s">
        <v>1623</v>
      </c>
      <c r="C403" s="896"/>
      <c r="D403" s="897"/>
      <c r="E403" s="898"/>
      <c r="F403" s="899"/>
      <c r="G403" s="899"/>
      <c r="H403" s="900"/>
      <c r="I403" s="901"/>
      <c r="J403" s="902"/>
      <c r="K403" s="898"/>
      <c r="L403" s="899"/>
      <c r="M403" s="903"/>
      <c r="N403" s="904"/>
      <c r="O403" s="898"/>
      <c r="P403" s="902"/>
      <c r="Q403" s="905"/>
      <c r="R403" s="894">
        <f>R341+R330</f>
        <v>0</v>
      </c>
      <c r="S403" s="905"/>
      <c r="T403" s="906"/>
      <c r="U403" s="906"/>
      <c r="V403" s="907"/>
      <c r="W403" s="908"/>
      <c r="X403" s="909"/>
      <c r="Y403" s="910">
        <f>SUM(Y404:Y407)</f>
        <v>0</v>
      </c>
      <c r="Z403" s="1069">
        <f>SUM(Z404:Z407)</f>
        <v>0</v>
      </c>
      <c r="AA403" s="911"/>
      <c r="AB403" s="747"/>
      <c r="AC403" s="912"/>
      <c r="AD403" s="912"/>
      <c r="AE403" s="912"/>
      <c r="AF403" s="913"/>
      <c r="AH403" s="521"/>
      <c r="AJ403" s="483"/>
      <c r="AK403" s="522">
        <f>SUM(AJ404:AJ407)</f>
        <v>0</v>
      </c>
      <c r="AL403" s="401"/>
      <c r="AM403" s="523">
        <f>SUM(AL404:AL407)</f>
        <v>0</v>
      </c>
      <c r="AO403" s="521"/>
      <c r="AQ403" s="1155" t="str">
        <f>+B403</f>
        <v>- Suction Vibration Absorber Pipe</v>
      </c>
      <c r="AR403" s="1070" t="s">
        <v>1624</v>
      </c>
      <c r="AS403" s="916" t="s">
        <v>97</v>
      </c>
      <c r="AT403" s="917" t="s">
        <v>1345</v>
      </c>
      <c r="AV403" s="521"/>
      <c r="AX403" s="918" t="s">
        <v>1433</v>
      </c>
      <c r="AY403" s="919" t="s">
        <v>1436</v>
      </c>
      <c r="AZ403" s="960"/>
      <c r="BA403" s="960"/>
      <c r="BB403" s="960"/>
      <c r="BC403" s="960"/>
      <c r="BD403" s="961"/>
      <c r="BF403" s="524"/>
      <c r="BG403" s="395"/>
      <c r="BH403" s="918" t="s">
        <v>1624</v>
      </c>
      <c r="BI403" s="1127" t="s">
        <v>1556</v>
      </c>
      <c r="BJ403" s="919" t="s">
        <v>1152</v>
      </c>
      <c r="BK403" s="919" t="s">
        <v>1544</v>
      </c>
      <c r="BL403" s="919"/>
      <c r="BM403" s="919" t="s">
        <v>734</v>
      </c>
      <c r="BN403" s="919" t="s">
        <v>1545</v>
      </c>
      <c r="BO403" s="920"/>
      <c r="BP403" s="395"/>
      <c r="BQ403" s="369"/>
      <c r="BR403" s="395"/>
      <c r="BS403" s="369"/>
      <c r="BT403" s="369"/>
      <c r="BU403" s="369"/>
      <c r="BV403" s="369"/>
      <c r="BW403" s="369"/>
      <c r="BX403" s="369"/>
      <c r="BY403" s="369"/>
      <c r="CH403" s="395"/>
      <c r="CI403" s="524"/>
    </row>
    <row r="404" spans="1:87" s="747" customFormat="1" ht="13.9" hidden="1" customHeight="1" outlineLevel="1">
      <c r="B404" s="921" t="str">
        <f t="shared" ref="B404:B407" si="442">"SL Vibration Absorber "&amp;AQ404&amp;" - "&amp;AR404</f>
        <v>SL Vibration Absorber 7.5hp: H705CC/ HEX705CC - 7690/9-1 1/8 x 330</v>
      </c>
      <c r="C404" s="922"/>
      <c r="D404" s="923"/>
      <c r="E404" s="808"/>
      <c r="F404" s="809"/>
      <c r="G404" s="809"/>
      <c r="H404" s="924" t="s">
        <v>100</v>
      </c>
      <c r="J404" s="828"/>
      <c r="K404" s="808"/>
      <c r="L404" s="809"/>
      <c r="M404" s="860">
        <v>1</v>
      </c>
      <c r="N404" s="813">
        <f t="shared" ref="N404:N407" si="443">IF(I404&gt;0,22/28*((I404/1000)^2-(I404/1000-2*J404/1000)^2)*K404/1000,IF(J404&gt;0,J404/1000*K404/1000*L404/1000, IF(K404&gt;0,K404/1000*L404/1000, IF(L404=0,1,L404/1000))))</f>
        <v>1</v>
      </c>
      <c r="O404" s="814">
        <v>1</v>
      </c>
      <c r="P404" s="811">
        <f t="shared" ref="P404:P407" si="444">M404*N404*O404</f>
        <v>1</v>
      </c>
      <c r="Q404" s="815">
        <v>1</v>
      </c>
      <c r="R404" s="505">
        <f t="shared" ref="R404:R407" si="445">+R$403</f>
        <v>0</v>
      </c>
      <c r="S404" s="815">
        <f t="shared" ref="S404:S407" si="446">P404*AA404*Q404*R404</f>
        <v>0</v>
      </c>
      <c r="T404" s="925" t="s">
        <v>46</v>
      </c>
      <c r="U404" s="1128"/>
      <c r="V404" s="927">
        <f t="shared" ref="V404:V407" si="447">1/VLOOKUP(T404,Y$12:Z$18,2,FALSE)</f>
        <v>1</v>
      </c>
      <c r="W404" s="926">
        <v>1</v>
      </c>
      <c r="X404" s="820">
        <v>0.42</v>
      </c>
      <c r="Y404" s="928">
        <f t="shared" ref="Y404:Y407" si="448">+P404*R404*AA404*X404</f>
        <v>0</v>
      </c>
      <c r="Z404" s="929">
        <f t="shared" ref="Z404:Z407" si="449">S404*U404*V404*W404</f>
        <v>0</v>
      </c>
      <c r="AA404" s="823">
        <v>1</v>
      </c>
      <c r="AC404" s="457">
        <v>1</v>
      </c>
      <c r="AD404" s="457"/>
      <c r="AE404" s="457"/>
      <c r="AF404" s="457"/>
      <c r="AG404" s="824"/>
      <c r="AH404" s="827"/>
      <c r="AI404" s="824"/>
      <c r="AJ404" s="828">
        <f t="shared" ref="AJ404:AJ407" si="450">+Y404</f>
        <v>0</v>
      </c>
      <c r="AK404" s="862"/>
      <c r="AL404" s="828">
        <f t="shared" ref="AL404:AL407" si="451">+Z404</f>
        <v>0</v>
      </c>
      <c r="AM404" s="862"/>
      <c r="AN404" s="824"/>
      <c r="AO404" s="827"/>
      <c r="AQ404" s="930" t="s">
        <v>1602</v>
      </c>
      <c r="AR404" s="923" t="s">
        <v>1625</v>
      </c>
      <c r="AS404" s="948">
        <v>0.42</v>
      </c>
      <c r="AT404" s="1153"/>
      <c r="AV404" s="827"/>
      <c r="AX404" s="505">
        <v>21.54</v>
      </c>
      <c r="AY404" s="1022">
        <v>1.125</v>
      </c>
      <c r="BD404" s="964"/>
      <c r="BF404" s="830"/>
      <c r="BG404" s="936"/>
      <c r="BH404" s="1129" t="s">
        <v>1626</v>
      </c>
      <c r="BI404" s="1104" t="s">
        <v>1627</v>
      </c>
      <c r="BJ404" s="1105"/>
      <c r="BK404" s="1105"/>
      <c r="BL404" s="1105"/>
      <c r="BM404" s="1105">
        <v>2.06</v>
      </c>
      <c r="BN404" s="1151"/>
      <c r="BO404" s="1152"/>
      <c r="BY404" s="936"/>
      <c r="CI404" s="830"/>
    </row>
    <row r="405" spans="1:87" s="747" customFormat="1" ht="13.9" hidden="1" customHeight="1" outlineLevel="1">
      <c r="B405" s="921" t="str">
        <f t="shared" si="442"/>
        <v>SL Vibration Absorber 10.0hp: H1002CC/ HEX1002CC - 7690/11-1 3/8 x 375</v>
      </c>
      <c r="C405" s="922"/>
      <c r="D405" s="923"/>
      <c r="E405" s="808"/>
      <c r="F405" s="809"/>
      <c r="G405" s="809"/>
      <c r="H405" s="924" t="s">
        <v>100</v>
      </c>
      <c r="J405" s="828"/>
      <c r="K405" s="808"/>
      <c r="L405" s="809"/>
      <c r="M405" s="860">
        <v>1</v>
      </c>
      <c r="N405" s="813">
        <f t="shared" si="443"/>
        <v>1</v>
      </c>
      <c r="O405" s="814">
        <v>1</v>
      </c>
      <c r="P405" s="811">
        <f t="shared" si="444"/>
        <v>1</v>
      </c>
      <c r="Q405" s="815">
        <v>1</v>
      </c>
      <c r="R405" s="505">
        <f t="shared" si="445"/>
        <v>0</v>
      </c>
      <c r="S405" s="815">
        <f t="shared" si="446"/>
        <v>0</v>
      </c>
      <c r="T405" s="925" t="s">
        <v>46</v>
      </c>
      <c r="U405" s="1128"/>
      <c r="V405" s="927">
        <f t="shared" si="447"/>
        <v>1</v>
      </c>
      <c r="W405" s="926">
        <v>1</v>
      </c>
      <c r="X405" s="820">
        <v>0.84599999999999997</v>
      </c>
      <c r="Y405" s="928">
        <f t="shared" si="448"/>
        <v>0</v>
      </c>
      <c r="Z405" s="929">
        <f t="shared" si="449"/>
        <v>0</v>
      </c>
      <c r="AA405" s="823"/>
      <c r="AC405" s="457"/>
      <c r="AD405" s="457">
        <v>1</v>
      </c>
      <c r="AE405" s="457"/>
      <c r="AF405" s="457"/>
      <c r="AG405" s="824"/>
      <c r="AH405" s="827"/>
      <c r="AI405" s="824"/>
      <c r="AJ405" s="828">
        <f t="shared" si="450"/>
        <v>0</v>
      </c>
      <c r="AK405" s="862"/>
      <c r="AL405" s="828">
        <f t="shared" si="451"/>
        <v>0</v>
      </c>
      <c r="AM405" s="862"/>
      <c r="AN405" s="824"/>
      <c r="AO405" s="827"/>
      <c r="AQ405" s="930" t="s">
        <v>1604</v>
      </c>
      <c r="AR405" s="923" t="s">
        <v>1628</v>
      </c>
      <c r="AS405" s="948">
        <v>0.84599999999999997</v>
      </c>
      <c r="AT405" s="1153"/>
      <c r="AV405" s="827"/>
      <c r="AX405" s="505">
        <v>28.66</v>
      </c>
      <c r="AY405" s="1022">
        <v>1.375</v>
      </c>
      <c r="BD405" s="964"/>
      <c r="BF405" s="830"/>
      <c r="BG405" s="936"/>
      <c r="BH405" s="1129" t="s">
        <v>1629</v>
      </c>
      <c r="BI405" s="1104" t="s">
        <v>1630</v>
      </c>
      <c r="BJ405" s="1105"/>
      <c r="BK405" s="1105"/>
      <c r="BL405" s="1105"/>
      <c r="BM405" s="1105">
        <v>3.61</v>
      </c>
      <c r="BN405" s="1151"/>
      <c r="BO405" s="1152"/>
      <c r="BY405" s="936"/>
      <c r="CI405" s="830"/>
    </row>
    <row r="406" spans="1:87" s="747" customFormat="1" ht="13.9" hidden="1" customHeight="1" outlineLevel="1">
      <c r="B406" s="921" t="str">
        <f t="shared" si="442"/>
        <v>SL Vibration Absorber 12.5hp: H1201CC/ HEX1201CC - 7690/11-1 3/8 x 375</v>
      </c>
      <c r="C406" s="922"/>
      <c r="D406" s="923"/>
      <c r="E406" s="808"/>
      <c r="F406" s="809"/>
      <c r="G406" s="809"/>
      <c r="H406" s="924" t="s">
        <v>100</v>
      </c>
      <c r="J406" s="828"/>
      <c r="K406" s="808"/>
      <c r="L406" s="809"/>
      <c r="M406" s="860">
        <v>1</v>
      </c>
      <c r="N406" s="813">
        <f t="shared" si="443"/>
        <v>1</v>
      </c>
      <c r="O406" s="814">
        <v>1</v>
      </c>
      <c r="P406" s="811">
        <f t="shared" si="444"/>
        <v>1</v>
      </c>
      <c r="Q406" s="815">
        <v>1</v>
      </c>
      <c r="R406" s="505">
        <f t="shared" si="445"/>
        <v>0</v>
      </c>
      <c r="S406" s="815">
        <f t="shared" si="446"/>
        <v>0</v>
      </c>
      <c r="T406" s="925" t="s">
        <v>46</v>
      </c>
      <c r="U406" s="1128"/>
      <c r="V406" s="927">
        <f t="shared" si="447"/>
        <v>1</v>
      </c>
      <c r="W406" s="926">
        <v>1</v>
      </c>
      <c r="X406" s="820">
        <v>0.84599999999999997</v>
      </c>
      <c r="Y406" s="928">
        <f t="shared" si="448"/>
        <v>0</v>
      </c>
      <c r="Z406" s="929">
        <f t="shared" si="449"/>
        <v>0</v>
      </c>
      <c r="AA406" s="823"/>
      <c r="AC406" s="457"/>
      <c r="AD406" s="457"/>
      <c r="AE406" s="457">
        <v>1</v>
      </c>
      <c r="AF406" s="457"/>
      <c r="AG406" s="824"/>
      <c r="AH406" s="827"/>
      <c r="AI406" s="824"/>
      <c r="AJ406" s="828">
        <f t="shared" si="450"/>
        <v>0</v>
      </c>
      <c r="AK406" s="862"/>
      <c r="AL406" s="828">
        <f t="shared" si="451"/>
        <v>0</v>
      </c>
      <c r="AM406" s="862"/>
      <c r="AN406" s="824"/>
      <c r="AO406" s="827"/>
      <c r="AQ406" s="930" t="s">
        <v>1605</v>
      </c>
      <c r="AR406" s="923" t="s">
        <v>1628</v>
      </c>
      <c r="AS406" s="948">
        <v>0.84599999999999997</v>
      </c>
      <c r="AT406" s="1153"/>
      <c r="AV406" s="827"/>
      <c r="AX406" s="505">
        <v>35.770000000000003</v>
      </c>
      <c r="AY406" s="1022">
        <v>1.375</v>
      </c>
      <c r="BD406" s="964"/>
      <c r="BF406" s="830"/>
      <c r="BG406" s="936"/>
      <c r="BH406" s="1129" t="s">
        <v>1631</v>
      </c>
      <c r="BI406" s="1104" t="s">
        <v>1632</v>
      </c>
      <c r="BJ406" s="1105"/>
      <c r="BK406" s="1105"/>
      <c r="BL406" s="1105"/>
      <c r="BM406" s="1105">
        <v>3.66</v>
      </c>
      <c r="BN406" s="1151"/>
      <c r="BO406" s="1152"/>
      <c r="BY406" s="936"/>
      <c r="CI406" s="830"/>
    </row>
    <row r="407" spans="1:87" s="747" customFormat="1" ht="13.9" hidden="1" customHeight="1" outlineLevel="1">
      <c r="B407" s="921" t="str">
        <f t="shared" si="442"/>
        <v>SL Vibration Absorber 15.0hp: H2001CC/ HEX2001CC - 7690/13-1 5/8 x 430</v>
      </c>
      <c r="C407" s="922"/>
      <c r="D407" s="923"/>
      <c r="E407" s="808"/>
      <c r="F407" s="809"/>
      <c r="G407" s="809"/>
      <c r="H407" s="924" t="s">
        <v>100</v>
      </c>
      <c r="J407" s="828"/>
      <c r="K407" s="808"/>
      <c r="L407" s="809"/>
      <c r="M407" s="860">
        <v>1</v>
      </c>
      <c r="N407" s="813">
        <f t="shared" si="443"/>
        <v>1</v>
      </c>
      <c r="O407" s="814">
        <v>1</v>
      </c>
      <c r="P407" s="811">
        <f t="shared" si="444"/>
        <v>1</v>
      </c>
      <c r="Q407" s="815">
        <v>1</v>
      </c>
      <c r="R407" s="505">
        <f t="shared" si="445"/>
        <v>0</v>
      </c>
      <c r="S407" s="815">
        <f t="shared" si="446"/>
        <v>0</v>
      </c>
      <c r="T407" s="925" t="s">
        <v>46</v>
      </c>
      <c r="U407" s="1128"/>
      <c r="V407" s="927">
        <f t="shared" si="447"/>
        <v>1</v>
      </c>
      <c r="W407" s="926">
        <v>1</v>
      </c>
      <c r="X407" s="820">
        <v>1.0880000000000001</v>
      </c>
      <c r="Y407" s="928">
        <f t="shared" si="448"/>
        <v>0</v>
      </c>
      <c r="Z407" s="929">
        <f t="shared" si="449"/>
        <v>0</v>
      </c>
      <c r="AA407" s="823"/>
      <c r="AC407" s="457"/>
      <c r="AD407" s="457"/>
      <c r="AE407" s="457"/>
      <c r="AF407" s="457">
        <v>1</v>
      </c>
      <c r="AG407" s="824"/>
      <c r="AH407" s="827"/>
      <c r="AI407" s="824"/>
      <c r="AJ407" s="828">
        <f t="shared" si="450"/>
        <v>0</v>
      </c>
      <c r="AK407" s="862"/>
      <c r="AL407" s="828">
        <f t="shared" si="451"/>
        <v>0</v>
      </c>
      <c r="AM407" s="862"/>
      <c r="AN407" s="824"/>
      <c r="AO407" s="827"/>
      <c r="AQ407" s="930" t="s">
        <v>1606</v>
      </c>
      <c r="AR407" s="923" t="s">
        <v>1633</v>
      </c>
      <c r="AS407" s="948">
        <v>1.0880000000000001</v>
      </c>
      <c r="AT407" s="1153"/>
      <c r="AV407" s="827"/>
      <c r="AX407" s="505">
        <v>46.05</v>
      </c>
      <c r="AY407" s="1022">
        <v>1.625</v>
      </c>
      <c r="BD407" s="964"/>
      <c r="BF407" s="830"/>
      <c r="BG407" s="936"/>
      <c r="BH407" s="1129" t="s">
        <v>1634</v>
      </c>
      <c r="BI407" s="1104" t="s">
        <v>1635</v>
      </c>
      <c r="BJ407" s="1105"/>
      <c r="BK407" s="1105"/>
      <c r="BL407" s="1105"/>
      <c r="BM407" s="1105">
        <v>4.7699999999999996</v>
      </c>
      <c r="BN407" s="1151"/>
      <c r="BO407" s="1152"/>
      <c r="BY407" s="936"/>
      <c r="CI407" s="830"/>
    </row>
    <row r="408" spans="1:87" s="370" customFormat="1" ht="15" collapsed="1">
      <c r="B408" s="895" t="s">
        <v>1636</v>
      </c>
      <c r="C408" s="896"/>
      <c r="D408" s="897"/>
      <c r="E408" s="898"/>
      <c r="F408" s="899"/>
      <c r="G408" s="899"/>
      <c r="H408" s="900"/>
      <c r="I408" s="901"/>
      <c r="J408" s="902"/>
      <c r="K408" s="898"/>
      <c r="L408" s="899"/>
      <c r="M408" s="903"/>
      <c r="N408" s="904"/>
      <c r="O408" s="898"/>
      <c r="P408" s="902"/>
      <c r="Q408" s="905"/>
      <c r="R408" s="894">
        <f>+R330+R341</f>
        <v>0</v>
      </c>
      <c r="S408" s="905"/>
      <c r="T408" s="906"/>
      <c r="U408" s="906"/>
      <c r="V408" s="907"/>
      <c r="W408" s="908"/>
      <c r="X408" s="909"/>
      <c r="Y408" s="910">
        <f>SUM(Y409:Y412)</f>
        <v>0</v>
      </c>
      <c r="Z408" s="1069">
        <f>SUM(Z409:Z412)</f>
        <v>0</v>
      </c>
      <c r="AA408" s="911"/>
      <c r="AB408" s="747"/>
      <c r="AC408" s="912"/>
      <c r="AD408" s="912"/>
      <c r="AE408" s="912"/>
      <c r="AF408" s="913"/>
      <c r="AH408" s="521"/>
      <c r="AJ408" s="483"/>
      <c r="AK408" s="522">
        <f>SUM(AJ409:AJ412)</f>
        <v>0</v>
      </c>
      <c r="AL408" s="401"/>
      <c r="AM408" s="523">
        <f>SUM(AL409:AL412)</f>
        <v>0</v>
      </c>
      <c r="AO408" s="521"/>
      <c r="AQ408" s="1155" t="str">
        <f>+B408</f>
        <v>- Discharge Vibration Absorber Pipe</v>
      </c>
      <c r="AR408" s="1070" t="s">
        <v>1624</v>
      </c>
      <c r="AS408" s="916" t="s">
        <v>97</v>
      </c>
      <c r="AT408" s="917" t="s">
        <v>1345</v>
      </c>
      <c r="AV408" s="521"/>
      <c r="AX408" s="918" t="s">
        <v>1433</v>
      </c>
      <c r="AY408" s="919" t="s">
        <v>1437</v>
      </c>
      <c r="AZ408" s="960"/>
      <c r="BA408" s="960"/>
      <c r="BB408" s="960"/>
      <c r="BC408" s="960"/>
      <c r="BD408" s="961"/>
      <c r="BF408" s="524"/>
      <c r="BG408" s="395"/>
      <c r="BH408" s="918" t="s">
        <v>1624</v>
      </c>
      <c r="BI408" s="1127" t="s">
        <v>1556</v>
      </c>
      <c r="BJ408" s="919" t="s">
        <v>1152</v>
      </c>
      <c r="BK408" s="919" t="s">
        <v>1544</v>
      </c>
      <c r="BL408" s="919"/>
      <c r="BM408" s="919" t="s">
        <v>734</v>
      </c>
      <c r="BN408" s="919" t="s">
        <v>1545</v>
      </c>
      <c r="BO408" s="920"/>
      <c r="BP408" s="395"/>
      <c r="BQ408" s="369"/>
      <c r="BR408" s="395"/>
      <c r="BS408" s="369"/>
      <c r="BT408" s="369"/>
      <c r="BU408" s="369"/>
      <c r="BV408" s="369"/>
      <c r="BW408" s="369"/>
      <c r="BX408" s="369"/>
      <c r="BY408" s="369"/>
      <c r="CH408" s="395"/>
      <c r="CI408" s="524"/>
    </row>
    <row r="409" spans="1:87" s="747" customFormat="1" ht="13.9" hidden="1" customHeight="1" outlineLevel="1">
      <c r="B409" s="921" t="str">
        <f t="shared" ref="B409:B412" si="452">"DL Vibration Absorber "&amp;AQ409&amp;" - "&amp;AR409</f>
        <v>DL Vibration Absorber 7.5hp: H705CC/ HEX705CC - 7690/7-7/8 x 290</v>
      </c>
      <c r="C409" s="922"/>
      <c r="D409" s="923"/>
      <c r="E409" s="808"/>
      <c r="F409" s="809"/>
      <c r="G409" s="809"/>
      <c r="H409" s="924" t="s">
        <v>100</v>
      </c>
      <c r="J409" s="828"/>
      <c r="K409" s="808"/>
      <c r="L409" s="809"/>
      <c r="M409" s="860">
        <v>1</v>
      </c>
      <c r="N409" s="813">
        <f t="shared" ref="N409:N412" si="453">IF(I409&gt;0,22/28*((I409/1000)^2-(I409/1000-2*J409/1000)^2)*K409/1000,IF(J409&gt;0,J409/1000*K409/1000*L409/1000, IF(K409&gt;0,K409/1000*L409/1000, IF(L409=0,1,L409/1000))))</f>
        <v>1</v>
      </c>
      <c r="O409" s="814">
        <v>1</v>
      </c>
      <c r="P409" s="811">
        <f t="shared" ref="P409:P412" si="454">M409*N409*O409</f>
        <v>1</v>
      </c>
      <c r="Q409" s="815">
        <v>1</v>
      </c>
      <c r="R409" s="505">
        <f t="shared" ref="R409:R412" si="455">+R$408</f>
        <v>0</v>
      </c>
      <c r="S409" s="815">
        <f t="shared" ref="S409:S412" si="456">P409*AA409*Q409*R409</f>
        <v>0</v>
      </c>
      <c r="T409" s="925" t="s">
        <v>46</v>
      </c>
      <c r="U409" s="1128"/>
      <c r="V409" s="927">
        <f t="shared" ref="V409:V412" si="457">1/VLOOKUP(T409,Y$12:Z$18,2,FALSE)</f>
        <v>1</v>
      </c>
      <c r="W409" s="926">
        <v>1</v>
      </c>
      <c r="X409" s="820">
        <v>0.317</v>
      </c>
      <c r="Y409" s="928">
        <f t="shared" ref="Y409:Y412" si="458">+P409*R409*AA409*X409</f>
        <v>0</v>
      </c>
      <c r="Z409" s="929">
        <f t="shared" ref="Z409:Z412" si="459">S409*U409*V409*W409</f>
        <v>0</v>
      </c>
      <c r="AA409" s="823">
        <v>1</v>
      </c>
      <c r="AC409" s="457">
        <v>1</v>
      </c>
      <c r="AD409" s="457"/>
      <c r="AE409" s="457"/>
      <c r="AF409" s="457"/>
      <c r="AG409" s="824"/>
      <c r="AH409" s="827"/>
      <c r="AI409" s="824"/>
      <c r="AJ409" s="828">
        <f t="shared" ref="AJ409:AJ412" si="460">+Y409</f>
        <v>0</v>
      </c>
      <c r="AK409" s="862"/>
      <c r="AL409" s="828">
        <f t="shared" ref="AL409:AL412" si="461">+Z409</f>
        <v>0</v>
      </c>
      <c r="AM409" s="862"/>
      <c r="AN409" s="824"/>
      <c r="AO409" s="827"/>
      <c r="AQ409" s="930" t="s">
        <v>1602</v>
      </c>
      <c r="AR409" s="923" t="s">
        <v>1637</v>
      </c>
      <c r="AS409" s="948">
        <v>0.317</v>
      </c>
      <c r="AT409" s="1153"/>
      <c r="AV409" s="827"/>
      <c r="AX409" s="505">
        <v>21.54</v>
      </c>
      <c r="AY409" s="1022">
        <v>0.875</v>
      </c>
      <c r="BD409" s="964"/>
      <c r="BF409" s="830"/>
      <c r="BG409" s="936"/>
      <c r="BH409" s="1129" t="s">
        <v>1626</v>
      </c>
      <c r="BI409" s="1104" t="s">
        <v>1627</v>
      </c>
      <c r="BJ409" s="1105"/>
      <c r="BK409" s="1105"/>
      <c r="BL409" s="1105"/>
      <c r="BM409" s="1105">
        <v>2.06</v>
      </c>
      <c r="BN409" s="1151"/>
      <c r="BO409" s="1152"/>
      <c r="BY409" s="936"/>
      <c r="CI409" s="830"/>
    </row>
    <row r="410" spans="1:87" s="747" customFormat="1" ht="13.9" hidden="1" customHeight="1" outlineLevel="1">
      <c r="B410" s="921" t="str">
        <f t="shared" si="452"/>
        <v>DL Vibration Absorber 10.0hp: H1002CC/ HEX1002CC - 7690/7-7/8 x 290</v>
      </c>
      <c r="C410" s="922"/>
      <c r="D410" s="923"/>
      <c r="E410" s="808"/>
      <c r="F410" s="809"/>
      <c r="G410" s="809"/>
      <c r="H410" s="924" t="s">
        <v>100</v>
      </c>
      <c r="J410" s="828"/>
      <c r="K410" s="808"/>
      <c r="L410" s="809"/>
      <c r="M410" s="860">
        <v>1</v>
      </c>
      <c r="N410" s="813">
        <f t="shared" si="453"/>
        <v>1</v>
      </c>
      <c r="O410" s="814">
        <v>1</v>
      </c>
      <c r="P410" s="811">
        <f t="shared" si="454"/>
        <v>1</v>
      </c>
      <c r="Q410" s="815">
        <v>1</v>
      </c>
      <c r="R410" s="505">
        <f t="shared" si="455"/>
        <v>0</v>
      </c>
      <c r="S410" s="815">
        <f t="shared" si="456"/>
        <v>0</v>
      </c>
      <c r="T410" s="925" t="s">
        <v>46</v>
      </c>
      <c r="U410" s="1128"/>
      <c r="V410" s="927">
        <f t="shared" si="457"/>
        <v>1</v>
      </c>
      <c r="W410" s="926">
        <v>1</v>
      </c>
      <c r="X410" s="820">
        <v>0.317</v>
      </c>
      <c r="Y410" s="928">
        <f t="shared" si="458"/>
        <v>0</v>
      </c>
      <c r="Z410" s="929">
        <f t="shared" si="459"/>
        <v>0</v>
      </c>
      <c r="AA410" s="823"/>
      <c r="AC410" s="457"/>
      <c r="AD410" s="457">
        <v>1</v>
      </c>
      <c r="AE410" s="457"/>
      <c r="AF410" s="457"/>
      <c r="AG410" s="824"/>
      <c r="AH410" s="827"/>
      <c r="AI410" s="824"/>
      <c r="AJ410" s="828">
        <f t="shared" si="460"/>
        <v>0</v>
      </c>
      <c r="AK410" s="862"/>
      <c r="AL410" s="828">
        <f t="shared" si="461"/>
        <v>0</v>
      </c>
      <c r="AM410" s="862"/>
      <c r="AN410" s="824"/>
      <c r="AO410" s="827"/>
      <c r="AQ410" s="930" t="s">
        <v>1604</v>
      </c>
      <c r="AR410" s="923" t="s">
        <v>1637</v>
      </c>
      <c r="AS410" s="948">
        <v>0.317</v>
      </c>
      <c r="AT410" s="1153"/>
      <c r="AV410" s="827"/>
      <c r="AX410" s="505">
        <v>28.66</v>
      </c>
      <c r="AY410" s="1022">
        <v>0.875</v>
      </c>
      <c r="BD410" s="964"/>
      <c r="BF410" s="830"/>
      <c r="BG410" s="936"/>
      <c r="BH410" s="1129" t="s">
        <v>1629</v>
      </c>
      <c r="BI410" s="1104" t="s">
        <v>1630</v>
      </c>
      <c r="BJ410" s="1105"/>
      <c r="BK410" s="1105"/>
      <c r="BL410" s="1105"/>
      <c r="BM410" s="1105">
        <v>3.61</v>
      </c>
      <c r="BN410" s="1151"/>
      <c r="BO410" s="1152"/>
      <c r="BY410" s="936"/>
      <c r="CI410" s="830"/>
    </row>
    <row r="411" spans="1:87" s="747" customFormat="1" ht="13.9" hidden="1" customHeight="1" outlineLevel="1">
      <c r="B411" s="921" t="str">
        <f t="shared" si="452"/>
        <v>DL Vibration Absorber 12.5hp: H1201CC/ HEX1201CC - 7690/9-1 1/8 x 330</v>
      </c>
      <c r="C411" s="922"/>
      <c r="D411" s="923"/>
      <c r="E411" s="808"/>
      <c r="F411" s="809"/>
      <c r="G411" s="809"/>
      <c r="H411" s="924" t="s">
        <v>100</v>
      </c>
      <c r="J411" s="828"/>
      <c r="K411" s="808"/>
      <c r="L411" s="809"/>
      <c r="M411" s="860">
        <v>1</v>
      </c>
      <c r="N411" s="813">
        <f t="shared" si="453"/>
        <v>1</v>
      </c>
      <c r="O411" s="814">
        <v>1</v>
      </c>
      <c r="P411" s="811">
        <f t="shared" si="454"/>
        <v>1</v>
      </c>
      <c r="Q411" s="815">
        <v>1</v>
      </c>
      <c r="R411" s="505">
        <f t="shared" si="455"/>
        <v>0</v>
      </c>
      <c r="S411" s="815">
        <f t="shared" si="456"/>
        <v>0</v>
      </c>
      <c r="T411" s="925" t="s">
        <v>46</v>
      </c>
      <c r="U411" s="1128"/>
      <c r="V411" s="927">
        <f t="shared" si="457"/>
        <v>1</v>
      </c>
      <c r="W411" s="926">
        <v>1</v>
      </c>
      <c r="X411" s="820">
        <v>0.42</v>
      </c>
      <c r="Y411" s="928">
        <f t="shared" si="458"/>
        <v>0</v>
      </c>
      <c r="Z411" s="929">
        <f t="shared" si="459"/>
        <v>0</v>
      </c>
      <c r="AA411" s="823"/>
      <c r="AC411" s="457"/>
      <c r="AD411" s="457"/>
      <c r="AE411" s="457">
        <v>1</v>
      </c>
      <c r="AF411" s="457"/>
      <c r="AG411" s="824"/>
      <c r="AH411" s="827"/>
      <c r="AI411" s="824"/>
      <c r="AJ411" s="828">
        <f t="shared" si="460"/>
        <v>0</v>
      </c>
      <c r="AK411" s="862"/>
      <c r="AL411" s="828">
        <f t="shared" si="461"/>
        <v>0</v>
      </c>
      <c r="AM411" s="862"/>
      <c r="AN411" s="824"/>
      <c r="AO411" s="827"/>
      <c r="AQ411" s="930" t="s">
        <v>1605</v>
      </c>
      <c r="AR411" s="923" t="s">
        <v>1625</v>
      </c>
      <c r="AS411" s="948">
        <v>0.42</v>
      </c>
      <c r="AT411" s="1153"/>
      <c r="AV411" s="827"/>
      <c r="AX411" s="505">
        <v>35.770000000000003</v>
      </c>
      <c r="AY411" s="1022">
        <v>1.125</v>
      </c>
      <c r="BD411" s="964"/>
      <c r="BF411" s="830"/>
      <c r="BG411" s="936"/>
      <c r="BH411" s="1129" t="s">
        <v>1631</v>
      </c>
      <c r="BI411" s="1104" t="s">
        <v>1632</v>
      </c>
      <c r="BJ411" s="1105"/>
      <c r="BK411" s="1105"/>
      <c r="BL411" s="1105"/>
      <c r="BM411" s="1105">
        <v>3.66</v>
      </c>
      <c r="BN411" s="1151"/>
      <c r="BO411" s="1152"/>
      <c r="BY411" s="936"/>
      <c r="CI411" s="830"/>
    </row>
    <row r="412" spans="1:87" s="747" customFormat="1" ht="13.9" hidden="1" customHeight="1" outlineLevel="1">
      <c r="B412" s="921" t="str">
        <f t="shared" si="452"/>
        <v>DL Vibration Absorber 15.0hp: H2001CC/ HEX2001CC - 7690/9-1 1/8 x 330</v>
      </c>
      <c r="C412" s="922"/>
      <c r="D412" s="923"/>
      <c r="E412" s="808"/>
      <c r="F412" s="809"/>
      <c r="G412" s="809"/>
      <c r="H412" s="924" t="s">
        <v>100</v>
      </c>
      <c r="J412" s="828"/>
      <c r="K412" s="808"/>
      <c r="L412" s="809"/>
      <c r="M412" s="860">
        <v>1</v>
      </c>
      <c r="N412" s="813">
        <f t="shared" si="453"/>
        <v>1</v>
      </c>
      <c r="O412" s="814">
        <v>1</v>
      </c>
      <c r="P412" s="811">
        <f t="shared" si="454"/>
        <v>1</v>
      </c>
      <c r="Q412" s="815">
        <v>1</v>
      </c>
      <c r="R412" s="505">
        <f t="shared" si="455"/>
        <v>0</v>
      </c>
      <c r="S412" s="815">
        <f t="shared" si="456"/>
        <v>0</v>
      </c>
      <c r="T412" s="925" t="s">
        <v>46</v>
      </c>
      <c r="U412" s="1128"/>
      <c r="V412" s="927">
        <f t="shared" si="457"/>
        <v>1</v>
      </c>
      <c r="W412" s="926">
        <v>1</v>
      </c>
      <c r="X412" s="820">
        <v>0.42</v>
      </c>
      <c r="Y412" s="928">
        <f t="shared" si="458"/>
        <v>0</v>
      </c>
      <c r="Z412" s="929">
        <f t="shared" si="459"/>
        <v>0</v>
      </c>
      <c r="AA412" s="823"/>
      <c r="AC412" s="457"/>
      <c r="AD412" s="457"/>
      <c r="AE412" s="457"/>
      <c r="AF412" s="457">
        <v>1</v>
      </c>
      <c r="AG412" s="824"/>
      <c r="AH412" s="827"/>
      <c r="AI412" s="824"/>
      <c r="AJ412" s="828">
        <f t="shared" si="460"/>
        <v>0</v>
      </c>
      <c r="AK412" s="862"/>
      <c r="AL412" s="828">
        <f t="shared" si="461"/>
        <v>0</v>
      </c>
      <c r="AM412" s="862"/>
      <c r="AN412" s="824"/>
      <c r="AO412" s="827"/>
      <c r="AQ412" s="930" t="s">
        <v>1606</v>
      </c>
      <c r="AR412" s="923" t="s">
        <v>1625</v>
      </c>
      <c r="AS412" s="948">
        <v>0.42</v>
      </c>
      <c r="AT412" s="1153"/>
      <c r="AV412" s="827"/>
      <c r="AX412" s="505">
        <v>46.05</v>
      </c>
      <c r="AY412" s="1022">
        <v>1.125</v>
      </c>
      <c r="BD412" s="964"/>
      <c r="BF412" s="830"/>
      <c r="BG412" s="936"/>
      <c r="BH412" s="1129" t="s">
        <v>1634</v>
      </c>
      <c r="BI412" s="1104" t="s">
        <v>1635</v>
      </c>
      <c r="BJ412" s="1105"/>
      <c r="BK412" s="1105"/>
      <c r="BL412" s="1105"/>
      <c r="BM412" s="1105">
        <v>4.7699999999999996</v>
      </c>
      <c r="BN412" s="1151"/>
      <c r="BO412" s="1152"/>
      <c r="BY412" s="936"/>
      <c r="CI412" s="830"/>
    </row>
    <row r="413" spans="1:87" s="370" customFormat="1" ht="15" collapsed="1">
      <c r="A413" s="369"/>
      <c r="B413" s="783" t="s">
        <v>1638</v>
      </c>
      <c r="C413" s="784"/>
      <c r="D413" s="785"/>
      <c r="E413" s="786"/>
      <c r="F413" s="787"/>
      <c r="G413" s="787"/>
      <c r="H413" s="788" t="s">
        <v>30</v>
      </c>
      <c r="I413" s="789" t="s">
        <v>1162</v>
      </c>
      <c r="J413" s="790" t="s">
        <v>1071</v>
      </c>
      <c r="K413" s="786" t="s">
        <v>1072</v>
      </c>
      <c r="L413" s="787" t="s">
        <v>21</v>
      </c>
      <c r="M413" s="791" t="s">
        <v>82</v>
      </c>
      <c r="N413" s="839" t="s">
        <v>1163</v>
      </c>
      <c r="O413" s="786" t="s">
        <v>1154</v>
      </c>
      <c r="P413" s="790" t="s">
        <v>1164</v>
      </c>
      <c r="Q413" s="793" t="s">
        <v>34</v>
      </c>
      <c r="R413" s="791">
        <v>1</v>
      </c>
      <c r="S413" s="793" t="s">
        <v>13</v>
      </c>
      <c r="T413" s="794" t="s">
        <v>128</v>
      </c>
      <c r="U413" s="794" t="s">
        <v>111</v>
      </c>
      <c r="V413" s="795" t="s">
        <v>32</v>
      </c>
      <c r="W413" s="796" t="s">
        <v>33</v>
      </c>
      <c r="X413" s="797"/>
      <c r="Y413" s="798"/>
      <c r="Z413" s="799"/>
      <c r="AA413" s="800" t="str">
        <f>+AA$2</f>
        <v>SCU75M1</v>
      </c>
      <c r="AB413" s="747"/>
      <c r="AC413" s="801" t="str">
        <f>+AC$2</f>
        <v>SCU75M1</v>
      </c>
      <c r="AD413" s="801" t="str">
        <f>+AD$2</f>
        <v>SCU100M1</v>
      </c>
      <c r="AE413" s="801" t="str">
        <f>+AE$2</f>
        <v>SCU125M1</v>
      </c>
      <c r="AF413" s="802" t="str">
        <f>+AF$2</f>
        <v>SCU150M1</v>
      </c>
      <c r="AH413" s="521"/>
      <c r="AJ413" s="483"/>
      <c r="AK413" s="522"/>
      <c r="AL413" s="401"/>
      <c r="AM413" s="523"/>
      <c r="AO413" s="521"/>
      <c r="AQ413" s="369"/>
      <c r="AR413" s="418"/>
      <c r="AS413" s="483"/>
      <c r="AT413" s="418"/>
      <c r="AV413" s="521"/>
      <c r="AX413" s="395"/>
      <c r="AY413" s="395"/>
      <c r="AZ413" s="395"/>
      <c r="BA413" s="395"/>
      <c r="BB413" s="395"/>
      <c r="BC413" s="369"/>
      <c r="BD413" s="395"/>
      <c r="BE413" s="395"/>
      <c r="BF413" s="524"/>
      <c r="BG413" s="395"/>
      <c r="BH413" s="395"/>
      <c r="BI413" s="369"/>
      <c r="BJ413" s="395"/>
      <c r="BK413" s="395"/>
      <c r="BL413" s="395"/>
      <c r="BM413" s="395"/>
      <c r="BN413" s="395"/>
      <c r="BO413" s="395"/>
      <c r="BP413" s="395"/>
      <c r="BQ413" s="369"/>
      <c r="BR413" s="369"/>
      <c r="BS413" s="395"/>
      <c r="BT413" s="369"/>
      <c r="BU413" s="369"/>
      <c r="BV413" s="369"/>
      <c r="BW413" s="369"/>
      <c r="BX413" s="369"/>
      <c r="BY413" s="369"/>
      <c r="CH413" s="395"/>
      <c r="CI413" s="511"/>
    </row>
    <row r="414" spans="1:87" s="747" customFormat="1" ht="15">
      <c r="A414" s="370"/>
      <c r="B414" s="895" t="s">
        <v>1639</v>
      </c>
      <c r="C414" s="896"/>
      <c r="D414" s="897"/>
      <c r="E414" s="898"/>
      <c r="F414" s="899"/>
      <c r="G414" s="899"/>
      <c r="H414" s="900"/>
      <c r="I414" s="901"/>
      <c r="J414" s="902"/>
      <c r="K414" s="898"/>
      <c r="L414" s="899"/>
      <c r="M414" s="903"/>
      <c r="N414" s="904"/>
      <c r="O414" s="898"/>
      <c r="P414" s="902"/>
      <c r="Q414" s="905"/>
      <c r="R414" s="903"/>
      <c r="S414" s="905"/>
      <c r="T414" s="906"/>
      <c r="U414" s="906"/>
      <c r="V414" s="907"/>
      <c r="W414" s="908"/>
      <c r="X414" s="909"/>
      <c r="Y414" s="910">
        <f>SUM(Y415:Y415)</f>
        <v>0.2</v>
      </c>
      <c r="Z414" s="1069">
        <f>SUM(Z415:Z415)</f>
        <v>8.5679999999999996</v>
      </c>
      <c r="AA414" s="911"/>
      <c r="AC414" s="912"/>
      <c r="AD414" s="912"/>
      <c r="AE414" s="912"/>
      <c r="AF414" s="913"/>
      <c r="AG414" s="370"/>
      <c r="AH414" s="521"/>
      <c r="AI414" s="370"/>
      <c r="AJ414" s="483"/>
      <c r="AK414" s="522">
        <f>SUM(AJ415:AJ415)</f>
        <v>0.2</v>
      </c>
      <c r="AL414" s="401"/>
      <c r="AM414" s="523">
        <f>SUM(AL415:AL415)</f>
        <v>8.5679999999999996</v>
      </c>
      <c r="AN414" s="370"/>
      <c r="AO414" s="830"/>
      <c r="AP414" s="370"/>
      <c r="AQ414" s="370"/>
      <c r="AR414" s="479"/>
      <c r="AS414" s="522"/>
      <c r="AT414" s="479"/>
      <c r="AU414" s="370"/>
      <c r="AV414" s="830"/>
      <c r="AW414" s="370"/>
      <c r="AX414" s="370"/>
      <c r="AY414" s="370"/>
      <c r="AZ414" s="370"/>
      <c r="BA414" s="370"/>
      <c r="BB414" s="370"/>
      <c r="BC414" s="370"/>
      <c r="BD414" s="370"/>
      <c r="BE414" s="370"/>
      <c r="BF414" s="524"/>
      <c r="BG414" s="370"/>
      <c r="BH414" s="370"/>
      <c r="BI414" s="370"/>
      <c r="BJ414" s="370"/>
      <c r="BK414" s="370"/>
      <c r="BL414" s="370"/>
      <c r="BM414" s="370"/>
      <c r="BN414" s="370"/>
      <c r="BO414" s="370"/>
      <c r="BP414" s="370"/>
      <c r="BQ414" s="370"/>
      <c r="BR414" s="370"/>
      <c r="BS414" s="370"/>
      <c r="BT414" s="369"/>
      <c r="BU414" s="401"/>
      <c r="BV414" s="369"/>
      <c r="BW414" s="369"/>
      <c r="BX414" s="369"/>
      <c r="BY414" s="370"/>
      <c r="BZ414" s="369"/>
      <c r="CH414" s="370"/>
      <c r="CI414" s="521"/>
    </row>
    <row r="415" spans="1:87" s="747" customFormat="1" ht="13.9" hidden="1" customHeight="1" outlineLevel="1">
      <c r="B415" s="1015" t="s">
        <v>1640</v>
      </c>
      <c r="C415" s="1015"/>
      <c r="D415" s="1186"/>
      <c r="E415" s="1187"/>
      <c r="F415" s="1188"/>
      <c r="G415" s="1188"/>
      <c r="H415" s="988" t="s">
        <v>100</v>
      </c>
      <c r="I415" s="1189"/>
      <c r="J415" s="989"/>
      <c r="K415" s="990"/>
      <c r="L415" s="987"/>
      <c r="M415" s="992">
        <v>1</v>
      </c>
      <c r="N415" s="993">
        <f>IF(I415&gt;0,22/28*((I415/1000)^2-(I415/1000-2*J415/1000)^2)*K415/1000,IF(J415&gt;0,J415/1000*K415/1000*L415/1000, IF(K415&gt;0,K415/1000*L415/1000, IF(L415=0,1,L415/1000))))</f>
        <v>1</v>
      </c>
      <c r="O415" s="994">
        <v>1</v>
      </c>
      <c r="P415" s="989">
        <f>M415*N415*O415</f>
        <v>1</v>
      </c>
      <c r="Q415" s="1007">
        <v>1</v>
      </c>
      <c r="R415" s="996">
        <f t="shared" ref="R415" si="462">+R$413</f>
        <v>1</v>
      </c>
      <c r="S415" s="1007">
        <f>P415*AA415*Q415*R415</f>
        <v>1</v>
      </c>
      <c r="T415" s="1020" t="s">
        <v>46</v>
      </c>
      <c r="U415" s="1019">
        <v>5.7119999999999997</v>
      </c>
      <c r="V415" s="1190">
        <f>1/VLOOKUP(T415,Y$12:Z$18,2,FALSE)</f>
        <v>1</v>
      </c>
      <c r="W415" s="989">
        <v>1.5</v>
      </c>
      <c r="X415" s="820">
        <v>0.2</v>
      </c>
      <c r="Y415" s="1191">
        <f>+P415*R415*AA415*X415</f>
        <v>0.2</v>
      </c>
      <c r="Z415" s="929">
        <f>S415*U415*V415*W415</f>
        <v>8.5679999999999996</v>
      </c>
      <c r="AA415" s="823">
        <v>1</v>
      </c>
      <c r="AC415" s="1005">
        <v>1</v>
      </c>
      <c r="AD415" s="1005">
        <v>1</v>
      </c>
      <c r="AE415" s="1005">
        <v>1</v>
      </c>
      <c r="AF415" s="1005">
        <v>1</v>
      </c>
      <c r="AH415" s="827"/>
      <c r="AI415" s="824"/>
      <c r="AJ415" s="828">
        <f t="shared" ref="AJ415:AJ439" si="463">+Y415</f>
        <v>0.2</v>
      </c>
      <c r="AK415" s="862"/>
      <c r="AL415" s="828">
        <f t="shared" ref="AL415:AL439" si="464">+Z415</f>
        <v>8.5679999999999996</v>
      </c>
      <c r="AM415" s="862"/>
      <c r="AN415" s="824"/>
      <c r="AO415" s="830"/>
      <c r="AS415" s="828"/>
      <c r="AV415" s="830"/>
      <c r="BF415" s="830"/>
      <c r="BI415" s="824"/>
      <c r="CI415" s="830"/>
    </row>
    <row r="416" spans="1:87" s="747" customFormat="1" ht="15" collapsed="1">
      <c r="A416" s="370"/>
      <c r="B416" s="895" t="s">
        <v>1641</v>
      </c>
      <c r="C416" s="896"/>
      <c r="D416" s="897"/>
      <c r="E416" s="898"/>
      <c r="F416" s="899"/>
      <c r="G416" s="899"/>
      <c r="H416" s="900"/>
      <c r="I416" s="901"/>
      <c r="J416" s="902"/>
      <c r="K416" s="898"/>
      <c r="L416" s="899"/>
      <c r="M416" s="903"/>
      <c r="N416" s="904"/>
      <c r="O416" s="898"/>
      <c r="P416" s="902"/>
      <c r="Q416" s="905"/>
      <c r="R416" s="903"/>
      <c r="S416" s="905"/>
      <c r="T416" s="906"/>
      <c r="U416" s="906"/>
      <c r="V416" s="907"/>
      <c r="W416" s="908"/>
      <c r="X416" s="909"/>
      <c r="Y416" s="910">
        <f>SUM(Y417:Y420)</f>
        <v>0.34</v>
      </c>
      <c r="Z416" s="1069">
        <f>SUM(Z417:Z420)</f>
        <v>18.213461538461541</v>
      </c>
      <c r="AA416" s="911"/>
      <c r="AC416" s="912"/>
      <c r="AD416" s="912"/>
      <c r="AE416" s="912"/>
      <c r="AF416" s="913"/>
      <c r="AG416" s="370"/>
      <c r="AH416" s="521"/>
      <c r="AI416" s="370"/>
      <c r="AJ416" s="483"/>
      <c r="AK416" s="522">
        <f>SUM(AJ417:AJ420)</f>
        <v>0.34</v>
      </c>
      <c r="AL416" s="401"/>
      <c r="AM416" s="523">
        <f>SUM(AL417:AL420)</f>
        <v>18.213461538461541</v>
      </c>
      <c r="AN416" s="479"/>
      <c r="AO416" s="830"/>
      <c r="AP416" s="370"/>
      <c r="AQ416" s="1155" t="str">
        <f>+B416</f>
        <v>- Contactor Protection: Compressor</v>
      </c>
      <c r="AR416" s="1070" t="s">
        <v>1642</v>
      </c>
      <c r="AS416" s="916" t="s">
        <v>97</v>
      </c>
      <c r="AT416" s="917" t="s">
        <v>1345</v>
      </c>
      <c r="AU416" s="370"/>
      <c r="AV416" s="830"/>
      <c r="AW416" s="370"/>
      <c r="AX416" s="918" t="s">
        <v>1494</v>
      </c>
      <c r="AY416" s="919" t="s">
        <v>1434</v>
      </c>
      <c r="AZ416" s="919" t="s">
        <v>1347</v>
      </c>
      <c r="BA416" s="919" t="s">
        <v>1643</v>
      </c>
      <c r="BB416" s="1192"/>
      <c r="BC416" s="1192"/>
      <c r="BD416" s="1193"/>
      <c r="BF416" s="524"/>
      <c r="BG416" s="369"/>
      <c r="BH416" s="918" t="s">
        <v>1644</v>
      </c>
      <c r="BI416" s="919"/>
      <c r="BJ416" s="919" t="s">
        <v>1152</v>
      </c>
      <c r="BK416" s="919" t="s">
        <v>164</v>
      </c>
      <c r="BL416" s="919" t="s">
        <v>97</v>
      </c>
      <c r="BM416" s="919" t="s">
        <v>1545</v>
      </c>
      <c r="BN416" s="919"/>
      <c r="BO416" s="920"/>
      <c r="BP416" s="369"/>
      <c r="BQ416" s="369"/>
      <c r="BR416" s="369"/>
      <c r="BS416" s="369"/>
      <c r="BT416" s="369"/>
      <c r="BU416" s="369"/>
      <c r="BV416" s="369"/>
      <c r="BW416" s="369"/>
      <c r="BX416" s="369"/>
      <c r="BY416" s="369"/>
      <c r="BZ416" s="369"/>
      <c r="CA416" s="369"/>
      <c r="CH416" s="369"/>
      <c r="CI416" s="524"/>
    </row>
    <row r="417" spans="1:93" s="747" customFormat="1" ht="13.9" hidden="1" customHeight="1" outlineLevel="1">
      <c r="B417" s="921" t="str">
        <f t="shared" ref="B417:B428" si="465">"Contactor "&amp;AQ417&amp;" - "&amp;AR417</f>
        <v>Contactor 7.5hp: ZR94/H705 - LC1E16</v>
      </c>
      <c r="C417" s="922"/>
      <c r="D417" s="923"/>
      <c r="E417" s="808"/>
      <c r="F417" s="809"/>
      <c r="G417" s="1053"/>
      <c r="H417" s="924" t="s">
        <v>100</v>
      </c>
      <c r="I417" s="1081"/>
      <c r="J417" s="828"/>
      <c r="K417" s="808"/>
      <c r="L417" s="809"/>
      <c r="M417" s="860">
        <v>1</v>
      </c>
      <c r="N417" s="813">
        <f t="shared" ref="N417:N420" si="466">IF(I417&gt;0,22/28*((I417/1000)^2-(I417/1000-2*J417/1000)^2)*K417/1000,IF(J417&gt;0,J417/1000*K417/1000*L417/1000, IF(K417&gt;0,K417/1000*L417/1000, IF(L417=0,1,L417/1000))))</f>
        <v>1</v>
      </c>
      <c r="O417" s="814">
        <v>1</v>
      </c>
      <c r="P417" s="811">
        <f t="shared" ref="P417:P420" si="467">M417*N417*O417</f>
        <v>1</v>
      </c>
      <c r="Q417" s="815">
        <v>1</v>
      </c>
      <c r="R417" s="505">
        <f t="shared" ref="R417:R428" si="468">+R$413</f>
        <v>1</v>
      </c>
      <c r="S417" s="815">
        <f t="shared" ref="S417:S439" si="469">P417*AA417*Q417*R417</f>
        <v>1</v>
      </c>
      <c r="T417" s="925" t="s">
        <v>46</v>
      </c>
      <c r="U417" s="811">
        <v>17.346153846153847</v>
      </c>
      <c r="V417" s="927">
        <f t="shared" ref="V417:V420" si="470">1/VLOOKUP(T417,Y$12:Z$18,2,FALSE)</f>
        <v>1</v>
      </c>
      <c r="W417" s="926">
        <v>1.05</v>
      </c>
      <c r="X417" s="820">
        <v>0.34</v>
      </c>
      <c r="Y417" s="928">
        <f t="shared" ref="Y417:Y420" si="471">+P417*R417*AA417*X417</f>
        <v>0.34</v>
      </c>
      <c r="Z417" s="929">
        <f t="shared" ref="Z417:Z420" si="472">S417*U417*V417*W417</f>
        <v>18.213461538461541</v>
      </c>
      <c r="AA417" s="823">
        <v>1</v>
      </c>
      <c r="AC417" s="457">
        <v>1</v>
      </c>
      <c r="AD417" s="457"/>
      <c r="AE417" s="457"/>
      <c r="AF417" s="457"/>
      <c r="AH417" s="827"/>
      <c r="AI417" s="824"/>
      <c r="AJ417" s="828">
        <f t="shared" si="463"/>
        <v>0.34</v>
      </c>
      <c r="AK417" s="862"/>
      <c r="AL417" s="828">
        <f t="shared" si="464"/>
        <v>18.213461538461541</v>
      </c>
      <c r="AM417" s="862"/>
      <c r="AN417" s="824"/>
      <c r="AO417" s="830"/>
      <c r="AQ417" s="930" t="s">
        <v>1645</v>
      </c>
      <c r="AR417" s="923" t="s">
        <v>1131</v>
      </c>
      <c r="AS417" s="948">
        <v>0.34</v>
      </c>
      <c r="AT417" s="1194">
        <v>17.346153846153847</v>
      </c>
      <c r="AV417" s="830"/>
      <c r="AX417" s="1195">
        <v>1.5</v>
      </c>
      <c r="AY417" s="841">
        <v>6.95</v>
      </c>
      <c r="AZ417" s="841">
        <v>12.83</v>
      </c>
      <c r="BA417" s="1196">
        <v>10.9</v>
      </c>
      <c r="BD417" s="964"/>
      <c r="BF417" s="830"/>
      <c r="BH417" s="1129" t="s">
        <v>1135</v>
      </c>
      <c r="BI417" s="1095"/>
      <c r="BJ417" s="1095">
        <v>37</v>
      </c>
      <c r="BK417" s="1109">
        <v>65</v>
      </c>
      <c r="BL417" s="1109">
        <v>1.3</v>
      </c>
      <c r="BM417" s="1197">
        <v>74.115384615384613</v>
      </c>
      <c r="BN417" s="1198"/>
      <c r="BO417" s="1152"/>
      <c r="CI417" s="938"/>
    </row>
    <row r="418" spans="1:93" s="747" customFormat="1" ht="13.9" hidden="1" customHeight="1" outlineLevel="1">
      <c r="B418" s="921" t="str">
        <f t="shared" si="465"/>
        <v>Contactor 10.0hp: ZR125/H1002 - LC1E25</v>
      </c>
      <c r="C418" s="922"/>
      <c r="D418" s="923"/>
      <c r="E418" s="808"/>
      <c r="F418" s="809"/>
      <c r="G418" s="1053"/>
      <c r="H418" s="924" t="s">
        <v>100</v>
      </c>
      <c r="J418" s="828"/>
      <c r="K418" s="808"/>
      <c r="L418" s="809"/>
      <c r="M418" s="860">
        <v>1</v>
      </c>
      <c r="N418" s="813">
        <f t="shared" si="466"/>
        <v>1</v>
      </c>
      <c r="O418" s="814">
        <v>1</v>
      </c>
      <c r="P418" s="811">
        <f t="shared" si="467"/>
        <v>1</v>
      </c>
      <c r="Q418" s="815">
        <v>1</v>
      </c>
      <c r="R418" s="505">
        <f t="shared" si="468"/>
        <v>1</v>
      </c>
      <c r="S418" s="815">
        <f t="shared" si="469"/>
        <v>0</v>
      </c>
      <c r="T418" s="925" t="s">
        <v>46</v>
      </c>
      <c r="U418" s="811">
        <v>22.076923076923077</v>
      </c>
      <c r="V418" s="927">
        <f t="shared" si="470"/>
        <v>1</v>
      </c>
      <c r="W418" s="926">
        <v>1.05</v>
      </c>
      <c r="X418" s="820">
        <v>0.52</v>
      </c>
      <c r="Y418" s="928">
        <f t="shared" si="471"/>
        <v>0</v>
      </c>
      <c r="Z418" s="929">
        <f t="shared" si="472"/>
        <v>0</v>
      </c>
      <c r="AA418" s="823"/>
      <c r="AC418" s="457"/>
      <c r="AD418" s="457">
        <v>1</v>
      </c>
      <c r="AE418" s="457"/>
      <c r="AF418" s="457"/>
      <c r="AH418" s="827"/>
      <c r="AI418" s="824"/>
      <c r="AJ418" s="828">
        <f t="shared" si="463"/>
        <v>0</v>
      </c>
      <c r="AK418" s="862"/>
      <c r="AL418" s="828">
        <f t="shared" si="464"/>
        <v>0</v>
      </c>
      <c r="AM418" s="862"/>
      <c r="AN418" s="824"/>
      <c r="AO418" s="830"/>
      <c r="AQ418" s="930" t="s">
        <v>1646</v>
      </c>
      <c r="AR418" s="923" t="s">
        <v>1132</v>
      </c>
      <c r="AS418" s="948">
        <v>0.52</v>
      </c>
      <c r="AT418" s="1194">
        <v>22.076923076923077</v>
      </c>
      <c r="AV418" s="830"/>
      <c r="AX418" s="1195">
        <v>2.5</v>
      </c>
      <c r="AY418" s="841">
        <v>8.9499999999999993</v>
      </c>
      <c r="AZ418" s="841">
        <v>16</v>
      </c>
      <c r="BA418" s="1196">
        <v>16.3</v>
      </c>
      <c r="BD418" s="964"/>
      <c r="BF418" s="830"/>
      <c r="BH418" s="1129" t="s">
        <v>1136</v>
      </c>
      <c r="BI418" s="1095"/>
      <c r="BJ418" s="1095">
        <v>45</v>
      </c>
      <c r="BK418" s="1109">
        <v>95</v>
      </c>
      <c r="BL418" s="1105">
        <v>1.6</v>
      </c>
      <c r="BM418" s="1197">
        <v>113.38461538461539</v>
      </c>
      <c r="BN418" s="1198"/>
      <c r="BO418" s="1152"/>
      <c r="CI418" s="938"/>
    </row>
    <row r="419" spans="1:93" s="747" customFormat="1" ht="13.9" hidden="1" customHeight="1" outlineLevel="1">
      <c r="B419" s="921" t="str">
        <f t="shared" si="465"/>
        <v>Contactor 12.5hp: ZR144H1201 - LC1E25</v>
      </c>
      <c r="C419" s="922"/>
      <c r="D419" s="923"/>
      <c r="E419" s="808"/>
      <c r="F419" s="809"/>
      <c r="G419" s="1053"/>
      <c r="H419" s="924" t="s">
        <v>100</v>
      </c>
      <c r="J419" s="828"/>
      <c r="K419" s="808"/>
      <c r="L419" s="809"/>
      <c r="M419" s="860">
        <v>1</v>
      </c>
      <c r="N419" s="813">
        <f t="shared" si="466"/>
        <v>1</v>
      </c>
      <c r="O419" s="814">
        <v>1</v>
      </c>
      <c r="P419" s="811">
        <f t="shared" si="467"/>
        <v>1</v>
      </c>
      <c r="Q419" s="815">
        <v>1</v>
      </c>
      <c r="R419" s="505">
        <f t="shared" si="468"/>
        <v>1</v>
      </c>
      <c r="S419" s="815">
        <f t="shared" si="469"/>
        <v>0</v>
      </c>
      <c r="T419" s="925" t="s">
        <v>46</v>
      </c>
      <c r="U419" s="811">
        <v>22.076923076923077</v>
      </c>
      <c r="V419" s="927">
        <f t="shared" si="470"/>
        <v>1</v>
      </c>
      <c r="W419" s="926">
        <v>1.05</v>
      </c>
      <c r="X419" s="820">
        <v>0.52</v>
      </c>
      <c r="Y419" s="928">
        <f t="shared" si="471"/>
        <v>0</v>
      </c>
      <c r="Z419" s="929">
        <f t="shared" si="472"/>
        <v>0</v>
      </c>
      <c r="AA419" s="823"/>
      <c r="AC419" s="457"/>
      <c r="AD419" s="457"/>
      <c r="AE419" s="457">
        <v>1</v>
      </c>
      <c r="AF419" s="457"/>
      <c r="AH419" s="827"/>
      <c r="AI419" s="824"/>
      <c r="AJ419" s="828">
        <f t="shared" si="463"/>
        <v>0</v>
      </c>
      <c r="AK419" s="862"/>
      <c r="AL419" s="828">
        <f t="shared" si="464"/>
        <v>0</v>
      </c>
      <c r="AM419" s="862"/>
      <c r="AN419" s="824"/>
      <c r="AO419" s="830"/>
      <c r="AQ419" s="930" t="s">
        <v>1647</v>
      </c>
      <c r="AR419" s="923" t="s">
        <v>1132</v>
      </c>
      <c r="AS419" s="948">
        <v>0.52</v>
      </c>
      <c r="AT419" s="1194">
        <v>22.076923076923077</v>
      </c>
      <c r="AV419" s="830"/>
      <c r="AX419" s="1195">
        <v>2.5</v>
      </c>
      <c r="AY419" s="841">
        <v>10.15</v>
      </c>
      <c r="AZ419" s="841">
        <v>17.66</v>
      </c>
      <c r="BA419" s="1196">
        <v>17.100000000000001</v>
      </c>
      <c r="BD419" s="964"/>
      <c r="BF419" s="830"/>
      <c r="BH419" s="1129" t="s">
        <v>1137</v>
      </c>
      <c r="BI419" s="1095"/>
      <c r="BJ419" s="1095">
        <v>59</v>
      </c>
      <c r="BK419" s="1109">
        <v>120</v>
      </c>
      <c r="BL419" s="1105">
        <v>2.2999999999999998</v>
      </c>
      <c r="BM419" s="1197">
        <v>149</v>
      </c>
      <c r="BN419" s="1198"/>
      <c r="BO419" s="1152"/>
      <c r="CI419" s="938"/>
    </row>
    <row r="420" spans="1:93" s="747" customFormat="1" ht="13.9" hidden="1" customHeight="1" outlineLevel="1">
      <c r="B420" s="921" t="str">
        <f t="shared" si="465"/>
        <v>Contactor 15.0hp: ZR190/H2001 - LC1E32</v>
      </c>
      <c r="C420" s="922"/>
      <c r="D420" s="923"/>
      <c r="E420" s="808"/>
      <c r="F420" s="809"/>
      <c r="G420" s="1053"/>
      <c r="H420" s="924" t="s">
        <v>100</v>
      </c>
      <c r="J420" s="828"/>
      <c r="K420" s="808"/>
      <c r="L420" s="809"/>
      <c r="M420" s="860">
        <v>1</v>
      </c>
      <c r="N420" s="813">
        <f t="shared" si="466"/>
        <v>1</v>
      </c>
      <c r="O420" s="814">
        <v>1</v>
      </c>
      <c r="P420" s="811">
        <f t="shared" si="467"/>
        <v>1</v>
      </c>
      <c r="Q420" s="815">
        <v>1</v>
      </c>
      <c r="R420" s="505">
        <f t="shared" si="468"/>
        <v>1</v>
      </c>
      <c r="S420" s="815">
        <f t="shared" si="469"/>
        <v>0</v>
      </c>
      <c r="T420" s="925" t="s">
        <v>46</v>
      </c>
      <c r="U420" s="811">
        <v>31.307692307692307</v>
      </c>
      <c r="V420" s="927">
        <f t="shared" si="470"/>
        <v>1</v>
      </c>
      <c r="W420" s="926">
        <v>1.05</v>
      </c>
      <c r="X420" s="820">
        <v>0.52</v>
      </c>
      <c r="Y420" s="928">
        <f t="shared" si="471"/>
        <v>0</v>
      </c>
      <c r="Z420" s="929">
        <f t="shared" si="472"/>
        <v>0</v>
      </c>
      <c r="AA420" s="823"/>
      <c r="AC420" s="457"/>
      <c r="AD420" s="457"/>
      <c r="AE420" s="457"/>
      <c r="AF420" s="457">
        <v>1</v>
      </c>
      <c r="AH420" s="827"/>
      <c r="AI420" s="824"/>
      <c r="AJ420" s="828">
        <f t="shared" si="463"/>
        <v>0</v>
      </c>
      <c r="AK420" s="862"/>
      <c r="AL420" s="828">
        <f t="shared" si="464"/>
        <v>0</v>
      </c>
      <c r="AM420" s="862"/>
      <c r="AN420" s="824"/>
      <c r="AO420" s="830"/>
      <c r="AQ420" s="930" t="s">
        <v>1648</v>
      </c>
      <c r="AR420" s="923" t="s">
        <v>1133</v>
      </c>
      <c r="AS420" s="948">
        <v>0.52</v>
      </c>
      <c r="AT420" s="1194">
        <v>31.307692307692307</v>
      </c>
      <c r="AV420" s="830"/>
      <c r="AX420" s="1195">
        <v>4</v>
      </c>
      <c r="AY420" s="841">
        <v>13.65</v>
      </c>
      <c r="AZ420" s="841">
        <v>26.45</v>
      </c>
      <c r="BA420" s="1196">
        <v>23</v>
      </c>
      <c r="BD420" s="964"/>
      <c r="BF420" s="830"/>
      <c r="BH420" s="1129" t="s">
        <v>1138</v>
      </c>
      <c r="BI420" s="1095"/>
      <c r="BJ420" s="1095">
        <v>100</v>
      </c>
      <c r="BK420" s="1109">
        <v>200</v>
      </c>
      <c r="BL420" s="1105">
        <v>4.5999999999999996</v>
      </c>
      <c r="BM420" s="1197">
        <v>372</v>
      </c>
      <c r="BN420" s="1198"/>
      <c r="BO420" s="1152"/>
      <c r="BP420" s="936"/>
      <c r="CH420" s="936"/>
      <c r="CI420" s="830"/>
    </row>
    <row r="421" spans="1:93" s="747" customFormat="1" ht="15" collapsed="1">
      <c r="A421" s="370"/>
      <c r="B421" s="895" t="s">
        <v>1649</v>
      </c>
      <c r="C421" s="896"/>
      <c r="D421" s="897"/>
      <c r="E421" s="898"/>
      <c r="F421" s="899"/>
      <c r="G421" s="899"/>
      <c r="H421" s="900"/>
      <c r="I421" s="901"/>
      <c r="J421" s="902"/>
      <c r="K421" s="898"/>
      <c r="L421" s="899"/>
      <c r="M421" s="903"/>
      <c r="N421" s="904"/>
      <c r="O421" s="898"/>
      <c r="P421" s="902"/>
      <c r="Q421" s="905"/>
      <c r="R421" s="903"/>
      <c r="S421" s="905"/>
      <c r="T421" s="906"/>
      <c r="U421" s="906"/>
      <c r="V421" s="907"/>
      <c r="W421" s="908"/>
      <c r="X421" s="909"/>
      <c r="Y421" s="1199">
        <f>SUM(Y422:Y425)</f>
        <v>0.13</v>
      </c>
      <c r="Z421" s="1069">
        <f>SUM(Z422:Z425)</f>
        <v>17.890384615384619</v>
      </c>
      <c r="AA421" s="911"/>
      <c r="AC421" s="912"/>
      <c r="AD421" s="912"/>
      <c r="AE421" s="912"/>
      <c r="AF421" s="913"/>
      <c r="AG421" s="370"/>
      <c r="AH421" s="521"/>
      <c r="AI421" s="370"/>
      <c r="AJ421" s="483"/>
      <c r="AK421" s="522">
        <f>SUM(AJ422:AJ425)</f>
        <v>0.13</v>
      </c>
      <c r="AL421" s="401"/>
      <c r="AM421" s="523">
        <f>SUM(AL422:AL425)</f>
        <v>17.890384615384619</v>
      </c>
      <c r="AN421" s="479"/>
      <c r="AO421" s="830"/>
      <c r="AQ421" s="1155" t="str">
        <f>+B421</f>
        <v>- Overload Protection: Compressor</v>
      </c>
      <c r="AR421" s="1070" t="s">
        <v>1650</v>
      </c>
      <c r="AS421" s="916" t="s">
        <v>97</v>
      </c>
      <c r="AT421" s="917" t="s">
        <v>1345</v>
      </c>
      <c r="AV421" s="830"/>
      <c r="AX421" s="918" t="s">
        <v>1494</v>
      </c>
      <c r="AY421" s="919" t="s">
        <v>1434</v>
      </c>
      <c r="AZ421" s="919" t="s">
        <v>1347</v>
      </c>
      <c r="BA421" s="919" t="s">
        <v>1643</v>
      </c>
      <c r="BB421" s="1192"/>
      <c r="BC421" s="1192"/>
      <c r="BD421" s="1193"/>
      <c r="BF421" s="524"/>
      <c r="BG421" s="369"/>
      <c r="BH421" s="918" t="s">
        <v>1644</v>
      </c>
      <c r="BI421" s="919" t="s">
        <v>1651</v>
      </c>
      <c r="BJ421" s="919" t="s">
        <v>1152</v>
      </c>
      <c r="BK421" s="919" t="s">
        <v>164</v>
      </c>
      <c r="BL421" s="919" t="s">
        <v>97</v>
      </c>
      <c r="BM421" s="919" t="s">
        <v>1545</v>
      </c>
      <c r="BN421" s="1058"/>
      <c r="BO421" s="940"/>
      <c r="BP421" s="369"/>
      <c r="BQ421" s="369"/>
      <c r="BR421" s="369"/>
      <c r="BS421" s="369"/>
      <c r="BT421" s="369"/>
      <c r="BU421" s="369"/>
      <c r="BV421" s="369"/>
      <c r="BW421" s="369"/>
      <c r="BX421" s="369"/>
      <c r="BY421" s="369"/>
      <c r="BZ421" s="369"/>
      <c r="CA421" s="369"/>
      <c r="CH421" s="369"/>
      <c r="CI421" s="524"/>
    </row>
    <row r="422" spans="1:93" s="747" customFormat="1" ht="13.9" hidden="1" customHeight="1" outlineLevel="1">
      <c r="B422" s="921" t="str">
        <f t="shared" ref="B422:B425" si="473">"Overload "&amp;AQ422&amp;" - "&amp;AR422</f>
        <v>Overload 7.5hp: ZR94/H705 - LRE21</v>
      </c>
      <c r="C422" s="922"/>
      <c r="D422" s="923"/>
      <c r="E422" s="808"/>
      <c r="F422" s="809"/>
      <c r="G422" s="1053"/>
      <c r="H422" s="924" t="s">
        <v>100</v>
      </c>
      <c r="I422" s="1081"/>
      <c r="J422" s="828"/>
      <c r="K422" s="808"/>
      <c r="L422" s="809"/>
      <c r="M422" s="860">
        <v>1</v>
      </c>
      <c r="N422" s="813">
        <f t="shared" ref="N422:N425" si="474">IF(I422&gt;0,22/28*((I422/1000)^2-(I422/1000-2*J422/1000)^2)*K422/1000,IF(J422&gt;0,J422/1000*K422/1000*L422/1000, IF(K422&gt;0,K422/1000*L422/1000, IF(L422=0,1,L422/1000))))</f>
        <v>1</v>
      </c>
      <c r="O422" s="814">
        <v>1</v>
      </c>
      <c r="P422" s="811">
        <f t="shared" ref="P422:P425" si="475">M422*N422*O422</f>
        <v>1</v>
      </c>
      <c r="Q422" s="815">
        <v>1</v>
      </c>
      <c r="R422" s="505">
        <f t="shared" si="468"/>
        <v>1</v>
      </c>
      <c r="S422" s="815">
        <f t="shared" si="469"/>
        <v>1</v>
      </c>
      <c r="T422" s="925" t="s">
        <v>46</v>
      </c>
      <c r="U422" s="811">
        <v>17.03846153846154</v>
      </c>
      <c r="V422" s="927">
        <f t="shared" ref="V422:V425" si="476">1/VLOOKUP(T422,Y$12:Z$18,2,FALSE)</f>
        <v>1</v>
      </c>
      <c r="W422" s="926">
        <v>1.05</v>
      </c>
      <c r="X422" s="820">
        <v>0.13</v>
      </c>
      <c r="Y422" s="928">
        <f t="shared" ref="Y422:Y425" si="477">+P422*R422*AA422*X422</f>
        <v>0.13</v>
      </c>
      <c r="Z422" s="929">
        <f t="shared" ref="Z422:Z425" si="478">S422*U422*V422*W422</f>
        <v>17.890384615384619</v>
      </c>
      <c r="AA422" s="823">
        <v>1</v>
      </c>
      <c r="AC422" s="457">
        <v>1</v>
      </c>
      <c r="AD422" s="457"/>
      <c r="AE422" s="457"/>
      <c r="AF422" s="457"/>
      <c r="AH422" s="827"/>
      <c r="AI422" s="824"/>
      <c r="AJ422" s="828">
        <f t="shared" si="463"/>
        <v>0.13</v>
      </c>
      <c r="AK422" s="862"/>
      <c r="AL422" s="828">
        <f t="shared" si="464"/>
        <v>17.890384615384619</v>
      </c>
      <c r="AM422" s="862"/>
      <c r="AN422" s="824"/>
      <c r="AO422" s="830"/>
      <c r="AQ422" s="930" t="s">
        <v>1645</v>
      </c>
      <c r="AR422" s="923" t="s">
        <v>1142</v>
      </c>
      <c r="AS422" s="948">
        <v>0.13</v>
      </c>
      <c r="AT422" s="1194">
        <v>17.03846153846154</v>
      </c>
      <c r="AV422" s="830"/>
      <c r="AX422" s="1195">
        <v>1.5</v>
      </c>
      <c r="AY422" s="841">
        <v>6.95</v>
      </c>
      <c r="AZ422" s="841">
        <v>12.83</v>
      </c>
      <c r="BA422" s="1196">
        <v>10.9</v>
      </c>
      <c r="BD422" s="964"/>
      <c r="BF422" s="830"/>
      <c r="BH422" s="1129" t="s">
        <v>1142</v>
      </c>
      <c r="BI422" s="1109" t="s">
        <v>1652</v>
      </c>
      <c r="BJ422" s="1109" t="s">
        <v>1653</v>
      </c>
      <c r="BK422" s="1109" t="s">
        <v>1654</v>
      </c>
      <c r="BL422" s="1105">
        <v>0.13</v>
      </c>
      <c r="BM422" s="1197">
        <v>17.03846153846154</v>
      </c>
      <c r="BN422" s="1198"/>
      <c r="BO422" s="1152"/>
      <c r="CI422" s="830"/>
    </row>
    <row r="423" spans="1:93" s="747" customFormat="1" ht="13.9" hidden="1" customHeight="1" outlineLevel="1">
      <c r="B423" s="921" t="str">
        <f t="shared" si="473"/>
        <v>Overload 10.0hp: ZR125/H1002 - LRE22</v>
      </c>
      <c r="C423" s="922"/>
      <c r="D423" s="923"/>
      <c r="E423" s="808"/>
      <c r="F423" s="809"/>
      <c r="G423" s="1053"/>
      <c r="H423" s="924" t="s">
        <v>100</v>
      </c>
      <c r="J423" s="828"/>
      <c r="K423" s="808"/>
      <c r="L423" s="809"/>
      <c r="M423" s="860">
        <v>1</v>
      </c>
      <c r="N423" s="813">
        <f t="shared" si="474"/>
        <v>1</v>
      </c>
      <c r="O423" s="814">
        <v>1</v>
      </c>
      <c r="P423" s="811">
        <f t="shared" si="475"/>
        <v>1</v>
      </c>
      <c r="Q423" s="815">
        <v>1</v>
      </c>
      <c r="R423" s="505">
        <f t="shared" si="468"/>
        <v>1</v>
      </c>
      <c r="S423" s="815">
        <f t="shared" si="469"/>
        <v>0</v>
      </c>
      <c r="T423" s="925" t="s">
        <v>46</v>
      </c>
      <c r="U423" s="811">
        <v>17.03846153846154</v>
      </c>
      <c r="V423" s="927">
        <f t="shared" si="476"/>
        <v>1</v>
      </c>
      <c r="W423" s="926">
        <v>1.05</v>
      </c>
      <c r="X423" s="820">
        <v>0.13</v>
      </c>
      <c r="Y423" s="928">
        <f t="shared" si="477"/>
        <v>0</v>
      </c>
      <c r="Z423" s="929">
        <f t="shared" si="478"/>
        <v>0</v>
      </c>
      <c r="AA423" s="823"/>
      <c r="AC423" s="457"/>
      <c r="AD423" s="457">
        <v>1</v>
      </c>
      <c r="AE423" s="457"/>
      <c r="AF423" s="457"/>
      <c r="AH423" s="827"/>
      <c r="AI423" s="824"/>
      <c r="AJ423" s="828">
        <f t="shared" si="463"/>
        <v>0</v>
      </c>
      <c r="AK423" s="862"/>
      <c r="AL423" s="828">
        <f t="shared" si="464"/>
        <v>0</v>
      </c>
      <c r="AM423" s="862"/>
      <c r="AN423" s="824"/>
      <c r="AO423" s="830"/>
      <c r="AQ423" s="930" t="s">
        <v>1646</v>
      </c>
      <c r="AR423" s="923" t="s">
        <v>1143</v>
      </c>
      <c r="AS423" s="948">
        <v>0.13</v>
      </c>
      <c r="AT423" s="1194">
        <v>17.03846153846154</v>
      </c>
      <c r="AV423" s="830"/>
      <c r="AX423" s="1195">
        <v>2.5</v>
      </c>
      <c r="AY423" s="841">
        <v>8.9499999999999993</v>
      </c>
      <c r="AZ423" s="841">
        <v>16</v>
      </c>
      <c r="BA423" s="1196">
        <v>16.3</v>
      </c>
      <c r="BD423" s="964"/>
      <c r="BF423" s="830"/>
      <c r="BH423" s="1129" t="s">
        <v>1144</v>
      </c>
      <c r="BI423" s="1109" t="s">
        <v>1655</v>
      </c>
      <c r="BJ423" s="1109" t="s">
        <v>1656</v>
      </c>
      <c r="BK423" s="1109" t="s">
        <v>1657</v>
      </c>
      <c r="BL423" s="1105">
        <v>0.13</v>
      </c>
      <c r="BM423" s="1197">
        <v>22.384615384615383</v>
      </c>
      <c r="BN423" s="1198"/>
      <c r="BO423" s="1152"/>
      <c r="CI423" s="830"/>
    </row>
    <row r="424" spans="1:93" s="747" customFormat="1" ht="13.9" hidden="1" customHeight="1" outlineLevel="1">
      <c r="B424" s="921" t="str">
        <f t="shared" si="473"/>
        <v>Overload 12.5hp: ZR144H1201 - LRE22</v>
      </c>
      <c r="C424" s="922"/>
      <c r="D424" s="923"/>
      <c r="E424" s="808"/>
      <c r="F424" s="809"/>
      <c r="G424" s="1053"/>
      <c r="H424" s="924" t="s">
        <v>100</v>
      </c>
      <c r="J424" s="828"/>
      <c r="K424" s="808"/>
      <c r="L424" s="809"/>
      <c r="M424" s="860">
        <v>1</v>
      </c>
      <c r="N424" s="813">
        <f t="shared" si="474"/>
        <v>1</v>
      </c>
      <c r="O424" s="814">
        <v>1</v>
      </c>
      <c r="P424" s="811">
        <f t="shared" si="475"/>
        <v>1</v>
      </c>
      <c r="Q424" s="815">
        <v>1</v>
      </c>
      <c r="R424" s="505">
        <f t="shared" si="468"/>
        <v>1</v>
      </c>
      <c r="S424" s="815">
        <f t="shared" si="469"/>
        <v>0</v>
      </c>
      <c r="T424" s="925" t="s">
        <v>46</v>
      </c>
      <c r="U424" s="811">
        <v>17.615384615384617</v>
      </c>
      <c r="V424" s="927">
        <f t="shared" si="476"/>
        <v>1</v>
      </c>
      <c r="W424" s="926">
        <v>1.05</v>
      </c>
      <c r="X424" s="820">
        <v>0.13</v>
      </c>
      <c r="Y424" s="928">
        <f t="shared" si="477"/>
        <v>0</v>
      </c>
      <c r="Z424" s="929">
        <f t="shared" si="478"/>
        <v>0</v>
      </c>
      <c r="AA424" s="823"/>
      <c r="AC424" s="457"/>
      <c r="AD424" s="457"/>
      <c r="AE424" s="457">
        <v>1</v>
      </c>
      <c r="AF424" s="457"/>
      <c r="AH424" s="827"/>
      <c r="AI424" s="824"/>
      <c r="AJ424" s="828">
        <f t="shared" si="463"/>
        <v>0</v>
      </c>
      <c r="AK424" s="862"/>
      <c r="AL424" s="828">
        <f t="shared" si="464"/>
        <v>0</v>
      </c>
      <c r="AM424" s="862"/>
      <c r="AN424" s="824"/>
      <c r="AO424" s="830"/>
      <c r="AQ424" s="930" t="s">
        <v>1647</v>
      </c>
      <c r="AR424" s="923" t="s">
        <v>1143</v>
      </c>
      <c r="AS424" s="948">
        <v>0.13</v>
      </c>
      <c r="AT424" s="1194">
        <v>17.615384615384617</v>
      </c>
      <c r="AV424" s="830"/>
      <c r="AX424" s="1195">
        <v>2.5</v>
      </c>
      <c r="AY424" s="841">
        <v>10.15</v>
      </c>
      <c r="AZ424" s="841">
        <v>17.66</v>
      </c>
      <c r="BA424" s="1196">
        <v>17.100000000000001</v>
      </c>
      <c r="BD424" s="964"/>
      <c r="BF424" s="830"/>
      <c r="BH424" s="1129" t="s">
        <v>1145</v>
      </c>
      <c r="BI424" s="1109" t="s">
        <v>1658</v>
      </c>
      <c r="BJ424" s="1109" t="s">
        <v>1659</v>
      </c>
      <c r="BK424" s="1109" t="s">
        <v>1660</v>
      </c>
      <c r="BL424" s="1105">
        <v>0.47</v>
      </c>
      <c r="BM424" s="1197">
        <v>30.11888111888112</v>
      </c>
      <c r="BN424" s="1198"/>
      <c r="BO424" s="1152"/>
      <c r="CI424" s="830"/>
    </row>
    <row r="425" spans="1:93" s="747" customFormat="1" ht="13.9" hidden="1" customHeight="1" outlineLevel="1">
      <c r="B425" s="921" t="str">
        <f t="shared" si="473"/>
        <v>Overload 15.0hp: ZR190/H2001 - LRE32</v>
      </c>
      <c r="C425" s="922"/>
      <c r="D425" s="923"/>
      <c r="E425" s="808"/>
      <c r="F425" s="809"/>
      <c r="G425" s="1053"/>
      <c r="H425" s="924" t="s">
        <v>100</v>
      </c>
      <c r="J425" s="828"/>
      <c r="K425" s="808"/>
      <c r="L425" s="809"/>
      <c r="M425" s="860">
        <v>1</v>
      </c>
      <c r="N425" s="813">
        <f t="shared" si="474"/>
        <v>1</v>
      </c>
      <c r="O425" s="814">
        <v>1</v>
      </c>
      <c r="P425" s="811">
        <f t="shared" si="475"/>
        <v>1</v>
      </c>
      <c r="Q425" s="815">
        <v>1</v>
      </c>
      <c r="R425" s="505">
        <f t="shared" si="468"/>
        <v>1</v>
      </c>
      <c r="S425" s="815">
        <f t="shared" si="469"/>
        <v>0</v>
      </c>
      <c r="T425" s="925" t="s">
        <v>46</v>
      </c>
      <c r="U425" s="811">
        <v>22.384615384615383</v>
      </c>
      <c r="V425" s="927">
        <f t="shared" si="476"/>
        <v>1</v>
      </c>
      <c r="W425" s="926">
        <v>1.05</v>
      </c>
      <c r="X425" s="820">
        <v>0.13</v>
      </c>
      <c r="Y425" s="928">
        <f t="shared" si="477"/>
        <v>0</v>
      </c>
      <c r="Z425" s="929">
        <f t="shared" si="478"/>
        <v>0</v>
      </c>
      <c r="AA425" s="823"/>
      <c r="AC425" s="457"/>
      <c r="AD425" s="457"/>
      <c r="AE425" s="457"/>
      <c r="AF425" s="457">
        <v>1</v>
      </c>
      <c r="AH425" s="827"/>
      <c r="AI425" s="824"/>
      <c r="AJ425" s="828">
        <f t="shared" si="463"/>
        <v>0</v>
      </c>
      <c r="AK425" s="862"/>
      <c r="AL425" s="828">
        <f t="shared" si="464"/>
        <v>0</v>
      </c>
      <c r="AM425" s="862"/>
      <c r="AN425" s="824"/>
      <c r="AO425" s="830"/>
      <c r="AQ425" s="930" t="s">
        <v>1648</v>
      </c>
      <c r="AR425" s="923" t="s">
        <v>1144</v>
      </c>
      <c r="AS425" s="948">
        <v>0.13</v>
      </c>
      <c r="AT425" s="1194">
        <v>22.384615384615383</v>
      </c>
      <c r="AV425" s="830"/>
      <c r="AX425" s="1195">
        <v>4</v>
      </c>
      <c r="AY425" s="841">
        <v>13.65</v>
      </c>
      <c r="AZ425" s="841">
        <v>26.45</v>
      </c>
      <c r="BA425" s="1196">
        <v>23</v>
      </c>
      <c r="BD425" s="964"/>
      <c r="BF425" s="830"/>
      <c r="BH425" s="1129" t="s">
        <v>1146</v>
      </c>
      <c r="BI425" s="1109" t="s">
        <v>1661</v>
      </c>
      <c r="BJ425" s="1109">
        <v>37</v>
      </c>
      <c r="BK425" s="1109" t="s">
        <v>1662</v>
      </c>
      <c r="BL425" s="1105">
        <v>0.46</v>
      </c>
      <c r="BM425" s="1197">
        <v>51.192307692307693</v>
      </c>
      <c r="BN425" s="1198"/>
      <c r="BO425" s="1152"/>
      <c r="CI425" s="830"/>
    </row>
    <row r="426" spans="1:93" s="747" customFormat="1" ht="15" collapsed="1">
      <c r="B426" s="895" t="s">
        <v>1663</v>
      </c>
      <c r="C426" s="896"/>
      <c r="D426" s="897"/>
      <c r="E426" s="898"/>
      <c r="F426" s="899"/>
      <c r="G426" s="899"/>
      <c r="H426" s="900"/>
      <c r="I426" s="901"/>
      <c r="J426" s="902"/>
      <c r="K426" s="898"/>
      <c r="L426" s="899"/>
      <c r="M426" s="903"/>
      <c r="N426" s="904"/>
      <c r="O426" s="898"/>
      <c r="P426" s="902"/>
      <c r="Q426" s="905"/>
      <c r="R426" s="903"/>
      <c r="S426" s="905"/>
      <c r="T426" s="906"/>
      <c r="U426" s="906"/>
      <c r="V426" s="907"/>
      <c r="W426" s="908"/>
      <c r="X426" s="909"/>
      <c r="Y426" s="1200">
        <f>SUM(Y427:Y428)</f>
        <v>0.34</v>
      </c>
      <c r="Z426" s="1069">
        <f>SUM(Z427:Z428)</f>
        <v>9.7692307692307701</v>
      </c>
      <c r="AA426" s="911"/>
      <c r="AC426" s="912"/>
      <c r="AD426" s="912"/>
      <c r="AE426" s="912"/>
      <c r="AF426" s="913"/>
      <c r="AG426" s="370"/>
      <c r="AH426" s="521"/>
      <c r="AJ426" s="483"/>
      <c r="AK426" s="522">
        <f>SUM(AJ427:AJ428)</f>
        <v>0.34</v>
      </c>
      <c r="AL426" s="401"/>
      <c r="AM426" s="523">
        <f>SUM(AL427:AL428)</f>
        <v>9.7692307692307701</v>
      </c>
      <c r="AN426" s="370"/>
      <c r="AO426" s="521"/>
      <c r="AQ426" s="1155" t="str">
        <f>+B426</f>
        <v>- Contactor Protection: Fan Motor</v>
      </c>
      <c r="AR426" s="915" t="s">
        <v>1642</v>
      </c>
      <c r="AS426" s="916" t="s">
        <v>97</v>
      </c>
      <c r="AT426" s="917" t="s">
        <v>1345</v>
      </c>
      <c r="AV426" s="521"/>
      <c r="AX426" s="918" t="s">
        <v>1494</v>
      </c>
      <c r="AY426" s="919" t="s">
        <v>1434</v>
      </c>
      <c r="AZ426" s="919" t="s">
        <v>1347</v>
      </c>
      <c r="BA426" s="1192"/>
      <c r="BB426" s="1192"/>
      <c r="BC426" s="1192"/>
      <c r="BD426" s="1193"/>
      <c r="BF426" s="524"/>
      <c r="BG426" s="369"/>
      <c r="BH426" s="918" t="s">
        <v>1644</v>
      </c>
      <c r="BI426" s="919"/>
      <c r="BJ426" s="919" t="s">
        <v>1152</v>
      </c>
      <c r="BK426" s="919" t="s">
        <v>164</v>
      </c>
      <c r="BL426" s="919" t="s">
        <v>97</v>
      </c>
      <c r="BM426" s="919" t="s">
        <v>1545</v>
      </c>
      <c r="BN426" s="919"/>
      <c r="BO426" s="940"/>
      <c r="BP426" s="369"/>
      <c r="BQ426" s="395"/>
      <c r="BR426" s="369"/>
      <c r="BS426" s="369"/>
      <c r="BT426" s="369"/>
      <c r="BU426" s="369"/>
      <c r="BV426" s="369"/>
      <c r="BW426" s="369"/>
      <c r="BX426" s="369"/>
      <c r="BY426" s="369"/>
      <c r="BZ426" s="369"/>
      <c r="CA426" s="369"/>
      <c r="CH426" s="369"/>
      <c r="CI426" s="524"/>
    </row>
    <row r="427" spans="1:93" s="747" customFormat="1" ht="13.9" hidden="1" customHeight="1" outlineLevel="1">
      <c r="B427" s="805" t="str">
        <f t="shared" si="465"/>
        <v>Contactor Axial Fan OD630 - LC1E06</v>
      </c>
      <c r="C427" s="1201"/>
      <c r="D427" s="1021"/>
      <c r="E427" s="1202"/>
      <c r="F427" s="977"/>
      <c r="G427" s="977"/>
      <c r="H427" s="457" t="s">
        <v>100</v>
      </c>
      <c r="I427" s="816"/>
      <c r="J427" s="811"/>
      <c r="K427" s="808"/>
      <c r="L427" s="809"/>
      <c r="M427" s="860">
        <v>1</v>
      </c>
      <c r="N427" s="813">
        <f t="shared" ref="N427:N428" si="479">IF(I427&gt;0,22/28*((I427/1000)^2-(I427/1000-2*J427/1000)^2)*K427/1000,IF(J427&gt;0,J427/1000*K427/1000*L427/1000, IF(K427&gt;0,K427/1000*L427/1000, IF(L427=0,1,L427/1000))))</f>
        <v>1</v>
      </c>
      <c r="O427" s="814">
        <v>1</v>
      </c>
      <c r="P427" s="811">
        <f t="shared" ref="P427:P428" si="480">M427*N427*O427</f>
        <v>1</v>
      </c>
      <c r="Q427" s="815">
        <v>1</v>
      </c>
      <c r="R427" s="505">
        <f t="shared" si="468"/>
        <v>1</v>
      </c>
      <c r="S427" s="815">
        <f t="shared" si="469"/>
        <v>1</v>
      </c>
      <c r="T427" s="1014" t="s">
        <v>46</v>
      </c>
      <c r="U427" s="926">
        <v>9.7692307692307701</v>
      </c>
      <c r="V427" s="927">
        <f t="shared" ref="V427:V428" si="481">1/VLOOKUP(T427,Y$12:Z$18,2,FALSE)</f>
        <v>1</v>
      </c>
      <c r="W427" s="811">
        <v>1</v>
      </c>
      <c r="X427" s="820">
        <v>0.34</v>
      </c>
      <c r="Y427" s="821">
        <f t="shared" ref="Y427:Y428" si="482">+P427*R427*AA427*X427</f>
        <v>0.34</v>
      </c>
      <c r="Z427" s="822">
        <f t="shared" ref="Z427:Z428" si="483">S427*U427*V427*W427</f>
        <v>9.7692307692307701</v>
      </c>
      <c r="AA427" s="823">
        <v>1</v>
      </c>
      <c r="AC427" s="825">
        <v>1</v>
      </c>
      <c r="AD427" s="825">
        <v>1</v>
      </c>
      <c r="AE427" s="825"/>
      <c r="AF427" s="825"/>
      <c r="AG427" s="824"/>
      <c r="AH427" s="827"/>
      <c r="AI427" s="824"/>
      <c r="AJ427" s="828">
        <f t="shared" si="463"/>
        <v>0.34</v>
      </c>
      <c r="AK427" s="862"/>
      <c r="AL427" s="828">
        <f t="shared" si="464"/>
        <v>9.7692307692307701</v>
      </c>
      <c r="AM427" s="862"/>
      <c r="AN427" s="824"/>
      <c r="AO427" s="827"/>
      <c r="AP427" s="824"/>
      <c r="AQ427" s="930" t="s">
        <v>1664</v>
      </c>
      <c r="AR427" s="931" t="s">
        <v>1130</v>
      </c>
      <c r="AS427" s="948">
        <v>0.34</v>
      </c>
      <c r="AT427" s="1194">
        <v>9.7692307692307701</v>
      </c>
      <c r="AU427" s="824"/>
      <c r="AV427" s="827"/>
      <c r="AW427" s="824"/>
      <c r="AX427" s="1195">
        <v>0.75</v>
      </c>
      <c r="AY427" s="814">
        <v>800</v>
      </c>
      <c r="AZ427" s="935">
        <v>1.6</v>
      </c>
      <c r="BD427" s="964"/>
      <c r="BF427" s="830"/>
      <c r="BH427" s="1129" t="s">
        <v>1133</v>
      </c>
      <c r="BI427" s="1095"/>
      <c r="BJ427" s="1095">
        <v>15</v>
      </c>
      <c r="BK427" s="1109">
        <v>32</v>
      </c>
      <c r="BL427" s="1109">
        <v>0.52</v>
      </c>
      <c r="BM427" s="1197">
        <v>31.307692307692307</v>
      </c>
      <c r="BN427" s="1109"/>
      <c r="BO427" s="1112"/>
      <c r="BQ427" s="936"/>
      <c r="CI427" s="830"/>
    </row>
    <row r="428" spans="1:93" s="747" customFormat="1" ht="13.9" hidden="1" customHeight="1" outlineLevel="1">
      <c r="B428" s="805" t="str">
        <f t="shared" si="465"/>
        <v>Contactor Axial Fan OD710 - LC1E06</v>
      </c>
      <c r="C428" s="1201"/>
      <c r="D428" s="1021"/>
      <c r="E428" s="1202"/>
      <c r="F428" s="977"/>
      <c r="G428" s="977"/>
      <c r="H428" s="457" t="s">
        <v>100</v>
      </c>
      <c r="I428" s="816"/>
      <c r="J428" s="811"/>
      <c r="K428" s="808"/>
      <c r="L428" s="809"/>
      <c r="M428" s="860">
        <v>1</v>
      </c>
      <c r="N428" s="813">
        <f t="shared" si="479"/>
        <v>1</v>
      </c>
      <c r="O428" s="814">
        <v>1</v>
      </c>
      <c r="P428" s="811">
        <f t="shared" si="480"/>
        <v>1</v>
      </c>
      <c r="Q428" s="815">
        <v>1</v>
      </c>
      <c r="R428" s="505">
        <f t="shared" si="468"/>
        <v>1</v>
      </c>
      <c r="S428" s="815">
        <f t="shared" si="469"/>
        <v>0</v>
      </c>
      <c r="T428" s="1014" t="s">
        <v>46</v>
      </c>
      <c r="U428" s="926">
        <v>9.7692307692307701</v>
      </c>
      <c r="V428" s="927">
        <f t="shared" si="481"/>
        <v>1</v>
      </c>
      <c r="W428" s="811">
        <v>1</v>
      </c>
      <c r="X428" s="820">
        <v>0.34</v>
      </c>
      <c r="Y428" s="821">
        <f t="shared" si="482"/>
        <v>0</v>
      </c>
      <c r="Z428" s="822">
        <f t="shared" si="483"/>
        <v>0</v>
      </c>
      <c r="AA428" s="823"/>
      <c r="AC428" s="825"/>
      <c r="AD428" s="825"/>
      <c r="AE428" s="825">
        <v>1</v>
      </c>
      <c r="AF428" s="825">
        <v>1</v>
      </c>
      <c r="AG428" s="824"/>
      <c r="AH428" s="827"/>
      <c r="AI428" s="824"/>
      <c r="AJ428" s="828">
        <f t="shared" si="463"/>
        <v>0</v>
      </c>
      <c r="AK428" s="862"/>
      <c r="AL428" s="828">
        <f t="shared" si="464"/>
        <v>0</v>
      </c>
      <c r="AM428" s="862"/>
      <c r="AN428" s="824"/>
      <c r="AO428" s="827"/>
      <c r="AP428" s="824"/>
      <c r="AQ428" s="930" t="s">
        <v>1665</v>
      </c>
      <c r="AR428" s="931" t="s">
        <v>1130</v>
      </c>
      <c r="AS428" s="948">
        <v>0.34</v>
      </c>
      <c r="AT428" s="1194">
        <v>9.7692307692307701</v>
      </c>
      <c r="AU428" s="824"/>
      <c r="AV428" s="827"/>
      <c r="AW428" s="824"/>
      <c r="AX428" s="1195">
        <v>0.75</v>
      </c>
      <c r="AY428" s="814">
        <v>900</v>
      </c>
      <c r="AZ428" s="935">
        <v>1.9</v>
      </c>
      <c r="BD428" s="964"/>
      <c r="BF428" s="830"/>
      <c r="BG428" s="922"/>
      <c r="BH428" s="1129" t="s">
        <v>1134</v>
      </c>
      <c r="BI428" s="1095"/>
      <c r="BJ428" s="1095">
        <v>18.5</v>
      </c>
      <c r="BK428" s="1109">
        <v>38</v>
      </c>
      <c r="BL428" s="1109">
        <v>0.52</v>
      </c>
      <c r="BM428" s="1197">
        <v>38.531468531468533</v>
      </c>
      <c r="BN428" s="1109"/>
      <c r="BO428" s="1112"/>
      <c r="BQ428" s="936"/>
      <c r="CI428" s="830"/>
    </row>
    <row r="429" spans="1:93" s="369" customFormat="1" ht="15" collapsed="1">
      <c r="A429" s="370"/>
      <c r="B429" s="895" t="s">
        <v>1666</v>
      </c>
      <c r="C429" s="896"/>
      <c r="D429" s="897"/>
      <c r="E429" s="898"/>
      <c r="F429" s="899"/>
      <c r="G429" s="899"/>
      <c r="H429" s="900"/>
      <c r="I429" s="901"/>
      <c r="J429" s="902"/>
      <c r="K429" s="898"/>
      <c r="L429" s="899"/>
      <c r="M429" s="903"/>
      <c r="N429" s="904"/>
      <c r="O429" s="898"/>
      <c r="P429" s="902"/>
      <c r="Q429" s="905"/>
      <c r="R429" s="903"/>
      <c r="S429" s="905"/>
      <c r="T429" s="906"/>
      <c r="U429" s="906"/>
      <c r="V429" s="907"/>
      <c r="W429" s="908"/>
      <c r="X429" s="909"/>
      <c r="Y429" s="1200">
        <f>SUM(Y430:Y431)</f>
        <v>0.13</v>
      </c>
      <c r="Z429" s="1069">
        <f>SUM(Z430:Z431)</f>
        <v>15</v>
      </c>
      <c r="AA429" s="911"/>
      <c r="AC429" s="912"/>
      <c r="AD429" s="912"/>
      <c r="AE429" s="912"/>
      <c r="AF429" s="913"/>
      <c r="AG429" s="370"/>
      <c r="AH429" s="521"/>
      <c r="AJ429" s="483"/>
      <c r="AK429" s="522">
        <f>SUM(AJ430:AJ431)</f>
        <v>0.13</v>
      </c>
      <c r="AL429" s="401"/>
      <c r="AM429" s="523">
        <f>SUM(AL430:AL431)</f>
        <v>15</v>
      </c>
      <c r="AN429" s="370"/>
      <c r="AO429" s="521"/>
      <c r="AQ429" s="1155" t="str">
        <f>+B429</f>
        <v>- Overload Protection: Fan Motor</v>
      </c>
      <c r="AR429" s="915" t="s">
        <v>1058</v>
      </c>
      <c r="AS429" s="916" t="s">
        <v>97</v>
      </c>
      <c r="AT429" s="917" t="s">
        <v>1345</v>
      </c>
      <c r="AV429" s="521"/>
      <c r="AX429" s="918" t="s">
        <v>1494</v>
      </c>
      <c r="AY429" s="919" t="s">
        <v>1434</v>
      </c>
      <c r="AZ429" s="919" t="s">
        <v>1347</v>
      </c>
      <c r="BA429" s="1192"/>
      <c r="BB429" s="1192"/>
      <c r="BC429" s="1192"/>
      <c r="BD429" s="1193"/>
      <c r="BF429" s="524"/>
      <c r="BH429" s="918" t="s">
        <v>1644</v>
      </c>
      <c r="BI429" s="919"/>
      <c r="BJ429" s="919" t="s">
        <v>1152</v>
      </c>
      <c r="BK429" s="919" t="s">
        <v>164</v>
      </c>
      <c r="BL429" s="919" t="s">
        <v>97</v>
      </c>
      <c r="BM429" s="919" t="s">
        <v>1545</v>
      </c>
      <c r="BN429" s="919"/>
      <c r="BO429" s="940"/>
      <c r="BQ429" s="395"/>
      <c r="CI429" s="524"/>
    </row>
    <row r="430" spans="1:93" s="747" customFormat="1" ht="13.9" hidden="1" customHeight="1" outlineLevel="1">
      <c r="A430" s="824"/>
      <c r="B430" s="805" t="str">
        <f t="shared" ref="B430:B431" si="484">"Overload "&amp;AQ430&amp;" - "&amp;AR430</f>
        <v>Overload Axial Fan OD630 - LRE07</v>
      </c>
      <c r="C430" s="1201"/>
      <c r="D430" s="1021"/>
      <c r="E430" s="1202"/>
      <c r="F430" s="977"/>
      <c r="G430" s="977"/>
      <c r="H430" s="457" t="s">
        <v>100</v>
      </c>
      <c r="I430" s="816"/>
      <c r="J430" s="811"/>
      <c r="K430" s="808"/>
      <c r="L430" s="809"/>
      <c r="M430" s="860">
        <v>1</v>
      </c>
      <c r="N430" s="813">
        <f t="shared" ref="N430:N431" si="485">IF(I430&gt;0,22/28*((I430/1000)^2-(I430/1000-2*J430/1000)^2)*K430/1000,IF(J430&gt;0,J430/1000*K430/1000*L430/1000, IF(K430&gt;0,K430/1000*L430/1000, IF(L430=0,1,L430/1000))))</f>
        <v>1</v>
      </c>
      <c r="O430" s="814">
        <v>1</v>
      </c>
      <c r="P430" s="811">
        <f t="shared" ref="P430:P431" si="486">M430*N430*O430</f>
        <v>1</v>
      </c>
      <c r="Q430" s="815">
        <v>1</v>
      </c>
      <c r="R430" s="505">
        <f t="shared" ref="R430:R431" si="487">+R$413</f>
        <v>1</v>
      </c>
      <c r="S430" s="815">
        <f t="shared" si="469"/>
        <v>1</v>
      </c>
      <c r="T430" s="1014" t="s">
        <v>46</v>
      </c>
      <c r="U430" s="926">
        <v>15</v>
      </c>
      <c r="V430" s="927">
        <f t="shared" ref="V430:V431" si="488">1/VLOOKUP(T430,Y$12:Z$18,2,FALSE)</f>
        <v>1</v>
      </c>
      <c r="W430" s="811">
        <v>1</v>
      </c>
      <c r="X430" s="820">
        <v>0.13</v>
      </c>
      <c r="Y430" s="821">
        <f t="shared" ref="Y430:Y431" si="489">+P430*R430*AA430*X430</f>
        <v>0.13</v>
      </c>
      <c r="Z430" s="822">
        <f t="shared" ref="Z430:Z431" si="490">S430*U430*V430*W430</f>
        <v>15</v>
      </c>
      <c r="AA430" s="823">
        <v>1</v>
      </c>
      <c r="AC430" s="825">
        <v>1</v>
      </c>
      <c r="AD430" s="825">
        <v>1</v>
      </c>
      <c r="AE430" s="825"/>
      <c r="AF430" s="825"/>
      <c r="AG430" s="824"/>
      <c r="AH430" s="827"/>
      <c r="AI430" s="824"/>
      <c r="AJ430" s="828">
        <f t="shared" si="463"/>
        <v>0.13</v>
      </c>
      <c r="AK430" s="862"/>
      <c r="AL430" s="828">
        <f t="shared" si="464"/>
        <v>15</v>
      </c>
      <c r="AM430" s="862"/>
      <c r="AN430" s="824"/>
      <c r="AO430" s="827"/>
      <c r="AP430" s="824"/>
      <c r="AQ430" s="930" t="s">
        <v>1664</v>
      </c>
      <c r="AR430" s="930" t="s">
        <v>1139</v>
      </c>
      <c r="AS430" s="948">
        <v>0.13</v>
      </c>
      <c r="AT430" s="1194">
        <v>15</v>
      </c>
      <c r="AU430" s="824"/>
      <c r="AV430" s="827"/>
      <c r="AW430" s="824"/>
      <c r="AX430" s="1195">
        <v>0.75</v>
      </c>
      <c r="AY430" s="814">
        <v>800</v>
      </c>
      <c r="AZ430" s="935">
        <v>1.6</v>
      </c>
      <c r="BD430" s="964"/>
      <c r="BF430" s="830"/>
      <c r="BH430" s="1129" t="s">
        <v>1140</v>
      </c>
      <c r="BI430" s="1095" t="s">
        <v>1667</v>
      </c>
      <c r="BJ430" s="1095" t="s">
        <v>1668</v>
      </c>
      <c r="BK430" s="1109" t="s">
        <v>1669</v>
      </c>
      <c r="BL430" s="1109">
        <v>0.13</v>
      </c>
      <c r="BM430" s="1197">
        <v>15</v>
      </c>
      <c r="BN430" s="1109"/>
      <c r="BO430" s="1112"/>
      <c r="BQ430" s="936"/>
      <c r="CI430" s="830"/>
    </row>
    <row r="431" spans="1:93" s="747" customFormat="1" ht="13.9" hidden="1" customHeight="1" outlineLevel="1">
      <c r="A431" s="824"/>
      <c r="B431" s="805" t="str">
        <f t="shared" si="484"/>
        <v>Overload Axial Fan OD710 - LRE07</v>
      </c>
      <c r="C431" s="1201"/>
      <c r="D431" s="1021"/>
      <c r="E431" s="1202"/>
      <c r="F431" s="977"/>
      <c r="G431" s="977"/>
      <c r="H431" s="457" t="s">
        <v>100</v>
      </c>
      <c r="I431" s="816"/>
      <c r="J431" s="811"/>
      <c r="K431" s="808"/>
      <c r="L431" s="809"/>
      <c r="M431" s="860">
        <v>1</v>
      </c>
      <c r="N431" s="813">
        <f t="shared" si="485"/>
        <v>1</v>
      </c>
      <c r="O431" s="814">
        <v>1</v>
      </c>
      <c r="P431" s="811">
        <f t="shared" si="486"/>
        <v>1</v>
      </c>
      <c r="Q431" s="815">
        <v>1</v>
      </c>
      <c r="R431" s="505">
        <f t="shared" si="487"/>
        <v>1</v>
      </c>
      <c r="S431" s="815">
        <f t="shared" si="469"/>
        <v>0</v>
      </c>
      <c r="T431" s="1014" t="s">
        <v>46</v>
      </c>
      <c r="U431" s="926">
        <v>15</v>
      </c>
      <c r="V431" s="927">
        <f t="shared" si="488"/>
        <v>1</v>
      </c>
      <c r="W431" s="811">
        <v>1</v>
      </c>
      <c r="X431" s="820">
        <v>0.13</v>
      </c>
      <c r="Y431" s="821">
        <f t="shared" si="489"/>
        <v>0</v>
      </c>
      <c r="Z431" s="822">
        <f t="shared" si="490"/>
        <v>0</v>
      </c>
      <c r="AA431" s="823"/>
      <c r="AC431" s="825"/>
      <c r="AD431" s="825"/>
      <c r="AE431" s="825">
        <v>1</v>
      </c>
      <c r="AF431" s="825">
        <v>1</v>
      </c>
      <c r="AG431" s="824"/>
      <c r="AH431" s="827"/>
      <c r="AI431" s="824"/>
      <c r="AJ431" s="828">
        <f t="shared" si="463"/>
        <v>0</v>
      </c>
      <c r="AK431" s="862"/>
      <c r="AL431" s="828">
        <f t="shared" si="464"/>
        <v>0</v>
      </c>
      <c r="AM431" s="862"/>
      <c r="AN431" s="824"/>
      <c r="AO431" s="827"/>
      <c r="AP431" s="824"/>
      <c r="AQ431" s="930" t="s">
        <v>1665</v>
      </c>
      <c r="AR431" s="930" t="s">
        <v>1139</v>
      </c>
      <c r="AS431" s="948">
        <v>0.13</v>
      </c>
      <c r="AT431" s="1194">
        <v>15</v>
      </c>
      <c r="AU431" s="824"/>
      <c r="AV431" s="827"/>
      <c r="AW431" s="824"/>
      <c r="AX431" s="1195">
        <v>0.75</v>
      </c>
      <c r="AY431" s="814">
        <v>900</v>
      </c>
      <c r="AZ431" s="935">
        <v>1.9</v>
      </c>
      <c r="BD431" s="964"/>
      <c r="BF431" s="830"/>
      <c r="BG431" s="922"/>
      <c r="BH431" s="1129" t="s">
        <v>1141</v>
      </c>
      <c r="BI431" s="1095" t="s">
        <v>1667</v>
      </c>
      <c r="BJ431" s="1095" t="s">
        <v>1668</v>
      </c>
      <c r="BK431" s="1109" t="s">
        <v>1670</v>
      </c>
      <c r="BL431" s="1109">
        <v>0.13</v>
      </c>
      <c r="BM431" s="1197">
        <v>15</v>
      </c>
      <c r="BN431" s="1109"/>
      <c r="BO431" s="1112"/>
      <c r="BQ431" s="936"/>
      <c r="CI431" s="830"/>
    </row>
    <row r="432" spans="1:93" s="370" customFormat="1" ht="15" collapsed="1">
      <c r="B432" s="895" t="s">
        <v>1671</v>
      </c>
      <c r="C432" s="896"/>
      <c r="D432" s="897"/>
      <c r="E432" s="898"/>
      <c r="F432" s="899"/>
      <c r="G432" s="899"/>
      <c r="H432" s="900"/>
      <c r="I432" s="901"/>
      <c r="J432" s="902"/>
      <c r="K432" s="898"/>
      <c r="L432" s="899"/>
      <c r="M432" s="903"/>
      <c r="N432" s="904"/>
      <c r="O432" s="898"/>
      <c r="P432" s="902"/>
      <c r="Q432" s="905"/>
      <c r="R432" s="903"/>
      <c r="S432" s="905"/>
      <c r="T432" s="906"/>
      <c r="U432" s="906"/>
      <c r="V432" s="907"/>
      <c r="W432" s="908"/>
      <c r="X432" s="909"/>
      <c r="Y432" s="910">
        <f>SUM(Y433:Y439)</f>
        <v>0.42</v>
      </c>
      <c r="Z432" s="1069">
        <f>SUM(Z433:Z439)</f>
        <v>7.8000000000000007</v>
      </c>
      <c r="AA432" s="911"/>
      <c r="AB432" s="369"/>
      <c r="AC432" s="912"/>
      <c r="AD432" s="912"/>
      <c r="AE432" s="912"/>
      <c r="AF432" s="913"/>
      <c r="AH432" s="521"/>
      <c r="AI432" s="395"/>
      <c r="AJ432" s="483"/>
      <c r="AK432" s="522">
        <f>SUM(AJ433:AJ439)</f>
        <v>0.42</v>
      </c>
      <c r="AL432" s="401"/>
      <c r="AM432" s="523">
        <f>SUM(AL433:AL439)</f>
        <v>7.8000000000000007</v>
      </c>
      <c r="AO432" s="521"/>
      <c r="AP432" s="395"/>
      <c r="AQ432" s="1057"/>
      <c r="AR432" s="1203"/>
      <c r="AS432" s="1204"/>
      <c r="AT432" s="1205"/>
      <c r="AU432" s="395"/>
      <c r="AV432" s="521"/>
      <c r="AW432" s="395"/>
      <c r="AX432" s="918"/>
      <c r="AY432" s="919"/>
      <c r="AZ432" s="919"/>
      <c r="BA432" s="919"/>
      <c r="BB432" s="919"/>
      <c r="BC432" s="1058"/>
      <c r="BD432" s="920"/>
      <c r="BE432" s="395"/>
      <c r="BF432" s="524"/>
      <c r="BG432" s="395"/>
      <c r="BH432" s="395"/>
      <c r="BI432" s="398"/>
      <c r="BJ432" s="395"/>
      <c r="BK432" s="395"/>
      <c r="BL432" s="395"/>
      <c r="BM432" s="395"/>
      <c r="BN432" s="395"/>
      <c r="BO432" s="395"/>
      <c r="BP432" s="395"/>
      <c r="BQ432" s="395"/>
      <c r="BR432" s="395"/>
      <c r="BS432" s="395"/>
      <c r="BT432" s="395"/>
      <c r="BU432" s="395"/>
      <c r="BV432" s="395"/>
      <c r="BW432" s="395"/>
      <c r="BX432" s="395"/>
      <c r="BY432" s="395"/>
      <c r="BZ432" s="395"/>
      <c r="CA432" s="395"/>
      <c r="CB432" s="395"/>
      <c r="CC432" s="395"/>
      <c r="CD432" s="395"/>
      <c r="CE432" s="395"/>
      <c r="CF432" s="395"/>
      <c r="CG432" s="395"/>
      <c r="CH432" s="395"/>
      <c r="CI432" s="511"/>
      <c r="CJ432" s="395"/>
      <c r="CK432" s="395"/>
      <c r="CL432" s="395"/>
      <c r="CM432" s="395"/>
      <c r="CN432" s="395"/>
      <c r="CO432" s="395"/>
    </row>
    <row r="433" spans="1:93" s="824" customFormat="1" ht="13.9" hidden="1" customHeight="1" outlineLevel="1">
      <c r="A433" s="747"/>
      <c r="B433" s="805" t="s">
        <v>1672</v>
      </c>
      <c r="C433" s="1201"/>
      <c r="D433" s="1021"/>
      <c r="E433" s="1202"/>
      <c r="F433" s="977"/>
      <c r="G433" s="977"/>
      <c r="H433" s="457" t="s">
        <v>100</v>
      </c>
      <c r="I433" s="816"/>
      <c r="J433" s="811"/>
      <c r="K433" s="808"/>
      <c r="L433" s="809"/>
      <c r="M433" s="860">
        <v>1</v>
      </c>
      <c r="N433" s="813">
        <f t="shared" ref="N433:N439" si="491">IF(I433&gt;0,22/28*((I433/1000)^2-(I433/1000-2*J433/1000)^2)*K433/1000,IF(J433&gt;0,J433/1000*K433/1000*L433/1000, IF(K433&gt;0,K433/1000*L433/1000, IF(L433=0,1,L433/1000))))</f>
        <v>1</v>
      </c>
      <c r="O433" s="814">
        <v>1</v>
      </c>
      <c r="P433" s="811">
        <f t="shared" ref="P433:P439" si="492">M433*N433*O433</f>
        <v>1</v>
      </c>
      <c r="Q433" s="815">
        <v>1</v>
      </c>
      <c r="R433" s="1206">
        <v>0</v>
      </c>
      <c r="S433" s="815">
        <f t="shared" si="469"/>
        <v>0</v>
      </c>
      <c r="T433" s="1014" t="s">
        <v>115</v>
      </c>
      <c r="U433" s="926">
        <v>500000</v>
      </c>
      <c r="V433" s="927">
        <f t="shared" ref="V433:V439" si="493">1/VLOOKUP(T433,Y$12:Z$18,2,FALSE)</f>
        <v>6.8240753377917299E-5</v>
      </c>
      <c r="W433" s="811">
        <v>1</v>
      </c>
      <c r="X433" s="820">
        <v>0.45</v>
      </c>
      <c r="Y433" s="821">
        <f t="shared" ref="Y433:Y439" si="494">+P433*R433*AA433*X433</f>
        <v>0</v>
      </c>
      <c r="Z433" s="822">
        <f t="shared" ref="Z433:Z439" si="495">S433*U433*V433*W433</f>
        <v>0</v>
      </c>
      <c r="AA433" s="823">
        <v>1</v>
      </c>
      <c r="AB433" s="747"/>
      <c r="AC433" s="825">
        <v>1</v>
      </c>
      <c r="AD433" s="825">
        <v>1</v>
      </c>
      <c r="AE433" s="825">
        <v>1</v>
      </c>
      <c r="AF433" s="825">
        <v>1</v>
      </c>
      <c r="AH433" s="827"/>
      <c r="AI433" s="936"/>
      <c r="AJ433" s="828">
        <f t="shared" si="463"/>
        <v>0</v>
      </c>
      <c r="AK433" s="862"/>
      <c r="AL433" s="828">
        <f t="shared" si="464"/>
        <v>0</v>
      </c>
      <c r="AM433" s="862"/>
      <c r="AO433" s="827"/>
      <c r="AP433" s="936"/>
      <c r="AQ433" s="930"/>
      <c r="AR433" s="747"/>
      <c r="AS433" s="828"/>
      <c r="AT433" s="964"/>
      <c r="AU433" s="936"/>
      <c r="AV433" s="827"/>
      <c r="AW433" s="936"/>
      <c r="AX433" s="934"/>
      <c r="AY433" s="936"/>
      <c r="AZ433" s="936"/>
      <c r="BA433" s="936"/>
      <c r="BB433" s="936"/>
      <c r="BC433" s="747"/>
      <c r="BD433" s="924"/>
      <c r="BE433" s="936"/>
      <c r="BF433" s="830"/>
      <c r="BG433" s="936"/>
      <c r="BH433" s="936"/>
      <c r="BI433" s="922"/>
      <c r="BJ433" s="936"/>
      <c r="BK433" s="936"/>
      <c r="BL433" s="936"/>
      <c r="BM433" s="936"/>
      <c r="BN433" s="936"/>
      <c r="BO433" s="936"/>
      <c r="BP433" s="936"/>
      <c r="BQ433" s="936"/>
      <c r="BR433" s="936"/>
      <c r="BS433" s="936"/>
      <c r="BT433" s="936"/>
      <c r="BU433" s="936"/>
      <c r="BV433" s="936"/>
      <c r="BW433" s="936"/>
      <c r="BX433" s="936"/>
      <c r="BY433" s="936"/>
      <c r="BZ433" s="936"/>
      <c r="CA433" s="936"/>
      <c r="CB433" s="936"/>
      <c r="CC433" s="936"/>
      <c r="CD433" s="936"/>
      <c r="CE433" s="936"/>
      <c r="CF433" s="936"/>
      <c r="CG433" s="936"/>
      <c r="CH433" s="936"/>
      <c r="CI433" s="938"/>
      <c r="CJ433" s="936"/>
      <c r="CK433" s="936"/>
      <c r="CL433" s="936"/>
      <c r="CM433" s="936"/>
      <c r="CN433" s="936"/>
      <c r="CO433" s="936"/>
    </row>
    <row r="434" spans="1:93" s="824" customFormat="1" ht="13.9" hidden="1" customHeight="1" outlineLevel="1">
      <c r="A434" s="747"/>
      <c r="B434" s="805" t="s">
        <v>1673</v>
      </c>
      <c r="C434" s="1201" t="s">
        <v>1674</v>
      </c>
      <c r="D434" s="1021"/>
      <c r="E434" s="1202"/>
      <c r="F434" s="977"/>
      <c r="G434" s="977"/>
      <c r="H434" s="457" t="s">
        <v>100</v>
      </c>
      <c r="I434" s="816"/>
      <c r="J434" s="811"/>
      <c r="K434" s="808"/>
      <c r="L434" s="809"/>
      <c r="M434" s="860">
        <v>1</v>
      </c>
      <c r="N434" s="813">
        <f t="shared" si="491"/>
        <v>1</v>
      </c>
      <c r="O434" s="814">
        <v>1</v>
      </c>
      <c r="P434" s="811">
        <f t="shared" si="492"/>
        <v>1</v>
      </c>
      <c r="Q434" s="815">
        <v>1</v>
      </c>
      <c r="R434" s="1206">
        <v>0</v>
      </c>
      <c r="S434" s="815">
        <f t="shared" si="469"/>
        <v>0</v>
      </c>
      <c r="T434" s="1014" t="s">
        <v>115</v>
      </c>
      <c r="U434" s="926"/>
      <c r="V434" s="927">
        <f t="shared" si="493"/>
        <v>6.8240753377917299E-5</v>
      </c>
      <c r="W434" s="811">
        <v>1</v>
      </c>
      <c r="X434" s="820">
        <v>0.3</v>
      </c>
      <c r="Y434" s="821">
        <f t="shared" si="494"/>
        <v>0</v>
      </c>
      <c r="Z434" s="822">
        <f t="shared" si="495"/>
        <v>0</v>
      </c>
      <c r="AA434" s="823">
        <v>1</v>
      </c>
      <c r="AB434" s="747"/>
      <c r="AC434" s="825">
        <v>1</v>
      </c>
      <c r="AD434" s="825">
        <v>1</v>
      </c>
      <c r="AE434" s="825">
        <v>1</v>
      </c>
      <c r="AF434" s="825">
        <v>1</v>
      </c>
      <c r="AH434" s="827"/>
      <c r="AJ434" s="828">
        <f t="shared" si="463"/>
        <v>0</v>
      </c>
      <c r="AK434" s="862"/>
      <c r="AL434" s="828">
        <f t="shared" si="464"/>
        <v>0</v>
      </c>
      <c r="AM434" s="862"/>
      <c r="AO434" s="827"/>
      <c r="AQ434" s="930"/>
      <c r="AR434" s="747"/>
      <c r="AS434" s="828"/>
      <c r="AT434" s="964"/>
      <c r="AV434" s="827"/>
      <c r="AX434" s="934"/>
      <c r="AY434" s="936"/>
      <c r="AZ434" s="936"/>
      <c r="BA434" s="936"/>
      <c r="BB434" s="936"/>
      <c r="BC434" s="747"/>
      <c r="BD434" s="924"/>
      <c r="BE434" s="936"/>
      <c r="BF434" s="830"/>
      <c r="BG434" s="936"/>
      <c r="BH434" s="936"/>
      <c r="BI434" s="922"/>
      <c r="BJ434" s="936"/>
      <c r="BK434" s="936"/>
      <c r="BL434" s="936"/>
      <c r="BM434" s="936"/>
      <c r="BN434" s="936"/>
      <c r="BO434" s="936"/>
      <c r="BP434" s="936"/>
      <c r="BQ434" s="936"/>
      <c r="BR434" s="936"/>
      <c r="BS434" s="936"/>
      <c r="BT434" s="936"/>
      <c r="BU434" s="936"/>
      <c r="BV434" s="936"/>
      <c r="BW434" s="936"/>
      <c r="BX434" s="936"/>
      <c r="BY434" s="936"/>
      <c r="BZ434" s="936"/>
      <c r="CA434" s="936"/>
      <c r="CB434" s="936"/>
      <c r="CC434" s="936"/>
      <c r="CD434" s="936"/>
      <c r="CE434" s="936"/>
      <c r="CF434" s="936"/>
      <c r="CG434" s="936"/>
      <c r="CH434" s="936"/>
      <c r="CI434" s="938"/>
      <c r="CJ434" s="936"/>
      <c r="CK434" s="936"/>
      <c r="CL434" s="936"/>
      <c r="CM434" s="936"/>
      <c r="CN434" s="936"/>
      <c r="CO434" s="936"/>
    </row>
    <row r="435" spans="1:93" s="824" customFormat="1" ht="13.9" hidden="1" customHeight="1" outlineLevel="1">
      <c r="A435" s="747"/>
      <c r="B435" s="1015" t="s">
        <v>1675</v>
      </c>
      <c r="C435" s="1207" t="s">
        <v>1676</v>
      </c>
      <c r="D435" s="1186"/>
      <c r="E435" s="1187"/>
      <c r="F435" s="1188"/>
      <c r="G435" s="1188"/>
      <c r="H435" s="988" t="s">
        <v>100</v>
      </c>
      <c r="I435" s="1189"/>
      <c r="J435" s="989"/>
      <c r="K435" s="990"/>
      <c r="L435" s="987"/>
      <c r="M435" s="992">
        <v>1</v>
      </c>
      <c r="N435" s="993">
        <f t="shared" si="491"/>
        <v>1</v>
      </c>
      <c r="O435" s="994">
        <v>1</v>
      </c>
      <c r="P435" s="989">
        <f t="shared" si="492"/>
        <v>1</v>
      </c>
      <c r="Q435" s="1007">
        <v>1</v>
      </c>
      <c r="R435" s="1208">
        <v>0</v>
      </c>
      <c r="S435" s="1007">
        <f t="shared" si="469"/>
        <v>0</v>
      </c>
      <c r="T435" s="1020" t="s">
        <v>115</v>
      </c>
      <c r="U435" s="999"/>
      <c r="V435" s="1000">
        <f t="shared" si="493"/>
        <v>6.8240753377917299E-5</v>
      </c>
      <c r="W435" s="989">
        <v>1</v>
      </c>
      <c r="X435" s="1008">
        <v>0.3</v>
      </c>
      <c r="Y435" s="1009">
        <f t="shared" si="494"/>
        <v>0</v>
      </c>
      <c r="Z435" s="1003">
        <f t="shared" si="495"/>
        <v>0</v>
      </c>
      <c r="AA435" s="1004">
        <v>1</v>
      </c>
      <c r="AB435" s="747"/>
      <c r="AC435" s="1005">
        <v>1</v>
      </c>
      <c r="AD435" s="1005">
        <v>1</v>
      </c>
      <c r="AE435" s="1005">
        <v>1</v>
      </c>
      <c r="AF435" s="1005">
        <v>1</v>
      </c>
      <c r="AH435" s="827"/>
      <c r="AJ435" s="828">
        <f t="shared" si="463"/>
        <v>0</v>
      </c>
      <c r="AK435" s="862"/>
      <c r="AL435" s="828">
        <f t="shared" si="464"/>
        <v>0</v>
      </c>
      <c r="AM435" s="862"/>
      <c r="AO435" s="827"/>
      <c r="AQ435" s="930"/>
      <c r="AR435" s="747"/>
      <c r="AS435" s="828"/>
      <c r="AT435" s="964"/>
      <c r="AV435" s="827"/>
      <c r="AX435" s="934"/>
      <c r="AY435" s="936"/>
      <c r="AZ435" s="936"/>
      <c r="BA435" s="936"/>
      <c r="BB435" s="936"/>
      <c r="BC435" s="747"/>
      <c r="BD435" s="924"/>
      <c r="BE435" s="936"/>
      <c r="BF435" s="830"/>
      <c r="BG435" s="936"/>
      <c r="BH435" s="936"/>
      <c r="BI435" s="747"/>
      <c r="BJ435" s="936"/>
      <c r="BK435" s="936"/>
      <c r="BL435" s="936"/>
      <c r="BM435" s="936"/>
      <c r="BN435" s="936"/>
      <c r="BO435" s="936"/>
      <c r="BP435" s="936"/>
      <c r="BQ435" s="936"/>
      <c r="BR435" s="936"/>
      <c r="BS435" s="936"/>
      <c r="BT435" s="936"/>
      <c r="BU435" s="936"/>
      <c r="BV435" s="936"/>
      <c r="BW435" s="936"/>
      <c r="BX435" s="936"/>
      <c r="BY435" s="936"/>
      <c r="BZ435" s="936"/>
      <c r="CA435" s="936"/>
      <c r="CB435" s="936"/>
      <c r="CC435" s="936"/>
      <c r="CD435" s="936"/>
      <c r="CE435" s="936"/>
      <c r="CF435" s="936"/>
      <c r="CG435" s="936"/>
      <c r="CH435" s="936"/>
      <c r="CI435" s="938"/>
      <c r="CJ435" s="936"/>
      <c r="CK435" s="936"/>
      <c r="CL435" s="936"/>
      <c r="CM435" s="936"/>
      <c r="CN435" s="936"/>
      <c r="CO435" s="936"/>
    </row>
    <row r="436" spans="1:93" s="824" customFormat="1" ht="13.9" hidden="1" customHeight="1" outlineLevel="1">
      <c r="A436" s="747"/>
      <c r="B436" s="805" t="s">
        <v>1677</v>
      </c>
      <c r="C436" s="1201" t="s">
        <v>1678</v>
      </c>
      <c r="D436" s="1021"/>
      <c r="E436" s="1202"/>
      <c r="F436" s="977"/>
      <c r="G436" s="977"/>
      <c r="H436" s="457" t="s">
        <v>100</v>
      </c>
      <c r="I436" s="816"/>
      <c r="J436" s="811"/>
      <c r="K436" s="808"/>
      <c r="L436" s="809"/>
      <c r="M436" s="860">
        <v>1</v>
      </c>
      <c r="N436" s="813">
        <f t="shared" si="491"/>
        <v>1</v>
      </c>
      <c r="O436" s="814">
        <v>1</v>
      </c>
      <c r="P436" s="811">
        <f t="shared" si="492"/>
        <v>1</v>
      </c>
      <c r="Q436" s="815">
        <v>1</v>
      </c>
      <c r="R436" s="1206">
        <v>1</v>
      </c>
      <c r="S436" s="815">
        <f t="shared" si="469"/>
        <v>1</v>
      </c>
      <c r="T436" s="1014" t="s">
        <v>46</v>
      </c>
      <c r="U436" s="926">
        <v>3</v>
      </c>
      <c r="V436" s="927">
        <f t="shared" si="493"/>
        <v>1</v>
      </c>
      <c r="W436" s="811">
        <v>1.3</v>
      </c>
      <c r="X436" s="820">
        <v>0.21</v>
      </c>
      <c r="Y436" s="821">
        <f t="shared" si="494"/>
        <v>0.21</v>
      </c>
      <c r="Z436" s="822">
        <f t="shared" si="495"/>
        <v>3.9000000000000004</v>
      </c>
      <c r="AA436" s="823">
        <v>1</v>
      </c>
      <c r="AB436" s="747"/>
      <c r="AC436" s="825">
        <v>1</v>
      </c>
      <c r="AD436" s="825">
        <v>1</v>
      </c>
      <c r="AE436" s="825">
        <v>1</v>
      </c>
      <c r="AF436" s="825">
        <v>1</v>
      </c>
      <c r="AH436" s="827"/>
      <c r="AJ436" s="828">
        <f t="shared" si="463"/>
        <v>0.21</v>
      </c>
      <c r="AK436" s="862"/>
      <c r="AL436" s="828">
        <f t="shared" si="464"/>
        <v>3.9000000000000004</v>
      </c>
      <c r="AM436" s="862"/>
      <c r="AO436" s="827"/>
      <c r="AQ436" s="930"/>
      <c r="AR436" s="747"/>
      <c r="AS436" s="828"/>
      <c r="AT436" s="964"/>
      <c r="AV436" s="827"/>
      <c r="AX436" s="934"/>
      <c r="AY436" s="936"/>
      <c r="AZ436" s="936"/>
      <c r="BA436" s="936"/>
      <c r="BB436" s="936"/>
      <c r="BC436" s="747"/>
      <c r="BD436" s="924"/>
      <c r="BE436" s="936"/>
      <c r="BF436" s="830"/>
      <c r="BG436" s="936"/>
      <c r="BH436" s="936"/>
      <c r="BI436" s="747"/>
      <c r="BJ436" s="936"/>
      <c r="BK436" s="936"/>
      <c r="BL436" s="936"/>
      <c r="BM436" s="936"/>
      <c r="BN436" s="936"/>
      <c r="BO436" s="936"/>
      <c r="BP436" s="936"/>
      <c r="BQ436" s="936"/>
      <c r="BR436" s="936"/>
      <c r="BS436" s="936"/>
      <c r="BT436" s="936"/>
      <c r="BU436" s="936"/>
      <c r="BV436" s="936"/>
      <c r="BW436" s="936"/>
      <c r="BX436" s="936"/>
      <c r="BY436" s="936"/>
      <c r="BZ436" s="936"/>
      <c r="CA436" s="936"/>
      <c r="CB436" s="936"/>
      <c r="CC436" s="936"/>
      <c r="CD436" s="936"/>
      <c r="CE436" s="936"/>
      <c r="CF436" s="936"/>
      <c r="CG436" s="936"/>
      <c r="CH436" s="936"/>
      <c r="CI436" s="938"/>
      <c r="CJ436" s="936"/>
      <c r="CK436" s="936"/>
      <c r="CL436" s="936"/>
      <c r="CM436" s="936"/>
      <c r="CN436" s="936"/>
      <c r="CO436" s="936"/>
    </row>
    <row r="437" spans="1:93" s="824" customFormat="1" ht="13.9" hidden="1" customHeight="1" outlineLevel="1">
      <c r="A437" s="747"/>
      <c r="B437" s="1015" t="s">
        <v>1679</v>
      </c>
      <c r="C437" s="1207" t="s">
        <v>1680</v>
      </c>
      <c r="D437" s="1186"/>
      <c r="E437" s="1187"/>
      <c r="F437" s="1188"/>
      <c r="G437" s="1188"/>
      <c r="H437" s="988" t="s">
        <v>100</v>
      </c>
      <c r="I437" s="1189"/>
      <c r="J437" s="989"/>
      <c r="K437" s="990"/>
      <c r="L437" s="987"/>
      <c r="M437" s="992">
        <v>1</v>
      </c>
      <c r="N437" s="993">
        <f t="shared" si="491"/>
        <v>1</v>
      </c>
      <c r="O437" s="994">
        <v>1</v>
      </c>
      <c r="P437" s="989">
        <f t="shared" si="492"/>
        <v>1</v>
      </c>
      <c r="Q437" s="1007">
        <v>1</v>
      </c>
      <c r="R437" s="1208">
        <v>1</v>
      </c>
      <c r="S437" s="1007">
        <f t="shared" si="469"/>
        <v>1</v>
      </c>
      <c r="T437" s="1020" t="s">
        <v>46</v>
      </c>
      <c r="U437" s="1019">
        <v>3</v>
      </c>
      <c r="V437" s="1000">
        <f t="shared" si="493"/>
        <v>1</v>
      </c>
      <c r="W437" s="989">
        <v>1.3</v>
      </c>
      <c r="X437" s="1008">
        <v>0.21</v>
      </c>
      <c r="Y437" s="1009">
        <f t="shared" si="494"/>
        <v>0.21</v>
      </c>
      <c r="Z437" s="1003">
        <f t="shared" si="495"/>
        <v>3.9000000000000004</v>
      </c>
      <c r="AA437" s="1004">
        <v>1</v>
      </c>
      <c r="AB437" s="747"/>
      <c r="AC437" s="1005">
        <v>1</v>
      </c>
      <c r="AD437" s="1005">
        <v>1</v>
      </c>
      <c r="AE437" s="1005">
        <v>1</v>
      </c>
      <c r="AF437" s="1005">
        <v>1</v>
      </c>
      <c r="AH437" s="827"/>
      <c r="AJ437" s="828">
        <f t="shared" si="463"/>
        <v>0.21</v>
      </c>
      <c r="AK437" s="862"/>
      <c r="AL437" s="828">
        <f t="shared" si="464"/>
        <v>3.9000000000000004</v>
      </c>
      <c r="AM437" s="862"/>
      <c r="AO437" s="827"/>
      <c r="AQ437" s="930"/>
      <c r="AR437" s="747"/>
      <c r="AS437" s="828"/>
      <c r="AT437" s="964"/>
      <c r="AV437" s="827"/>
      <c r="AX437" s="934"/>
      <c r="AY437" s="936"/>
      <c r="AZ437" s="936"/>
      <c r="BA437" s="936"/>
      <c r="BB437" s="936"/>
      <c r="BC437" s="747"/>
      <c r="BD437" s="924"/>
      <c r="BE437" s="936"/>
      <c r="BF437" s="830"/>
      <c r="BG437" s="936"/>
      <c r="BH437" s="936"/>
      <c r="BI437" s="747"/>
      <c r="BJ437" s="936"/>
      <c r="BK437" s="936"/>
      <c r="BL437" s="936"/>
      <c r="BM437" s="936"/>
      <c r="BN437" s="936"/>
      <c r="BO437" s="936"/>
      <c r="BP437" s="936"/>
      <c r="BQ437" s="936"/>
      <c r="BR437" s="936"/>
      <c r="BS437" s="936"/>
      <c r="BT437" s="936"/>
      <c r="BU437" s="936"/>
      <c r="BV437" s="936"/>
      <c r="BW437" s="936"/>
      <c r="BX437" s="936"/>
      <c r="BY437" s="936"/>
      <c r="BZ437" s="936"/>
      <c r="CA437" s="936"/>
      <c r="CB437" s="936"/>
      <c r="CC437" s="936"/>
      <c r="CD437" s="936"/>
      <c r="CE437" s="936"/>
      <c r="CF437" s="936"/>
      <c r="CG437" s="936"/>
      <c r="CH437" s="936"/>
      <c r="CI437" s="938"/>
      <c r="CJ437" s="936"/>
      <c r="CK437" s="936"/>
      <c r="CL437" s="936"/>
      <c r="CM437" s="936"/>
      <c r="CN437" s="936"/>
      <c r="CO437" s="936"/>
    </row>
    <row r="438" spans="1:93" s="824" customFormat="1" ht="13.9" hidden="1" customHeight="1" outlineLevel="1">
      <c r="A438" s="747"/>
      <c r="B438" s="805" t="s">
        <v>1681</v>
      </c>
      <c r="C438" s="1201" t="s">
        <v>1682</v>
      </c>
      <c r="D438" s="1021"/>
      <c r="E438" s="1202"/>
      <c r="F438" s="977"/>
      <c r="G438" s="977"/>
      <c r="H438" s="457" t="s">
        <v>100</v>
      </c>
      <c r="I438" s="816"/>
      <c r="J438" s="811"/>
      <c r="K438" s="808"/>
      <c r="L438" s="809"/>
      <c r="M438" s="860">
        <v>1</v>
      </c>
      <c r="N438" s="813">
        <f t="shared" si="491"/>
        <v>1</v>
      </c>
      <c r="O438" s="814">
        <v>1</v>
      </c>
      <c r="P438" s="811">
        <f t="shared" si="492"/>
        <v>1</v>
      </c>
      <c r="Q438" s="815">
        <v>1</v>
      </c>
      <c r="R438" s="1206">
        <f>J$8</f>
        <v>0</v>
      </c>
      <c r="S438" s="815">
        <f t="shared" si="469"/>
        <v>0</v>
      </c>
      <c r="T438" s="1014" t="s">
        <v>115</v>
      </c>
      <c r="U438" s="946">
        <v>200000</v>
      </c>
      <c r="V438" s="927">
        <f t="shared" si="493"/>
        <v>6.8240753377917299E-5</v>
      </c>
      <c r="W438" s="811">
        <v>1</v>
      </c>
      <c r="X438" s="820">
        <v>0.21</v>
      </c>
      <c r="Y438" s="821">
        <f t="shared" si="494"/>
        <v>0</v>
      </c>
      <c r="Z438" s="822">
        <f t="shared" si="495"/>
        <v>0</v>
      </c>
      <c r="AA438" s="823">
        <v>1</v>
      </c>
      <c r="AB438" s="747"/>
      <c r="AC438" s="825">
        <v>1</v>
      </c>
      <c r="AD438" s="825">
        <v>1</v>
      </c>
      <c r="AE438" s="825">
        <v>1</v>
      </c>
      <c r="AF438" s="825">
        <v>1</v>
      </c>
      <c r="AH438" s="827"/>
      <c r="AJ438" s="828">
        <f t="shared" si="463"/>
        <v>0</v>
      </c>
      <c r="AK438" s="862"/>
      <c r="AL438" s="828">
        <f t="shared" si="464"/>
        <v>0</v>
      </c>
      <c r="AM438" s="862"/>
      <c r="AO438" s="827"/>
      <c r="AQ438" s="930"/>
      <c r="AR438" s="747"/>
      <c r="AS438" s="828"/>
      <c r="AT438" s="964"/>
      <c r="AV438" s="827"/>
      <c r="AX438" s="934"/>
      <c r="AY438" s="936"/>
      <c r="AZ438" s="936"/>
      <c r="BA438" s="936"/>
      <c r="BB438" s="936"/>
      <c r="BC438" s="747"/>
      <c r="BD438" s="924"/>
      <c r="BE438" s="936"/>
      <c r="BF438" s="830"/>
      <c r="BG438" s="936"/>
      <c r="BH438" s="936"/>
      <c r="BI438" s="747"/>
      <c r="BJ438" s="936"/>
      <c r="BK438" s="936"/>
      <c r="BL438" s="936"/>
      <c r="BM438" s="936"/>
      <c r="BN438" s="936"/>
      <c r="BO438" s="936"/>
      <c r="BP438" s="936"/>
      <c r="BQ438" s="936"/>
      <c r="BR438" s="936"/>
      <c r="BS438" s="936"/>
      <c r="BT438" s="936"/>
      <c r="BU438" s="936"/>
      <c r="BV438" s="936"/>
      <c r="BW438" s="936"/>
      <c r="BX438" s="936"/>
      <c r="BY438" s="936"/>
      <c r="BZ438" s="936"/>
      <c r="CA438" s="936"/>
      <c r="CB438" s="936"/>
      <c r="CC438" s="936"/>
      <c r="CD438" s="936"/>
      <c r="CE438" s="936"/>
      <c r="CF438" s="936"/>
      <c r="CG438" s="936"/>
      <c r="CH438" s="936"/>
      <c r="CI438" s="938"/>
      <c r="CJ438" s="936"/>
      <c r="CK438" s="936"/>
      <c r="CL438" s="936"/>
      <c r="CM438" s="936"/>
      <c r="CN438" s="936"/>
      <c r="CO438" s="936"/>
    </row>
    <row r="439" spans="1:93" s="824" customFormat="1" ht="13.9" hidden="1" customHeight="1" outlineLevel="1">
      <c r="A439" s="747"/>
      <c r="B439" s="1209" t="s">
        <v>1683</v>
      </c>
      <c r="C439" s="1210" t="s">
        <v>1684</v>
      </c>
      <c r="D439" s="1211"/>
      <c r="E439" s="1212"/>
      <c r="F439" s="1213"/>
      <c r="G439" s="1213"/>
      <c r="H439" s="1214" t="s">
        <v>100</v>
      </c>
      <c r="I439" s="1215"/>
      <c r="J439" s="1216"/>
      <c r="K439" s="1217"/>
      <c r="L439" s="1213"/>
      <c r="M439" s="1218">
        <v>1</v>
      </c>
      <c r="N439" s="1219">
        <f t="shared" si="491"/>
        <v>1</v>
      </c>
      <c r="O439" s="1212">
        <v>1</v>
      </c>
      <c r="P439" s="1216">
        <f t="shared" si="492"/>
        <v>1</v>
      </c>
      <c r="Q439" s="1220">
        <v>1</v>
      </c>
      <c r="R439" s="1221">
        <f>J$8</f>
        <v>0</v>
      </c>
      <c r="S439" s="1220">
        <f t="shared" si="469"/>
        <v>0</v>
      </c>
      <c r="T439" s="1222" t="s">
        <v>115</v>
      </c>
      <c r="U439" s="1223">
        <v>200000</v>
      </c>
      <c r="V439" s="1224">
        <f t="shared" si="493"/>
        <v>6.8240753377917299E-5</v>
      </c>
      <c r="W439" s="1225">
        <v>1</v>
      </c>
      <c r="X439" s="1226">
        <v>0.21</v>
      </c>
      <c r="Y439" s="1227">
        <f t="shared" si="494"/>
        <v>0</v>
      </c>
      <c r="Z439" s="1228">
        <f t="shared" si="495"/>
        <v>0</v>
      </c>
      <c r="AA439" s="1229">
        <v>1</v>
      </c>
      <c r="AB439" s="747"/>
      <c r="AC439" s="1230">
        <v>1</v>
      </c>
      <c r="AD439" s="1230">
        <v>1</v>
      </c>
      <c r="AE439" s="1230">
        <v>1</v>
      </c>
      <c r="AF439" s="1230">
        <v>1</v>
      </c>
      <c r="AH439" s="827"/>
      <c r="AJ439" s="828">
        <f t="shared" si="463"/>
        <v>0</v>
      </c>
      <c r="AK439" s="862"/>
      <c r="AL439" s="828">
        <f t="shared" si="464"/>
        <v>0</v>
      </c>
      <c r="AM439" s="862"/>
      <c r="AO439" s="827"/>
      <c r="AQ439" s="1085"/>
      <c r="AR439" s="1086"/>
      <c r="AS439" s="986"/>
      <c r="AT439" s="1075"/>
      <c r="AV439" s="827"/>
      <c r="AX439" s="1085"/>
      <c r="AY439" s="1086"/>
      <c r="AZ439" s="1086"/>
      <c r="BA439" s="1086"/>
      <c r="BB439" s="1086"/>
      <c r="BC439" s="1076"/>
      <c r="BD439" s="1075"/>
      <c r="BE439" s="936"/>
      <c r="BF439" s="830"/>
      <c r="BG439" s="936"/>
      <c r="BH439" s="936"/>
      <c r="BI439" s="747"/>
      <c r="BJ439" s="936"/>
      <c r="BK439" s="936"/>
      <c r="BL439" s="936"/>
      <c r="BM439" s="936"/>
      <c r="BN439" s="936"/>
      <c r="BO439" s="936"/>
      <c r="BP439" s="936"/>
      <c r="BQ439" s="936"/>
      <c r="BR439" s="936"/>
      <c r="BS439" s="936"/>
      <c r="BT439" s="936"/>
      <c r="BU439" s="936"/>
      <c r="BV439" s="936"/>
      <c r="BW439" s="936"/>
      <c r="BX439" s="936"/>
      <c r="BY439" s="936"/>
      <c r="BZ439" s="936"/>
      <c r="CA439" s="936"/>
      <c r="CB439" s="936"/>
      <c r="CC439" s="936"/>
      <c r="CD439" s="936"/>
      <c r="CE439" s="936"/>
      <c r="CF439" s="936"/>
      <c r="CG439" s="936"/>
      <c r="CH439" s="936"/>
      <c r="CI439" s="938"/>
      <c r="CJ439" s="936"/>
      <c r="CK439" s="936"/>
      <c r="CL439" s="936"/>
      <c r="CM439" s="936"/>
      <c r="CN439" s="936"/>
      <c r="CO439" s="936"/>
    </row>
    <row r="440" spans="1:93" s="479" customFormat="1" ht="15" collapsed="1">
      <c r="A440" s="370"/>
      <c r="B440" s="783" t="s">
        <v>1685</v>
      </c>
      <c r="C440" s="784" t="s">
        <v>1309</v>
      </c>
      <c r="D440" s="785">
        <f>+I$73</f>
        <v>950</v>
      </c>
      <c r="E440" s="786">
        <f>+J$73</f>
        <v>875</v>
      </c>
      <c r="F440" s="787">
        <f>+K$73</f>
        <v>1188</v>
      </c>
      <c r="G440" s="787"/>
      <c r="H440" s="788" t="s">
        <v>30</v>
      </c>
      <c r="I440" s="789" t="s">
        <v>1162</v>
      </c>
      <c r="J440" s="790" t="s">
        <v>1071</v>
      </c>
      <c r="K440" s="786" t="s">
        <v>1072</v>
      </c>
      <c r="L440" s="787" t="s">
        <v>21</v>
      </c>
      <c r="M440" s="791" t="s">
        <v>82</v>
      </c>
      <c r="N440" s="839" t="s">
        <v>1163</v>
      </c>
      <c r="O440" s="786" t="s">
        <v>1154</v>
      </c>
      <c r="P440" s="790" t="s">
        <v>1164</v>
      </c>
      <c r="Q440" s="793" t="s">
        <v>34</v>
      </c>
      <c r="R440" s="791">
        <v>1</v>
      </c>
      <c r="S440" s="793" t="s">
        <v>13</v>
      </c>
      <c r="T440" s="794" t="s">
        <v>128</v>
      </c>
      <c r="U440" s="794" t="s">
        <v>111</v>
      </c>
      <c r="V440" s="795" t="s">
        <v>32</v>
      </c>
      <c r="W440" s="796" t="s">
        <v>33</v>
      </c>
      <c r="X440" s="797"/>
      <c r="Y440" s="798">
        <f>SUM(Y441:Y498)</f>
        <v>0.22600000000000001</v>
      </c>
      <c r="Z440" s="799">
        <f>SUM(Z441:Z498)</f>
        <v>10.420338269414493</v>
      </c>
      <c r="AA440" s="800" t="str">
        <f>+AA$2</f>
        <v>SCU75M1</v>
      </c>
      <c r="AB440" s="747"/>
      <c r="AC440" s="801" t="str">
        <f>+AC$2</f>
        <v>SCU75M1</v>
      </c>
      <c r="AD440" s="801" t="str">
        <f>+AD$2</f>
        <v>SCU100M1</v>
      </c>
      <c r="AE440" s="801" t="str">
        <f>+AE$2</f>
        <v>SCU125M1</v>
      </c>
      <c r="AF440" s="802" t="str">
        <f>+AF$2</f>
        <v>SCU150M1</v>
      </c>
      <c r="AG440" s="370"/>
      <c r="AH440" s="521"/>
      <c r="AI440" s="370"/>
      <c r="AJ440" s="483"/>
      <c r="AK440" s="522">
        <f>SUM(AJ441:AJ498)</f>
        <v>0.22600000000000001</v>
      </c>
      <c r="AL440" s="401"/>
      <c r="AM440" s="523">
        <f>SUM(AL441:AL498)</f>
        <v>10.420338269414493</v>
      </c>
      <c r="AN440" s="370"/>
      <c r="AO440" s="721"/>
      <c r="AP440" s="370"/>
      <c r="AQ440" s="370"/>
      <c r="AS440" s="522"/>
      <c r="AU440" s="370"/>
      <c r="AV440" s="721"/>
      <c r="AW440" s="370"/>
      <c r="AX440" s="370"/>
      <c r="AY440" s="370"/>
      <c r="AZ440" s="370"/>
      <c r="BA440" s="370"/>
      <c r="BB440" s="370"/>
      <c r="BC440" s="370"/>
      <c r="BD440" s="370"/>
      <c r="BE440" s="370"/>
      <c r="BF440" s="524"/>
      <c r="BG440" s="370"/>
      <c r="BH440" s="370"/>
      <c r="BI440" s="370"/>
      <c r="BJ440" s="370"/>
      <c r="BK440" s="370"/>
      <c r="BL440" s="370"/>
      <c r="BM440" s="370"/>
      <c r="BN440" s="370"/>
      <c r="BO440" s="370"/>
      <c r="BP440" s="370"/>
      <c r="BQ440" s="395"/>
      <c r="BR440" s="395"/>
      <c r="BS440" s="395"/>
      <c r="BT440" s="395"/>
      <c r="BU440" s="395"/>
      <c r="BV440" s="395"/>
      <c r="BW440" s="395"/>
      <c r="BX440" s="395"/>
      <c r="BY440" s="395"/>
      <c r="BZ440" s="395"/>
      <c r="CA440" s="936"/>
      <c r="CB440" s="936"/>
      <c r="CC440" s="936"/>
      <c r="CD440" s="936"/>
      <c r="CE440" s="936"/>
      <c r="CF440" s="936"/>
      <c r="CG440" s="936"/>
      <c r="CH440" s="370"/>
      <c r="CI440" s="511"/>
      <c r="CJ440" s="936"/>
      <c r="CK440" s="936"/>
      <c r="CL440" s="936"/>
      <c r="CM440" s="936"/>
      <c r="CN440" s="936"/>
      <c r="CO440" s="936"/>
    </row>
    <row r="441" spans="1:93" s="747" customFormat="1" ht="15">
      <c r="A441" s="370"/>
      <c r="B441" s="895" t="s">
        <v>1686</v>
      </c>
      <c r="C441" s="896"/>
      <c r="D441" s="897"/>
      <c r="E441" s="898"/>
      <c r="F441" s="899"/>
      <c r="G441" s="899"/>
      <c r="H441" s="900"/>
      <c r="I441" s="901"/>
      <c r="J441" s="902"/>
      <c r="K441" s="898"/>
      <c r="L441" s="899"/>
      <c r="M441" s="903"/>
      <c r="N441" s="904"/>
      <c r="O441" s="898"/>
      <c r="P441" s="902"/>
      <c r="Q441" s="905"/>
      <c r="R441" s="903"/>
      <c r="S441" s="905"/>
      <c r="T441" s="906"/>
      <c r="U441" s="906"/>
      <c r="V441" s="907"/>
      <c r="W441" s="908"/>
      <c r="X441" s="909"/>
      <c r="Y441" s="910"/>
      <c r="Z441" s="1069"/>
      <c r="AA441" s="911"/>
      <c r="AC441" s="912"/>
      <c r="AD441" s="912"/>
      <c r="AE441" s="912"/>
      <c r="AF441" s="913"/>
      <c r="AG441" s="370"/>
      <c r="AH441" s="521"/>
      <c r="AI441" s="370"/>
      <c r="AJ441" s="483">
        <f t="shared" ref="AJ441:AJ498" si="496">+Y441</f>
        <v>0</v>
      </c>
      <c r="AK441" s="522"/>
      <c r="AL441" s="401">
        <f t="shared" ref="AL441:AL498" si="497">+Z441</f>
        <v>0</v>
      </c>
      <c r="AM441" s="523"/>
      <c r="AN441" s="370"/>
      <c r="AO441" s="830"/>
      <c r="AP441" s="370"/>
      <c r="AQ441" s="370"/>
      <c r="AR441" s="479"/>
      <c r="AS441" s="522"/>
      <c r="AT441" s="479"/>
      <c r="AU441" s="370"/>
      <c r="AV441" s="830"/>
      <c r="AW441" s="370"/>
      <c r="AX441" s="370"/>
      <c r="AY441" s="370"/>
      <c r="AZ441" s="370"/>
      <c r="BA441" s="370"/>
      <c r="BB441" s="370"/>
      <c r="BC441" s="370"/>
      <c r="BD441" s="370"/>
      <c r="BE441" s="370"/>
      <c r="BF441" s="524"/>
      <c r="BG441" s="370"/>
      <c r="BH441" s="370"/>
      <c r="BI441" s="370"/>
      <c r="BJ441" s="370"/>
      <c r="BK441" s="370"/>
      <c r="BL441" s="370"/>
      <c r="BM441" s="370"/>
      <c r="BN441" s="370"/>
      <c r="BO441" s="370"/>
      <c r="BP441" s="370"/>
      <c r="BQ441" s="370"/>
      <c r="BR441" s="370"/>
      <c r="BS441" s="370"/>
      <c r="BT441" s="369"/>
      <c r="BU441" s="401"/>
      <c r="BV441" s="369"/>
      <c r="BW441" s="369"/>
      <c r="BX441" s="369"/>
      <c r="BY441" s="370"/>
      <c r="BZ441" s="369"/>
      <c r="CH441" s="370"/>
      <c r="CI441" s="521"/>
    </row>
    <row r="442" spans="1:93" s="747" customFormat="1" ht="13.9" hidden="1" customHeight="1" outlineLevel="1">
      <c r="B442" s="805" t="s">
        <v>1147</v>
      </c>
      <c r="C442" s="805" t="s">
        <v>1687</v>
      </c>
      <c r="D442" s="1021"/>
      <c r="E442" s="814"/>
      <c r="F442" s="977"/>
      <c r="G442" s="977"/>
      <c r="H442" s="457" t="s">
        <v>100</v>
      </c>
      <c r="I442" s="816"/>
      <c r="J442" s="811"/>
      <c r="K442" s="808"/>
      <c r="L442" s="809"/>
      <c r="M442" s="860">
        <v>1</v>
      </c>
      <c r="N442" s="813">
        <f>IF(I442&gt;0,22/28*((I442/1000)^2-(I442/1000-2*J442/1000)^2)*K442/1000,IF(J442&gt;0,J442/1000*K442/1000*L442/1000, IF(K442&gt;0,K442/1000*L442/1000, IF(L442=0,1,L442/1000))))</f>
        <v>1</v>
      </c>
      <c r="O442" s="814">
        <v>1</v>
      </c>
      <c r="P442" s="811">
        <f>M442*N442*O442</f>
        <v>1</v>
      </c>
      <c r="Q442" s="815">
        <v>1</v>
      </c>
      <c r="R442" s="505">
        <f>+R$440</f>
        <v>1</v>
      </c>
      <c r="S442" s="815">
        <f>P442*AA442*Q442*R442</f>
        <v>0</v>
      </c>
      <c r="T442" s="1014" t="s">
        <v>46</v>
      </c>
      <c r="U442" s="926">
        <v>360</v>
      </c>
      <c r="V442" s="927">
        <f>1/VLOOKUP(T442,Y$12:Z$18,2,FALSE)</f>
        <v>1</v>
      </c>
      <c r="W442" s="811">
        <v>1</v>
      </c>
      <c r="X442" s="820"/>
      <c r="Y442" s="821">
        <f>+P442*R442*AA442*X442</f>
        <v>0</v>
      </c>
      <c r="Z442" s="822">
        <f>S442*U442*V442*W442</f>
        <v>0</v>
      </c>
      <c r="AA442" s="823"/>
      <c r="AC442" s="825"/>
      <c r="AD442" s="825"/>
      <c r="AE442" s="825"/>
      <c r="AF442" s="825"/>
      <c r="AG442" s="824"/>
      <c r="AH442" s="827"/>
      <c r="AI442" s="824"/>
      <c r="AJ442" s="828">
        <f t="shared" si="496"/>
        <v>0</v>
      </c>
      <c r="AK442" s="862"/>
      <c r="AL442" s="828">
        <f t="shared" si="497"/>
        <v>0</v>
      </c>
      <c r="AM442" s="862"/>
      <c r="AN442" s="824"/>
      <c r="AO442" s="830"/>
      <c r="AP442" s="824"/>
      <c r="AQ442" s="824"/>
      <c r="AR442" s="824"/>
      <c r="AS442" s="862"/>
      <c r="AT442" s="824"/>
      <c r="AU442" s="824"/>
      <c r="AV442" s="830"/>
      <c r="AW442" s="824"/>
      <c r="AX442" s="824"/>
      <c r="AY442" s="824"/>
      <c r="AZ442" s="824"/>
      <c r="BA442" s="824"/>
      <c r="BB442" s="824"/>
      <c r="BC442" s="824"/>
      <c r="BD442" s="824"/>
      <c r="BE442" s="824"/>
      <c r="BF442" s="830"/>
      <c r="BG442" s="824"/>
      <c r="BH442" s="824"/>
      <c r="BI442" s="824"/>
      <c r="BJ442" s="824"/>
      <c r="BK442" s="824"/>
      <c r="BL442" s="824"/>
      <c r="BM442" s="824"/>
      <c r="BN442" s="824"/>
      <c r="BO442" s="824"/>
      <c r="BP442" s="824"/>
      <c r="BQ442" s="824"/>
      <c r="BR442" s="824"/>
      <c r="BS442" s="824"/>
      <c r="BY442" s="824"/>
      <c r="CH442" s="824"/>
      <c r="CI442" s="827"/>
    </row>
    <row r="443" spans="1:93" s="747" customFormat="1" ht="13.9" hidden="1" customHeight="1" outlineLevel="1">
      <c r="B443" s="1231" t="s">
        <v>1148</v>
      </c>
      <c r="C443" s="922" t="s">
        <v>1688</v>
      </c>
      <c r="D443" s="923"/>
      <c r="E443" s="808"/>
      <c r="F443" s="809"/>
      <c r="G443" s="809"/>
      <c r="H443" s="457" t="s">
        <v>100</v>
      </c>
      <c r="I443" s="930"/>
      <c r="J443" s="828"/>
      <c r="K443" s="808"/>
      <c r="L443" s="809"/>
      <c r="M443" s="860">
        <v>1</v>
      </c>
      <c r="N443" s="813">
        <f>IF(I443&gt;0,22/28*((I443/1000)^2-(I443/1000-2*J443/1000)^2)*K443/1000,IF(J443&gt;0,J443/1000*K443/1000*L443/1000, IF(K443&gt;0,K443/1000*L443/1000, IF(L443=0,1,L443/1000))))</f>
        <v>1</v>
      </c>
      <c r="O443" s="814">
        <v>1</v>
      </c>
      <c r="P443" s="828">
        <f>M443*N443*O443</f>
        <v>1</v>
      </c>
      <c r="Q443" s="815">
        <v>1</v>
      </c>
      <c r="R443" s="505">
        <f t="shared" ref="R443:R445" si="498">+R$440</f>
        <v>1</v>
      </c>
      <c r="S443" s="815">
        <f>P443*AA443*Q443*R443</f>
        <v>1</v>
      </c>
      <c r="T443" s="817" t="s">
        <v>115</v>
      </c>
      <c r="U443" s="946">
        <v>8500</v>
      </c>
      <c r="V443" s="927">
        <f>1/VLOOKUP(T443,Y$12:Z$18,2,FALSE)</f>
        <v>6.8240753377917299E-5</v>
      </c>
      <c r="W443" s="811">
        <v>1</v>
      </c>
      <c r="X443" s="820"/>
      <c r="Y443" s="1191">
        <f>+P443*R443*AA443*X443</f>
        <v>0</v>
      </c>
      <c r="Z443" s="929">
        <f>S443*U443*V443*W443</f>
        <v>0.58004640371229699</v>
      </c>
      <c r="AA443" s="823">
        <v>1</v>
      </c>
      <c r="AC443" s="825">
        <v>1</v>
      </c>
      <c r="AD443" s="825">
        <v>1</v>
      </c>
      <c r="AE443" s="825">
        <v>1</v>
      </c>
      <c r="AF443" s="825">
        <v>1</v>
      </c>
      <c r="AG443" s="824"/>
      <c r="AH443" s="827"/>
      <c r="AI443" s="824"/>
      <c r="AJ443" s="828">
        <f t="shared" si="496"/>
        <v>0</v>
      </c>
      <c r="AK443" s="862"/>
      <c r="AL443" s="828">
        <f t="shared" si="497"/>
        <v>0.58004640371229699</v>
      </c>
      <c r="AM443" s="862"/>
      <c r="AN443" s="824"/>
      <c r="AO443" s="830"/>
      <c r="AP443" s="824"/>
      <c r="AQ443" s="824"/>
      <c r="AR443" s="824"/>
      <c r="AS443" s="862"/>
      <c r="AT443" s="824"/>
      <c r="AU443" s="824"/>
      <c r="AV443" s="830"/>
      <c r="AW443" s="824"/>
      <c r="AX443" s="824"/>
      <c r="AY443" s="824"/>
      <c r="AZ443" s="824"/>
      <c r="BA443" s="824"/>
      <c r="BB443" s="824"/>
      <c r="BC443" s="824"/>
      <c r="BD443" s="824"/>
      <c r="BE443" s="824"/>
      <c r="BF443" s="830"/>
      <c r="BG443" s="824"/>
      <c r="BH443" s="824"/>
      <c r="BI443" s="824"/>
      <c r="BJ443" s="824"/>
      <c r="BK443" s="824"/>
      <c r="BL443" s="824"/>
      <c r="BM443" s="824"/>
      <c r="BN443" s="824"/>
      <c r="BO443" s="824"/>
      <c r="BP443" s="824"/>
      <c r="BQ443" s="824"/>
      <c r="BR443" s="824"/>
      <c r="BS443" s="824"/>
      <c r="BY443" s="824"/>
      <c r="CH443" s="824"/>
      <c r="CI443" s="827"/>
    </row>
    <row r="444" spans="1:93" s="747" customFormat="1" ht="13.9" hidden="1" customHeight="1" outlineLevel="1">
      <c r="B444" s="1231" t="s">
        <v>1149</v>
      </c>
      <c r="C444" s="922" t="s">
        <v>1689</v>
      </c>
      <c r="D444" s="923"/>
      <c r="E444" s="808"/>
      <c r="F444" s="809"/>
      <c r="G444" s="809"/>
      <c r="H444" s="457" t="s">
        <v>100</v>
      </c>
      <c r="I444" s="930"/>
      <c r="J444" s="828"/>
      <c r="K444" s="808"/>
      <c r="L444" s="809"/>
      <c r="M444" s="860">
        <v>1</v>
      </c>
      <c r="N444" s="813">
        <f>IF(I444&gt;0,22/28*((I444/1000)^2-(I444/1000-2*J444/1000)^2)*K444/1000,IF(J444&gt;0,J444/1000*K444/1000*L444/1000, IF(K444&gt;0,K444/1000*L444/1000, IF(L444=0,1,L444/1000))))</f>
        <v>1</v>
      </c>
      <c r="O444" s="814">
        <v>1</v>
      </c>
      <c r="P444" s="828">
        <f>M444*N444*O444</f>
        <v>1</v>
      </c>
      <c r="Q444" s="815">
        <v>1</v>
      </c>
      <c r="R444" s="505">
        <f t="shared" si="498"/>
        <v>1</v>
      </c>
      <c r="S444" s="815">
        <f>P444*AA444*Q444*R444</f>
        <v>1</v>
      </c>
      <c r="T444" s="817" t="s">
        <v>115</v>
      </c>
      <c r="U444" s="946">
        <v>15750</v>
      </c>
      <c r="V444" s="927">
        <f>1/VLOOKUP(T444,Y$12:Z$18,2,FALSE)</f>
        <v>6.8240753377917299E-5</v>
      </c>
      <c r="W444" s="811">
        <v>1</v>
      </c>
      <c r="X444" s="820"/>
      <c r="Y444" s="1191">
        <f>+P444*R444*AA444*X444</f>
        <v>0</v>
      </c>
      <c r="Z444" s="929">
        <f>S444*U444*V444*W444</f>
        <v>1.0747918657021975</v>
      </c>
      <c r="AA444" s="823">
        <v>1</v>
      </c>
      <c r="AC444" s="825">
        <v>1</v>
      </c>
      <c r="AD444" s="825">
        <v>1</v>
      </c>
      <c r="AE444" s="825">
        <v>1</v>
      </c>
      <c r="AF444" s="825">
        <v>1</v>
      </c>
      <c r="AG444" s="824"/>
      <c r="AH444" s="827"/>
      <c r="AI444" s="824"/>
      <c r="AJ444" s="828">
        <f t="shared" si="496"/>
        <v>0</v>
      </c>
      <c r="AK444" s="862"/>
      <c r="AL444" s="828">
        <f t="shared" si="497"/>
        <v>1.0747918657021975</v>
      </c>
      <c r="AM444" s="862"/>
      <c r="AN444" s="824"/>
      <c r="AO444" s="830"/>
      <c r="AP444" s="824"/>
      <c r="AQ444" s="824"/>
      <c r="AR444" s="824"/>
      <c r="AS444" s="862"/>
      <c r="AT444" s="824"/>
      <c r="AU444" s="824"/>
      <c r="AV444" s="830"/>
      <c r="AW444" s="824"/>
      <c r="AX444" s="824"/>
      <c r="AY444" s="824"/>
      <c r="AZ444" s="824"/>
      <c r="BA444" s="824"/>
      <c r="BB444" s="824"/>
      <c r="BC444" s="824"/>
      <c r="BD444" s="824"/>
      <c r="BE444" s="824"/>
      <c r="BF444" s="830"/>
      <c r="BG444" s="824"/>
      <c r="BH444" s="824"/>
      <c r="BI444" s="824"/>
      <c r="BJ444" s="824"/>
      <c r="BK444" s="824"/>
      <c r="BL444" s="824"/>
      <c r="BM444" s="824"/>
      <c r="BN444" s="824"/>
      <c r="BO444" s="824"/>
      <c r="BP444" s="824"/>
      <c r="BQ444" s="824"/>
      <c r="BR444" s="824"/>
      <c r="BS444" s="824"/>
      <c r="BY444" s="824"/>
      <c r="CH444" s="824"/>
      <c r="CI444" s="827"/>
    </row>
    <row r="445" spans="1:93" s="747" customFormat="1" ht="13.9" hidden="1" customHeight="1" outlineLevel="1">
      <c r="B445" s="1015" t="s">
        <v>1640</v>
      </c>
      <c r="C445" s="1015"/>
      <c r="D445" s="1186"/>
      <c r="E445" s="1187"/>
      <c r="F445" s="1188"/>
      <c r="G445" s="1188"/>
      <c r="H445" s="988" t="s">
        <v>100</v>
      </c>
      <c r="I445" s="1189"/>
      <c r="J445" s="989"/>
      <c r="K445" s="990"/>
      <c r="L445" s="987"/>
      <c r="M445" s="992">
        <v>1</v>
      </c>
      <c r="N445" s="993">
        <f>IF(I445&gt;0,22/28*((I445/1000)^2-(I445/1000-2*J445/1000)^2)*K445/1000,IF(J445&gt;0,J445/1000*K445/1000*L445/1000, IF(K445&gt;0,K445/1000*L445/1000, IF(L445=0,1,L445/1000))))</f>
        <v>1</v>
      </c>
      <c r="O445" s="994">
        <v>1</v>
      </c>
      <c r="P445" s="989">
        <f>M445*N445*O445</f>
        <v>1</v>
      </c>
      <c r="Q445" s="1007">
        <v>1</v>
      </c>
      <c r="R445" s="996">
        <f t="shared" si="498"/>
        <v>1</v>
      </c>
      <c r="S445" s="1007">
        <f>P445*AA445*Q445*R445</f>
        <v>1</v>
      </c>
      <c r="T445" s="1020" t="s">
        <v>46</v>
      </c>
      <c r="U445" s="1019">
        <v>5.7119999999999997</v>
      </c>
      <c r="V445" s="1190">
        <f>1/VLOOKUP(T445,Y$12:Z$18,2,FALSE)</f>
        <v>1</v>
      </c>
      <c r="W445" s="989">
        <v>1.5</v>
      </c>
      <c r="X445" s="820">
        <v>0.2</v>
      </c>
      <c r="Y445" s="1191">
        <f>+P445*R445*AA445*X445</f>
        <v>0.2</v>
      </c>
      <c r="Z445" s="929">
        <f>S445*U445*V445*W445</f>
        <v>8.5679999999999996</v>
      </c>
      <c r="AA445" s="823">
        <v>1</v>
      </c>
      <c r="AC445" s="1005">
        <v>1</v>
      </c>
      <c r="AD445" s="1005">
        <v>1</v>
      </c>
      <c r="AE445" s="1005">
        <v>1</v>
      </c>
      <c r="AF445" s="1005">
        <v>1</v>
      </c>
      <c r="AH445" s="827"/>
      <c r="AI445" s="824"/>
      <c r="AJ445" s="828">
        <f t="shared" si="496"/>
        <v>0.2</v>
      </c>
      <c r="AK445" s="862"/>
      <c r="AL445" s="828">
        <f t="shared" si="497"/>
        <v>8.5679999999999996</v>
      </c>
      <c r="AM445" s="862"/>
      <c r="AN445" s="824"/>
      <c r="AO445" s="830"/>
      <c r="AS445" s="828"/>
      <c r="AV445" s="830"/>
      <c r="BF445" s="830"/>
      <c r="BI445" s="824"/>
      <c r="CI445" s="830"/>
    </row>
    <row r="446" spans="1:93" s="479" customFormat="1" ht="15" collapsed="1">
      <c r="A446" s="370"/>
      <c r="B446" s="895" t="s">
        <v>1690</v>
      </c>
      <c r="C446" s="896"/>
      <c r="D446" s="897"/>
      <c r="E446" s="898"/>
      <c r="F446" s="899"/>
      <c r="G446" s="899"/>
      <c r="H446" s="900"/>
      <c r="I446" s="901"/>
      <c r="J446" s="902"/>
      <c r="K446" s="898"/>
      <c r="L446" s="899"/>
      <c r="M446" s="903"/>
      <c r="N446" s="907"/>
      <c r="O446" s="898"/>
      <c r="P446" s="902"/>
      <c r="Q446" s="905"/>
      <c r="R446" s="903"/>
      <c r="S446" s="905"/>
      <c r="T446" s="906"/>
      <c r="U446" s="906"/>
      <c r="V446" s="907"/>
      <c r="W446" s="908"/>
      <c r="X446" s="909"/>
      <c r="Y446" s="1232"/>
      <c r="Z446" s="1069"/>
      <c r="AA446" s="911"/>
      <c r="AB446" s="370"/>
      <c r="AC446" s="912"/>
      <c r="AD446" s="912"/>
      <c r="AE446" s="912"/>
      <c r="AF446" s="913"/>
      <c r="AG446" s="370"/>
      <c r="AH446" s="521"/>
      <c r="AI446" s="370"/>
      <c r="AJ446" s="483">
        <f t="shared" si="496"/>
        <v>0</v>
      </c>
      <c r="AK446" s="522"/>
      <c r="AL446" s="401">
        <f t="shared" si="497"/>
        <v>0</v>
      </c>
      <c r="AM446" s="523"/>
      <c r="AN446" s="370"/>
      <c r="AO446" s="521"/>
      <c r="AP446" s="936"/>
      <c r="AQ446" s="370"/>
      <c r="AU446" s="936"/>
      <c r="AV446" s="521"/>
      <c r="AW446" s="936"/>
      <c r="AX446" s="370"/>
      <c r="AY446" s="370"/>
      <c r="AZ446" s="370"/>
      <c r="BA446" s="370"/>
      <c r="BB446" s="370"/>
      <c r="BC446" s="370"/>
      <c r="BD446" s="370"/>
      <c r="BE446" s="370"/>
      <c r="BF446" s="524"/>
      <c r="BG446" s="370"/>
      <c r="BH446" s="370"/>
      <c r="BI446" s="370"/>
      <c r="BJ446" s="370"/>
      <c r="BK446" s="370"/>
      <c r="BL446" s="370"/>
      <c r="BM446" s="370"/>
      <c r="BN446" s="370"/>
      <c r="BO446" s="370"/>
      <c r="BP446" s="370"/>
      <c r="BQ446" s="370"/>
      <c r="BR446" s="370"/>
      <c r="BS446" s="370"/>
      <c r="BT446" s="370"/>
      <c r="BU446" s="370"/>
      <c r="BV446" s="370"/>
      <c r="BW446" s="370"/>
      <c r="BX446" s="370"/>
      <c r="BY446" s="370"/>
      <c r="BZ446" s="370"/>
      <c r="CH446" s="370"/>
      <c r="CI446" s="521"/>
    </row>
    <row r="447" spans="1:93" s="824" customFormat="1" ht="13.9" hidden="1" customHeight="1" outlineLevel="1">
      <c r="B447" s="921" t="s">
        <v>1691</v>
      </c>
      <c r="C447" s="922"/>
      <c r="D447" s="923"/>
      <c r="E447" s="841"/>
      <c r="F447" s="809"/>
      <c r="G447" s="1233"/>
      <c r="H447" s="924" t="s">
        <v>100</v>
      </c>
      <c r="I447" s="1234"/>
      <c r="J447" s="979"/>
      <c r="K447" s="1235"/>
      <c r="L447" s="809"/>
      <c r="M447" s="1236">
        <v>1</v>
      </c>
      <c r="N447" s="927">
        <f t="shared" ref="N447:N458" si="499">IF(I447&gt;0,22/28*((I447/1000)^2-(I447/1000-2*J447/1000)^2)*K447/1000,IF(J447&gt;0,J447/1000*K447/1000*L447/1000, IF(K447&gt;0,K447/1000*L447/1000, IF(L447=0,1,L447/1000))))</f>
        <v>1</v>
      </c>
      <c r="O447" s="814">
        <v>1</v>
      </c>
      <c r="P447" s="811">
        <f t="shared" ref="P447:P458" si="500">M447*N447*O447</f>
        <v>1</v>
      </c>
      <c r="Q447" s="815">
        <v>1</v>
      </c>
      <c r="R447" s="505">
        <f>+R$440</f>
        <v>1</v>
      </c>
      <c r="S447" s="815">
        <f t="shared" ref="S447:S458" si="501">P447*AA447*Q447*R447</f>
        <v>0</v>
      </c>
      <c r="T447" s="946" t="s">
        <v>46</v>
      </c>
      <c r="U447" s="1237">
        <v>1.4E-2</v>
      </c>
      <c r="V447" s="927">
        <f t="shared" ref="V447:V458" si="502">1/VLOOKUP(T447,Y$12:Z$18,2,FALSE)</f>
        <v>1</v>
      </c>
      <c r="W447" s="935">
        <v>1</v>
      </c>
      <c r="X447" s="820">
        <v>1E-3</v>
      </c>
      <c r="Y447" s="1238">
        <f t="shared" ref="Y447:Y458" si="503">+P447*R447*AA447*X447</f>
        <v>0</v>
      </c>
      <c r="Z447" s="929">
        <f t="shared" ref="Z447:Z458" si="504">S447*U447*V447*W447</f>
        <v>0</v>
      </c>
      <c r="AA447" s="823"/>
      <c r="AC447" s="1103"/>
      <c r="AD447" s="1103"/>
      <c r="AE447" s="1103"/>
      <c r="AF447" s="825"/>
      <c r="AH447" s="827"/>
      <c r="AJ447" s="828">
        <f t="shared" si="496"/>
        <v>0</v>
      </c>
      <c r="AK447" s="862"/>
      <c r="AL447" s="828">
        <f t="shared" si="497"/>
        <v>0</v>
      </c>
      <c r="AM447" s="862"/>
      <c r="AO447" s="827"/>
      <c r="AV447" s="827"/>
      <c r="BF447" s="830"/>
      <c r="CI447" s="827"/>
    </row>
    <row r="448" spans="1:93" s="824" customFormat="1" ht="13.9" hidden="1" customHeight="1" outlineLevel="1">
      <c r="B448" s="921" t="s">
        <v>1692</v>
      </c>
      <c r="C448" s="922"/>
      <c r="D448" s="1239"/>
      <c r="E448" s="841"/>
      <c r="F448" s="809"/>
      <c r="G448" s="1233"/>
      <c r="H448" s="924" t="s">
        <v>100</v>
      </c>
      <c r="I448" s="1234"/>
      <c r="J448" s="979"/>
      <c r="K448" s="1235"/>
      <c r="L448" s="1233"/>
      <c r="M448" s="1236">
        <v>1</v>
      </c>
      <c r="N448" s="927">
        <f t="shared" si="499"/>
        <v>1</v>
      </c>
      <c r="O448" s="814">
        <v>1</v>
      </c>
      <c r="P448" s="811">
        <f t="shared" si="500"/>
        <v>1</v>
      </c>
      <c r="Q448" s="815">
        <v>1</v>
      </c>
      <c r="R448" s="505">
        <f t="shared" ref="R448:R498" si="505">+R$440</f>
        <v>1</v>
      </c>
      <c r="S448" s="815">
        <f t="shared" si="501"/>
        <v>0</v>
      </c>
      <c r="T448" s="946" t="s">
        <v>46</v>
      </c>
      <c r="U448" s="1237">
        <v>0.02</v>
      </c>
      <c r="V448" s="927">
        <f t="shared" si="502"/>
        <v>1</v>
      </c>
      <c r="W448" s="935">
        <v>1</v>
      </c>
      <c r="X448" s="820">
        <v>2E-3</v>
      </c>
      <c r="Y448" s="1238">
        <f t="shared" si="503"/>
        <v>0</v>
      </c>
      <c r="Z448" s="929">
        <f t="shared" si="504"/>
        <v>0</v>
      </c>
      <c r="AA448" s="823"/>
      <c r="AC448" s="1103"/>
      <c r="AD448" s="1103"/>
      <c r="AE448" s="1103"/>
      <c r="AF448" s="825"/>
      <c r="AH448" s="827"/>
      <c r="AJ448" s="828">
        <f t="shared" si="496"/>
        <v>0</v>
      </c>
      <c r="AK448" s="862"/>
      <c r="AL448" s="828">
        <f t="shared" si="497"/>
        <v>0</v>
      </c>
      <c r="AM448" s="862"/>
      <c r="AO448" s="827"/>
      <c r="AV448" s="827"/>
      <c r="BF448" s="830"/>
      <c r="CI448" s="827"/>
    </row>
    <row r="449" spans="1:87" s="824" customFormat="1" ht="13.9" hidden="1" customHeight="1" outlineLevel="1">
      <c r="B449" s="921" t="s">
        <v>1693</v>
      </c>
      <c r="C449" s="922"/>
      <c r="D449" s="1239"/>
      <c r="E449" s="841"/>
      <c r="F449" s="809"/>
      <c r="G449" s="1233"/>
      <c r="H449" s="924" t="s">
        <v>100</v>
      </c>
      <c r="I449" s="1234"/>
      <c r="J449" s="979"/>
      <c r="K449" s="1235"/>
      <c r="L449" s="1233"/>
      <c r="M449" s="1236">
        <v>1</v>
      </c>
      <c r="N449" s="927">
        <f t="shared" si="499"/>
        <v>1</v>
      </c>
      <c r="O449" s="814">
        <v>1</v>
      </c>
      <c r="P449" s="811">
        <f t="shared" si="500"/>
        <v>1</v>
      </c>
      <c r="Q449" s="815">
        <v>1</v>
      </c>
      <c r="R449" s="505">
        <f t="shared" si="505"/>
        <v>1</v>
      </c>
      <c r="S449" s="815">
        <f t="shared" si="501"/>
        <v>0</v>
      </c>
      <c r="T449" s="946" t="s">
        <v>46</v>
      </c>
      <c r="U449" s="1237">
        <v>2.5000000000000001E-2</v>
      </c>
      <c r="V449" s="927">
        <f t="shared" si="502"/>
        <v>1</v>
      </c>
      <c r="W449" s="935">
        <v>1</v>
      </c>
      <c r="X449" s="820">
        <v>3.0000000000000001E-3</v>
      </c>
      <c r="Y449" s="1238">
        <f t="shared" si="503"/>
        <v>0</v>
      </c>
      <c r="Z449" s="929">
        <f t="shared" si="504"/>
        <v>0</v>
      </c>
      <c r="AA449" s="823"/>
      <c r="AC449" s="1103"/>
      <c r="AD449" s="1103"/>
      <c r="AE449" s="1103"/>
      <c r="AF449" s="825"/>
      <c r="AH449" s="827"/>
      <c r="AJ449" s="828">
        <f t="shared" si="496"/>
        <v>0</v>
      </c>
      <c r="AK449" s="862"/>
      <c r="AL449" s="828">
        <f t="shared" si="497"/>
        <v>0</v>
      </c>
      <c r="AM449" s="862"/>
      <c r="AO449" s="827"/>
      <c r="AV449" s="827"/>
      <c r="BF449" s="830"/>
      <c r="CI449" s="827"/>
    </row>
    <row r="450" spans="1:87" s="824" customFormat="1" ht="13.9" hidden="1" customHeight="1" outlineLevel="1">
      <c r="B450" s="921" t="s">
        <v>1694</v>
      </c>
      <c r="C450" s="922"/>
      <c r="D450" s="1239"/>
      <c r="E450" s="841"/>
      <c r="F450" s="809"/>
      <c r="G450" s="1233"/>
      <c r="H450" s="924" t="s">
        <v>100</v>
      </c>
      <c r="I450" s="1234"/>
      <c r="J450" s="979"/>
      <c r="K450" s="1235"/>
      <c r="L450" s="1233"/>
      <c r="M450" s="1236">
        <v>1</v>
      </c>
      <c r="N450" s="927">
        <f t="shared" si="499"/>
        <v>1</v>
      </c>
      <c r="O450" s="814">
        <v>1</v>
      </c>
      <c r="P450" s="811">
        <f t="shared" si="500"/>
        <v>1</v>
      </c>
      <c r="Q450" s="815">
        <v>1</v>
      </c>
      <c r="R450" s="505">
        <f t="shared" si="505"/>
        <v>1</v>
      </c>
      <c r="S450" s="815">
        <f t="shared" si="501"/>
        <v>0</v>
      </c>
      <c r="T450" s="946" t="s">
        <v>46</v>
      </c>
      <c r="U450" s="1237">
        <v>1.4E-2</v>
      </c>
      <c r="V450" s="927">
        <f t="shared" si="502"/>
        <v>1</v>
      </c>
      <c r="W450" s="935">
        <v>1</v>
      </c>
      <c r="X450" s="820">
        <v>1E-3</v>
      </c>
      <c r="Y450" s="1238">
        <f t="shared" si="503"/>
        <v>0</v>
      </c>
      <c r="Z450" s="929">
        <f t="shared" si="504"/>
        <v>0</v>
      </c>
      <c r="AA450" s="823"/>
      <c r="AC450" s="1103"/>
      <c r="AD450" s="1103"/>
      <c r="AE450" s="1103"/>
      <c r="AF450" s="825"/>
      <c r="AH450" s="827"/>
      <c r="AJ450" s="828">
        <f t="shared" si="496"/>
        <v>0</v>
      </c>
      <c r="AK450" s="862"/>
      <c r="AL450" s="828">
        <f t="shared" si="497"/>
        <v>0</v>
      </c>
      <c r="AM450" s="862"/>
      <c r="AO450" s="827"/>
      <c r="AV450" s="827"/>
      <c r="BF450" s="830"/>
      <c r="CI450" s="827"/>
    </row>
    <row r="451" spans="1:87" s="824" customFormat="1" ht="13.9" hidden="1" customHeight="1" outlineLevel="1">
      <c r="B451" s="921" t="s">
        <v>1695</v>
      </c>
      <c r="C451" s="922"/>
      <c r="D451" s="1239"/>
      <c r="E451" s="841"/>
      <c r="F451" s="809"/>
      <c r="G451" s="1233"/>
      <c r="H451" s="924" t="s">
        <v>100</v>
      </c>
      <c r="I451" s="1234"/>
      <c r="J451" s="979"/>
      <c r="K451" s="1235"/>
      <c r="L451" s="1233"/>
      <c r="M451" s="1236">
        <v>1</v>
      </c>
      <c r="N451" s="927">
        <f t="shared" si="499"/>
        <v>1</v>
      </c>
      <c r="O451" s="814">
        <v>1</v>
      </c>
      <c r="P451" s="811">
        <f t="shared" si="500"/>
        <v>1</v>
      </c>
      <c r="Q451" s="815">
        <v>1</v>
      </c>
      <c r="R451" s="505">
        <f t="shared" si="505"/>
        <v>1</v>
      </c>
      <c r="S451" s="815">
        <f t="shared" si="501"/>
        <v>3</v>
      </c>
      <c r="T451" s="946" t="s">
        <v>46</v>
      </c>
      <c r="U451" s="1237">
        <v>0.02</v>
      </c>
      <c r="V451" s="927">
        <f t="shared" si="502"/>
        <v>1</v>
      </c>
      <c r="W451" s="935">
        <v>1</v>
      </c>
      <c r="X451" s="820">
        <v>2E-3</v>
      </c>
      <c r="Y451" s="1238">
        <f t="shared" si="503"/>
        <v>6.0000000000000001E-3</v>
      </c>
      <c r="Z451" s="929">
        <f t="shared" si="504"/>
        <v>0.06</v>
      </c>
      <c r="AA451" s="823">
        <v>3</v>
      </c>
      <c r="AC451" s="1103">
        <v>3</v>
      </c>
      <c r="AD451" s="1103">
        <v>3</v>
      </c>
      <c r="AE451" s="1103">
        <v>3</v>
      </c>
      <c r="AF451" s="825">
        <v>3</v>
      </c>
      <c r="AH451" s="827"/>
      <c r="AJ451" s="828">
        <f t="shared" si="496"/>
        <v>6.0000000000000001E-3</v>
      </c>
      <c r="AK451" s="862"/>
      <c r="AL451" s="828">
        <f t="shared" si="497"/>
        <v>0.06</v>
      </c>
      <c r="AM451" s="862"/>
      <c r="AO451" s="827"/>
      <c r="AV451" s="827"/>
      <c r="BF451" s="830"/>
      <c r="CI451" s="827"/>
    </row>
    <row r="452" spans="1:87" s="824" customFormat="1" ht="13.9" hidden="1" customHeight="1" outlineLevel="1">
      <c r="B452" s="921" t="s">
        <v>1166</v>
      </c>
      <c r="C452" s="922"/>
      <c r="D452" s="1239"/>
      <c r="E452" s="841"/>
      <c r="F452" s="809"/>
      <c r="G452" s="1233"/>
      <c r="H452" s="924" t="s">
        <v>100</v>
      </c>
      <c r="I452" s="1234"/>
      <c r="J452" s="979"/>
      <c r="K452" s="1235"/>
      <c r="L452" s="1233"/>
      <c r="M452" s="1236">
        <v>1</v>
      </c>
      <c r="N452" s="927">
        <f t="shared" si="499"/>
        <v>1</v>
      </c>
      <c r="O452" s="814">
        <v>1</v>
      </c>
      <c r="P452" s="811">
        <f t="shared" si="500"/>
        <v>1</v>
      </c>
      <c r="Q452" s="815">
        <v>1</v>
      </c>
      <c r="R452" s="505">
        <f t="shared" si="505"/>
        <v>1</v>
      </c>
      <c r="S452" s="815">
        <f t="shared" si="501"/>
        <v>0</v>
      </c>
      <c r="T452" s="946" t="s">
        <v>46</v>
      </c>
      <c r="U452" s="1237">
        <v>2.75E-2</v>
      </c>
      <c r="V452" s="927">
        <f t="shared" si="502"/>
        <v>1</v>
      </c>
      <c r="W452" s="935">
        <v>1</v>
      </c>
      <c r="X452" s="820">
        <v>4.0000000000000001E-3</v>
      </c>
      <c r="Y452" s="1238">
        <f t="shared" si="503"/>
        <v>0</v>
      </c>
      <c r="Z452" s="929">
        <f t="shared" si="504"/>
        <v>0</v>
      </c>
      <c r="AA452" s="823"/>
      <c r="AC452" s="1103"/>
      <c r="AD452" s="1103"/>
      <c r="AE452" s="1103"/>
      <c r="AF452" s="825"/>
      <c r="AH452" s="827"/>
      <c r="AJ452" s="828">
        <f t="shared" si="496"/>
        <v>0</v>
      </c>
      <c r="AK452" s="862"/>
      <c r="AL452" s="828">
        <f t="shared" si="497"/>
        <v>0</v>
      </c>
      <c r="AM452" s="862"/>
      <c r="AO452" s="827"/>
      <c r="AV452" s="827"/>
      <c r="BF452" s="830"/>
      <c r="CI452" s="827"/>
    </row>
    <row r="453" spans="1:87" s="824" customFormat="1" ht="13.9" hidden="1" customHeight="1" outlineLevel="1">
      <c r="B453" s="921" t="s">
        <v>1696</v>
      </c>
      <c r="C453" s="922"/>
      <c r="D453" s="1239"/>
      <c r="E453" s="841"/>
      <c r="F453" s="809"/>
      <c r="G453" s="1233"/>
      <c r="H453" s="924" t="s">
        <v>100</v>
      </c>
      <c r="I453" s="1234"/>
      <c r="J453" s="979"/>
      <c r="K453" s="1235"/>
      <c r="L453" s="1233"/>
      <c r="M453" s="1236">
        <v>1</v>
      </c>
      <c r="N453" s="927">
        <f t="shared" si="499"/>
        <v>1</v>
      </c>
      <c r="O453" s="814">
        <v>1</v>
      </c>
      <c r="P453" s="811">
        <f t="shared" si="500"/>
        <v>1</v>
      </c>
      <c r="Q453" s="815">
        <v>1</v>
      </c>
      <c r="R453" s="505">
        <f t="shared" si="505"/>
        <v>1</v>
      </c>
      <c r="S453" s="815">
        <f t="shared" si="501"/>
        <v>0</v>
      </c>
      <c r="T453" s="946" t="s">
        <v>46</v>
      </c>
      <c r="U453" s="1237">
        <v>1.4E-2</v>
      </c>
      <c r="V453" s="927">
        <f t="shared" si="502"/>
        <v>1</v>
      </c>
      <c r="W453" s="935">
        <v>1</v>
      </c>
      <c r="X453" s="820">
        <v>1E-3</v>
      </c>
      <c r="Y453" s="1238">
        <f t="shared" si="503"/>
        <v>0</v>
      </c>
      <c r="Z453" s="929">
        <f t="shared" si="504"/>
        <v>0</v>
      </c>
      <c r="AA453" s="823"/>
      <c r="AC453" s="1103"/>
      <c r="AD453" s="1103"/>
      <c r="AE453" s="1103"/>
      <c r="AF453" s="825"/>
      <c r="AH453" s="827"/>
      <c r="AJ453" s="828">
        <f t="shared" si="496"/>
        <v>0</v>
      </c>
      <c r="AK453" s="862"/>
      <c r="AL453" s="828">
        <f t="shared" si="497"/>
        <v>0</v>
      </c>
      <c r="AM453" s="862"/>
      <c r="AO453" s="827"/>
      <c r="AV453" s="827"/>
      <c r="BF453" s="830"/>
      <c r="CI453" s="827"/>
    </row>
    <row r="454" spans="1:87" s="824" customFormat="1" ht="13.9" hidden="1" customHeight="1" outlineLevel="1">
      <c r="B454" s="921" t="s">
        <v>1167</v>
      </c>
      <c r="C454" s="922"/>
      <c r="D454" s="1239"/>
      <c r="E454" s="841"/>
      <c r="F454" s="809"/>
      <c r="G454" s="1233"/>
      <c r="H454" s="924" t="s">
        <v>100</v>
      </c>
      <c r="I454" s="1234"/>
      <c r="J454" s="979"/>
      <c r="K454" s="1235"/>
      <c r="L454" s="1233"/>
      <c r="M454" s="1236">
        <v>1</v>
      </c>
      <c r="N454" s="927">
        <f t="shared" si="499"/>
        <v>1</v>
      </c>
      <c r="O454" s="814">
        <v>1</v>
      </c>
      <c r="P454" s="811">
        <f t="shared" si="500"/>
        <v>1</v>
      </c>
      <c r="Q454" s="815">
        <v>1</v>
      </c>
      <c r="R454" s="505">
        <f t="shared" si="505"/>
        <v>1</v>
      </c>
      <c r="S454" s="815">
        <f t="shared" si="501"/>
        <v>0</v>
      </c>
      <c r="T454" s="946" t="s">
        <v>46</v>
      </c>
      <c r="U454" s="1237">
        <v>0.02</v>
      </c>
      <c r="V454" s="927">
        <f t="shared" si="502"/>
        <v>1</v>
      </c>
      <c r="W454" s="935">
        <v>1</v>
      </c>
      <c r="X454" s="820">
        <v>2E-3</v>
      </c>
      <c r="Y454" s="1238">
        <f t="shared" si="503"/>
        <v>0</v>
      </c>
      <c r="Z454" s="929">
        <f t="shared" si="504"/>
        <v>0</v>
      </c>
      <c r="AA454" s="823"/>
      <c r="AC454" s="1103"/>
      <c r="AD454" s="1103"/>
      <c r="AE454" s="1103"/>
      <c r="AF454" s="825"/>
      <c r="AH454" s="827"/>
      <c r="AJ454" s="828">
        <f t="shared" si="496"/>
        <v>0</v>
      </c>
      <c r="AK454" s="862"/>
      <c r="AL454" s="828">
        <f t="shared" si="497"/>
        <v>0</v>
      </c>
      <c r="AM454" s="862"/>
      <c r="AO454" s="827"/>
      <c r="AV454" s="827"/>
      <c r="BF454" s="830"/>
      <c r="CI454" s="827"/>
    </row>
    <row r="455" spans="1:87" s="824" customFormat="1" ht="13.9" hidden="1" customHeight="1" outlineLevel="1">
      <c r="B455" s="921" t="s">
        <v>1697</v>
      </c>
      <c r="C455" s="922"/>
      <c r="D455" s="1239"/>
      <c r="E455" s="841"/>
      <c r="F455" s="809"/>
      <c r="G455" s="1233"/>
      <c r="H455" s="924" t="s">
        <v>100</v>
      </c>
      <c r="I455" s="1234"/>
      <c r="J455" s="979"/>
      <c r="K455" s="1235"/>
      <c r="L455" s="1233"/>
      <c r="M455" s="1236">
        <v>1</v>
      </c>
      <c r="N455" s="927">
        <f t="shared" si="499"/>
        <v>1</v>
      </c>
      <c r="O455" s="814">
        <v>1</v>
      </c>
      <c r="P455" s="811">
        <f t="shared" si="500"/>
        <v>1</v>
      </c>
      <c r="Q455" s="815">
        <v>1</v>
      </c>
      <c r="R455" s="505">
        <f t="shared" si="505"/>
        <v>1</v>
      </c>
      <c r="S455" s="815">
        <f t="shared" si="501"/>
        <v>0</v>
      </c>
      <c r="T455" s="946" t="s">
        <v>46</v>
      </c>
      <c r="U455" s="1237">
        <v>2.5000000000000001E-2</v>
      </c>
      <c r="V455" s="927">
        <f t="shared" si="502"/>
        <v>1</v>
      </c>
      <c r="W455" s="935">
        <v>1</v>
      </c>
      <c r="X455" s="820">
        <v>3.0000000000000001E-3</v>
      </c>
      <c r="Y455" s="1238">
        <f t="shared" si="503"/>
        <v>0</v>
      </c>
      <c r="Z455" s="929">
        <f t="shared" si="504"/>
        <v>0</v>
      </c>
      <c r="AA455" s="823"/>
      <c r="AC455" s="1103"/>
      <c r="AD455" s="1103"/>
      <c r="AE455" s="1103"/>
      <c r="AF455" s="825"/>
      <c r="AH455" s="827"/>
      <c r="AJ455" s="828">
        <f t="shared" si="496"/>
        <v>0</v>
      </c>
      <c r="AK455" s="862"/>
      <c r="AL455" s="828">
        <f t="shared" si="497"/>
        <v>0</v>
      </c>
      <c r="AM455" s="862"/>
      <c r="AO455" s="827"/>
      <c r="AV455" s="827"/>
      <c r="BF455" s="830"/>
      <c r="CI455" s="827"/>
    </row>
    <row r="456" spans="1:87" s="824" customFormat="1" ht="13.9" hidden="1" customHeight="1" outlineLevel="1">
      <c r="B456" s="921" t="s">
        <v>1698</v>
      </c>
      <c r="C456" s="922"/>
      <c r="D456" s="1239"/>
      <c r="E456" s="841"/>
      <c r="F456" s="809"/>
      <c r="G456" s="1233"/>
      <c r="H456" s="924" t="s">
        <v>100</v>
      </c>
      <c r="I456" s="1234"/>
      <c r="J456" s="979"/>
      <c r="K456" s="1235"/>
      <c r="L456" s="1233"/>
      <c r="M456" s="1236">
        <v>1</v>
      </c>
      <c r="N456" s="927">
        <f t="shared" si="499"/>
        <v>1</v>
      </c>
      <c r="O456" s="814">
        <v>1</v>
      </c>
      <c r="P456" s="811">
        <f t="shared" si="500"/>
        <v>1</v>
      </c>
      <c r="Q456" s="815">
        <v>1</v>
      </c>
      <c r="R456" s="505">
        <f t="shared" si="505"/>
        <v>1</v>
      </c>
      <c r="S456" s="815">
        <f t="shared" si="501"/>
        <v>5</v>
      </c>
      <c r="T456" s="946" t="s">
        <v>46</v>
      </c>
      <c r="U456" s="1237">
        <v>2.75E-2</v>
      </c>
      <c r="V456" s="927">
        <f t="shared" si="502"/>
        <v>1</v>
      </c>
      <c r="W456" s="935">
        <v>1</v>
      </c>
      <c r="X456" s="820">
        <v>4.0000000000000001E-3</v>
      </c>
      <c r="Y456" s="1238">
        <f t="shared" si="503"/>
        <v>0.02</v>
      </c>
      <c r="Z456" s="929">
        <f t="shared" si="504"/>
        <v>0.13750000000000001</v>
      </c>
      <c r="AA456" s="823">
        <v>5</v>
      </c>
      <c r="AC456" s="1103">
        <v>5</v>
      </c>
      <c r="AD456" s="1103">
        <v>5</v>
      </c>
      <c r="AE456" s="1103">
        <v>5</v>
      </c>
      <c r="AF456" s="825">
        <v>9</v>
      </c>
      <c r="AH456" s="827"/>
      <c r="AJ456" s="828">
        <f t="shared" si="496"/>
        <v>0.02</v>
      </c>
      <c r="AK456" s="862"/>
      <c r="AL456" s="828">
        <f t="shared" si="497"/>
        <v>0.13750000000000001</v>
      </c>
      <c r="AM456" s="862"/>
      <c r="AO456" s="827"/>
      <c r="AV456" s="827"/>
      <c r="BF456" s="830"/>
      <c r="CI456" s="827"/>
    </row>
    <row r="457" spans="1:87" s="824" customFormat="1" ht="13.9" hidden="1" customHeight="1" outlineLevel="1">
      <c r="B457" s="921" t="s">
        <v>1699</v>
      </c>
      <c r="C457" s="922"/>
      <c r="D457" s="1239"/>
      <c r="E457" s="841"/>
      <c r="F457" s="809"/>
      <c r="G457" s="1233"/>
      <c r="H457" s="924" t="s">
        <v>100</v>
      </c>
      <c r="I457" s="1234"/>
      <c r="J457" s="979"/>
      <c r="K457" s="1235"/>
      <c r="L457" s="1233"/>
      <c r="M457" s="1236">
        <v>1</v>
      </c>
      <c r="N457" s="927">
        <f t="shared" si="499"/>
        <v>1</v>
      </c>
      <c r="O457" s="814">
        <v>1</v>
      </c>
      <c r="P457" s="811">
        <f t="shared" si="500"/>
        <v>1</v>
      </c>
      <c r="Q457" s="815">
        <v>1</v>
      </c>
      <c r="R457" s="505">
        <f t="shared" si="505"/>
        <v>1</v>
      </c>
      <c r="S457" s="815">
        <f t="shared" si="501"/>
        <v>0</v>
      </c>
      <c r="T457" s="946" t="s">
        <v>46</v>
      </c>
      <c r="U457" s="1237">
        <v>2.5000000000000001E-2</v>
      </c>
      <c r="V457" s="927">
        <f t="shared" si="502"/>
        <v>1</v>
      </c>
      <c r="W457" s="935">
        <v>1</v>
      </c>
      <c r="X457" s="820">
        <v>3.0000000000000001E-3</v>
      </c>
      <c r="Y457" s="1238">
        <f t="shared" si="503"/>
        <v>0</v>
      </c>
      <c r="Z457" s="929">
        <f t="shared" si="504"/>
        <v>0</v>
      </c>
      <c r="AA457" s="823"/>
      <c r="AC457" s="1103"/>
      <c r="AD457" s="1103"/>
      <c r="AE457" s="1103"/>
      <c r="AF457" s="825"/>
      <c r="AH457" s="827"/>
      <c r="AJ457" s="828">
        <f t="shared" si="496"/>
        <v>0</v>
      </c>
      <c r="AK457" s="862"/>
      <c r="AL457" s="828">
        <f t="shared" si="497"/>
        <v>0</v>
      </c>
      <c r="AM457" s="862"/>
      <c r="AO457" s="827"/>
      <c r="AV457" s="827"/>
      <c r="BF457" s="830"/>
      <c r="CI457" s="827"/>
    </row>
    <row r="458" spans="1:87" s="824" customFormat="1" ht="13.9" hidden="1" customHeight="1" outlineLevel="1">
      <c r="B458" s="1072" t="s">
        <v>1700</v>
      </c>
      <c r="C458" s="1073"/>
      <c r="D458" s="1240"/>
      <c r="E458" s="1010"/>
      <c r="F458" s="987"/>
      <c r="G458" s="1241"/>
      <c r="H458" s="1075" t="s">
        <v>100</v>
      </c>
      <c r="I458" s="1242"/>
      <c r="J458" s="1006"/>
      <c r="K458" s="1243"/>
      <c r="L458" s="1241"/>
      <c r="M458" s="1244">
        <v>1</v>
      </c>
      <c r="N458" s="1000">
        <f t="shared" si="499"/>
        <v>1</v>
      </c>
      <c r="O458" s="994">
        <v>1</v>
      </c>
      <c r="P458" s="989">
        <f t="shared" si="500"/>
        <v>1</v>
      </c>
      <c r="Q458" s="1007">
        <v>1</v>
      </c>
      <c r="R458" s="996">
        <f t="shared" si="505"/>
        <v>1</v>
      </c>
      <c r="S458" s="1007">
        <f t="shared" si="501"/>
        <v>0</v>
      </c>
      <c r="T458" s="999" t="s">
        <v>46</v>
      </c>
      <c r="U458" s="1245">
        <v>2.75E-2</v>
      </c>
      <c r="V458" s="1000">
        <f t="shared" si="502"/>
        <v>1</v>
      </c>
      <c r="W458" s="986">
        <v>1</v>
      </c>
      <c r="X458" s="1008">
        <v>4.0000000000000001E-3</v>
      </c>
      <c r="Y458" s="1246">
        <f t="shared" si="503"/>
        <v>0</v>
      </c>
      <c r="Z458" s="1080">
        <f t="shared" si="504"/>
        <v>0</v>
      </c>
      <c r="AA458" s="1004"/>
      <c r="AC458" s="1247"/>
      <c r="AD458" s="1247"/>
      <c r="AE458" s="1247"/>
      <c r="AF458" s="1005"/>
      <c r="AH458" s="827"/>
      <c r="AJ458" s="828">
        <f t="shared" si="496"/>
        <v>0</v>
      </c>
      <c r="AK458" s="862"/>
      <c r="AL458" s="828">
        <f t="shared" si="497"/>
        <v>0</v>
      </c>
      <c r="AM458" s="862"/>
      <c r="AO458" s="827"/>
      <c r="AQ458" s="936"/>
      <c r="AR458" s="936"/>
      <c r="AS458" s="936"/>
      <c r="AT458" s="936"/>
      <c r="AV458" s="827"/>
      <c r="AX458" s="936"/>
      <c r="AY458" s="936"/>
      <c r="AZ458" s="936"/>
      <c r="BA458" s="936"/>
      <c r="BB458" s="936"/>
      <c r="BC458" s="936"/>
      <c r="BF458" s="830"/>
      <c r="CI458" s="827"/>
    </row>
    <row r="459" spans="1:87" s="479" customFormat="1" ht="15" collapsed="1">
      <c r="A459" s="370"/>
      <c r="B459" s="895" t="s">
        <v>1701</v>
      </c>
      <c r="C459" s="896"/>
      <c r="D459" s="897"/>
      <c r="E459" s="898"/>
      <c r="F459" s="899"/>
      <c r="G459" s="899"/>
      <c r="H459" s="900"/>
      <c r="I459" s="901"/>
      <c r="J459" s="902"/>
      <c r="K459" s="898"/>
      <c r="L459" s="899"/>
      <c r="M459" s="903"/>
      <c r="N459" s="907"/>
      <c r="O459" s="898"/>
      <c r="P459" s="902"/>
      <c r="Q459" s="905"/>
      <c r="R459" s="903"/>
      <c r="S459" s="905"/>
      <c r="T459" s="906"/>
      <c r="U459" s="906"/>
      <c r="V459" s="907"/>
      <c r="W459" s="908"/>
      <c r="X459" s="909"/>
      <c r="Y459" s="1232"/>
      <c r="Z459" s="1069"/>
      <c r="AA459" s="911"/>
      <c r="AB459" s="370"/>
      <c r="AC459" s="912"/>
      <c r="AD459" s="912"/>
      <c r="AE459" s="912"/>
      <c r="AF459" s="913"/>
      <c r="AG459" s="370"/>
      <c r="AH459" s="521"/>
      <c r="AI459" s="370"/>
      <c r="AJ459" s="483">
        <f t="shared" si="496"/>
        <v>0</v>
      </c>
      <c r="AK459" s="522"/>
      <c r="AL459" s="401">
        <f t="shared" si="497"/>
        <v>0</v>
      </c>
      <c r="AM459" s="523"/>
      <c r="AN459" s="370"/>
      <c r="AO459" s="521"/>
      <c r="AP459" s="936"/>
      <c r="AQ459" s="370"/>
      <c r="AU459" s="936"/>
      <c r="AV459" s="521"/>
      <c r="AW459" s="936"/>
      <c r="AX459" s="370"/>
      <c r="AY459" s="370"/>
      <c r="AZ459" s="370"/>
      <c r="BA459" s="370"/>
      <c r="BB459" s="370"/>
      <c r="BC459" s="370"/>
      <c r="BD459" s="370"/>
      <c r="BE459" s="370"/>
      <c r="BF459" s="524"/>
      <c r="BG459" s="370"/>
      <c r="BH459" s="370"/>
      <c r="BI459" s="370"/>
      <c r="BJ459" s="370"/>
      <c r="BK459" s="370"/>
      <c r="BL459" s="370"/>
      <c r="BM459" s="370"/>
      <c r="BN459" s="370"/>
      <c r="BO459" s="370"/>
      <c r="BP459" s="370"/>
      <c r="BQ459" s="370"/>
      <c r="BR459" s="370"/>
      <c r="BS459" s="370"/>
      <c r="BT459" s="370"/>
      <c r="BU459" s="370"/>
      <c r="BV459" s="370"/>
      <c r="BW459" s="370"/>
      <c r="BX459" s="370"/>
      <c r="BY459" s="370"/>
      <c r="BZ459" s="370"/>
      <c r="CH459" s="370"/>
      <c r="CI459" s="521"/>
    </row>
    <row r="460" spans="1:87" s="824" customFormat="1" ht="13.9" hidden="1" customHeight="1" outlineLevel="1">
      <c r="B460" s="921" t="s">
        <v>1702</v>
      </c>
      <c r="C460" s="922"/>
      <c r="D460" s="923"/>
      <c r="E460" s="841"/>
      <c r="F460" s="809"/>
      <c r="G460" s="1233"/>
      <c r="H460" s="924" t="s">
        <v>100</v>
      </c>
      <c r="I460" s="1234"/>
      <c r="J460" s="979"/>
      <c r="K460" s="1235"/>
      <c r="L460" s="809"/>
      <c r="M460" s="1236">
        <v>1</v>
      </c>
      <c r="N460" s="927">
        <f t="shared" ref="N460:N466" si="506">IF(I460&gt;0,22/28*((I460/1000)^2-(I460/1000-2*J460/1000)^2)*K460/1000,IF(J460&gt;0,J460/1000*K460/1000*L460/1000, IF(K460&gt;0,K460/1000*L460/1000, IF(L460=0,1,L460/1000))))</f>
        <v>1</v>
      </c>
      <c r="O460" s="814">
        <v>1</v>
      </c>
      <c r="P460" s="811">
        <f t="shared" ref="P460:P466" si="507">M460*N460*O460</f>
        <v>1</v>
      </c>
      <c r="Q460" s="815">
        <v>1</v>
      </c>
      <c r="R460" s="505">
        <f t="shared" si="505"/>
        <v>1</v>
      </c>
      <c r="S460" s="815">
        <f t="shared" ref="S460:S466" si="508">P460*AA460*Q460*R460</f>
        <v>0</v>
      </c>
      <c r="T460" s="946" t="s">
        <v>46</v>
      </c>
      <c r="U460" s="1237">
        <v>1.4E-2</v>
      </c>
      <c r="V460" s="927">
        <f t="shared" ref="V460:V466" si="509">1/VLOOKUP(T460,Y$12:Z$18,2,FALSE)</f>
        <v>1</v>
      </c>
      <c r="W460" s="935">
        <v>1</v>
      </c>
      <c r="X460" s="820">
        <v>1E-3</v>
      </c>
      <c r="Y460" s="1238">
        <f t="shared" ref="Y460:Y466" si="510">+P460*R460*AA460*X460</f>
        <v>0</v>
      </c>
      <c r="Z460" s="929">
        <f t="shared" ref="Z460:Z466" si="511">S460*U460*V460*W460</f>
        <v>0</v>
      </c>
      <c r="AA460" s="823"/>
      <c r="AC460" s="1103"/>
      <c r="AD460" s="1103"/>
      <c r="AE460" s="1103"/>
      <c r="AF460" s="825"/>
      <c r="AH460" s="827"/>
      <c r="AJ460" s="828">
        <f t="shared" si="496"/>
        <v>0</v>
      </c>
      <c r="AK460" s="862"/>
      <c r="AL460" s="828">
        <f t="shared" si="497"/>
        <v>0</v>
      </c>
      <c r="AM460" s="862"/>
      <c r="AO460" s="827"/>
      <c r="AV460" s="827"/>
      <c r="BF460" s="830"/>
      <c r="CI460" s="827"/>
    </row>
    <row r="461" spans="1:87" s="824" customFormat="1" ht="13.9" hidden="1" customHeight="1" outlineLevel="1">
      <c r="B461" s="921" t="s">
        <v>1703</v>
      </c>
      <c r="C461" s="922"/>
      <c r="D461" s="1239"/>
      <c r="E461" s="841"/>
      <c r="F461" s="809"/>
      <c r="G461" s="1233"/>
      <c r="H461" s="924" t="s">
        <v>100</v>
      </c>
      <c r="I461" s="1234"/>
      <c r="J461" s="979"/>
      <c r="K461" s="1235"/>
      <c r="L461" s="1233"/>
      <c r="M461" s="1236">
        <v>1</v>
      </c>
      <c r="N461" s="927">
        <f t="shared" si="506"/>
        <v>1</v>
      </c>
      <c r="O461" s="814">
        <v>1</v>
      </c>
      <c r="P461" s="811">
        <f t="shared" si="507"/>
        <v>1</v>
      </c>
      <c r="Q461" s="815">
        <v>1</v>
      </c>
      <c r="R461" s="505">
        <f t="shared" si="505"/>
        <v>1</v>
      </c>
      <c r="S461" s="815">
        <f t="shared" si="508"/>
        <v>0</v>
      </c>
      <c r="T461" s="946" t="s">
        <v>46</v>
      </c>
      <c r="U461" s="1237">
        <v>0.02</v>
      </c>
      <c r="V461" s="927">
        <f t="shared" si="509"/>
        <v>1</v>
      </c>
      <c r="W461" s="935">
        <v>1</v>
      </c>
      <c r="X461" s="820">
        <v>2E-3</v>
      </c>
      <c r="Y461" s="1238">
        <f t="shared" si="510"/>
        <v>0</v>
      </c>
      <c r="Z461" s="929">
        <f t="shared" si="511"/>
        <v>0</v>
      </c>
      <c r="AA461" s="823"/>
      <c r="AC461" s="1103"/>
      <c r="AD461" s="1103"/>
      <c r="AE461" s="1103"/>
      <c r="AF461" s="825"/>
      <c r="AH461" s="827"/>
      <c r="AJ461" s="828">
        <f t="shared" si="496"/>
        <v>0</v>
      </c>
      <c r="AK461" s="862"/>
      <c r="AL461" s="828">
        <f t="shared" si="497"/>
        <v>0</v>
      </c>
      <c r="AM461" s="862"/>
      <c r="AO461" s="827"/>
      <c r="AV461" s="827"/>
      <c r="BF461" s="830"/>
      <c r="CI461" s="827"/>
    </row>
    <row r="462" spans="1:87" s="824" customFormat="1" ht="13.9" hidden="1" customHeight="1" outlineLevel="1">
      <c r="B462" s="921" t="s">
        <v>1704</v>
      </c>
      <c r="C462" s="922"/>
      <c r="D462" s="1239"/>
      <c r="E462" s="841"/>
      <c r="F462" s="809"/>
      <c r="G462" s="1233"/>
      <c r="H462" s="924" t="s">
        <v>100</v>
      </c>
      <c r="I462" s="1234"/>
      <c r="J462" s="979"/>
      <c r="K462" s="1235"/>
      <c r="L462" s="1233"/>
      <c r="M462" s="1236">
        <v>1</v>
      </c>
      <c r="N462" s="927">
        <f t="shared" si="506"/>
        <v>1</v>
      </c>
      <c r="O462" s="814">
        <v>1</v>
      </c>
      <c r="P462" s="811">
        <f t="shared" si="507"/>
        <v>1</v>
      </c>
      <c r="Q462" s="815">
        <v>1</v>
      </c>
      <c r="R462" s="505">
        <f t="shared" si="505"/>
        <v>1</v>
      </c>
      <c r="S462" s="815">
        <f t="shared" si="508"/>
        <v>0</v>
      </c>
      <c r="T462" s="946" t="s">
        <v>46</v>
      </c>
      <c r="U462" s="1237">
        <v>2.5000000000000001E-2</v>
      </c>
      <c r="V462" s="927">
        <f t="shared" si="509"/>
        <v>1</v>
      </c>
      <c r="W462" s="935">
        <v>1</v>
      </c>
      <c r="X462" s="820">
        <v>3.0000000000000001E-3</v>
      </c>
      <c r="Y462" s="1238">
        <f t="shared" si="510"/>
        <v>0</v>
      </c>
      <c r="Z462" s="929">
        <f t="shared" si="511"/>
        <v>0</v>
      </c>
      <c r="AA462" s="823"/>
      <c r="AC462" s="1103"/>
      <c r="AD462" s="1103"/>
      <c r="AE462" s="1103"/>
      <c r="AF462" s="825"/>
      <c r="AH462" s="827"/>
      <c r="AJ462" s="828">
        <f t="shared" si="496"/>
        <v>0</v>
      </c>
      <c r="AK462" s="862"/>
      <c r="AL462" s="828">
        <f t="shared" si="497"/>
        <v>0</v>
      </c>
      <c r="AM462" s="862"/>
      <c r="AO462" s="827"/>
      <c r="AV462" s="827"/>
      <c r="BF462" s="830"/>
      <c r="CI462" s="827"/>
    </row>
    <row r="463" spans="1:87" s="824" customFormat="1" ht="13.9" hidden="1" customHeight="1" outlineLevel="1">
      <c r="B463" s="921" t="s">
        <v>1705</v>
      </c>
      <c r="C463" s="922"/>
      <c r="D463" s="1239"/>
      <c r="E463" s="841"/>
      <c r="F463" s="809"/>
      <c r="G463" s="1233"/>
      <c r="H463" s="924" t="s">
        <v>100</v>
      </c>
      <c r="I463" s="1234"/>
      <c r="J463" s="979"/>
      <c r="K463" s="1235"/>
      <c r="L463" s="1233"/>
      <c r="M463" s="1236">
        <v>1</v>
      </c>
      <c r="N463" s="927">
        <f t="shared" si="506"/>
        <v>1</v>
      </c>
      <c r="O463" s="814">
        <v>1</v>
      </c>
      <c r="P463" s="811">
        <f t="shared" si="507"/>
        <v>1</v>
      </c>
      <c r="Q463" s="815">
        <v>1</v>
      </c>
      <c r="R463" s="505">
        <f t="shared" si="505"/>
        <v>1</v>
      </c>
      <c r="S463" s="815">
        <f t="shared" si="508"/>
        <v>0</v>
      </c>
      <c r="T463" s="946" t="s">
        <v>46</v>
      </c>
      <c r="U463" s="1237">
        <v>2.75E-2</v>
      </c>
      <c r="V463" s="927">
        <f t="shared" si="509"/>
        <v>1</v>
      </c>
      <c r="W463" s="935">
        <v>1</v>
      </c>
      <c r="X463" s="820">
        <v>4.0000000000000001E-3</v>
      </c>
      <c r="Y463" s="1238">
        <f t="shared" si="510"/>
        <v>0</v>
      </c>
      <c r="Z463" s="929">
        <f t="shared" si="511"/>
        <v>0</v>
      </c>
      <c r="AA463" s="823"/>
      <c r="AC463" s="1103"/>
      <c r="AD463" s="1103"/>
      <c r="AE463" s="1103"/>
      <c r="AF463" s="825"/>
      <c r="AH463" s="827"/>
      <c r="AJ463" s="828">
        <f t="shared" si="496"/>
        <v>0</v>
      </c>
      <c r="AK463" s="862"/>
      <c r="AL463" s="828">
        <f t="shared" si="497"/>
        <v>0</v>
      </c>
      <c r="AM463" s="862"/>
      <c r="AO463" s="827"/>
      <c r="AV463" s="827"/>
      <c r="BF463" s="830"/>
      <c r="CI463" s="827"/>
    </row>
    <row r="464" spans="1:87" s="824" customFormat="1" ht="13.9" hidden="1" customHeight="1" outlineLevel="1">
      <c r="B464" s="921" t="s">
        <v>1706</v>
      </c>
      <c r="C464" s="922"/>
      <c r="D464" s="1239"/>
      <c r="E464" s="841"/>
      <c r="F464" s="809"/>
      <c r="G464" s="1233"/>
      <c r="H464" s="924" t="s">
        <v>100</v>
      </c>
      <c r="I464" s="1234"/>
      <c r="J464" s="979"/>
      <c r="K464" s="1235"/>
      <c r="L464" s="1233"/>
      <c r="M464" s="1236">
        <v>1</v>
      </c>
      <c r="N464" s="927">
        <f t="shared" si="506"/>
        <v>1</v>
      </c>
      <c r="O464" s="814">
        <v>1</v>
      </c>
      <c r="P464" s="811">
        <f t="shared" si="507"/>
        <v>1</v>
      </c>
      <c r="Q464" s="815">
        <v>1</v>
      </c>
      <c r="R464" s="505">
        <f t="shared" si="505"/>
        <v>1</v>
      </c>
      <c r="S464" s="815">
        <f t="shared" si="508"/>
        <v>0</v>
      </c>
      <c r="T464" s="946" t="s">
        <v>46</v>
      </c>
      <c r="U464" s="1237">
        <v>1.4E-2</v>
      </c>
      <c r="V464" s="927">
        <f t="shared" si="509"/>
        <v>1</v>
      </c>
      <c r="W464" s="935">
        <v>1</v>
      </c>
      <c r="X464" s="820">
        <v>1E-3</v>
      </c>
      <c r="Y464" s="1238">
        <f t="shared" si="510"/>
        <v>0</v>
      </c>
      <c r="Z464" s="929">
        <f t="shared" si="511"/>
        <v>0</v>
      </c>
      <c r="AA464" s="823"/>
      <c r="AC464" s="1103"/>
      <c r="AD464" s="1103"/>
      <c r="AE464" s="1103"/>
      <c r="AF464" s="825"/>
      <c r="AH464" s="827"/>
      <c r="AJ464" s="828">
        <f t="shared" si="496"/>
        <v>0</v>
      </c>
      <c r="AK464" s="862"/>
      <c r="AL464" s="828">
        <f t="shared" si="497"/>
        <v>0</v>
      </c>
      <c r="AM464" s="862"/>
      <c r="AO464" s="827"/>
      <c r="AV464" s="827"/>
      <c r="BF464" s="830"/>
      <c r="CI464" s="827"/>
    </row>
    <row r="465" spans="1:87" s="824" customFormat="1" ht="13.9" hidden="1" customHeight="1" outlineLevel="1">
      <c r="B465" s="921" t="s">
        <v>1168</v>
      </c>
      <c r="C465" s="922"/>
      <c r="D465" s="1239"/>
      <c r="E465" s="841"/>
      <c r="F465" s="809"/>
      <c r="G465" s="1233"/>
      <c r="H465" s="924" t="s">
        <v>100</v>
      </c>
      <c r="I465" s="1234"/>
      <c r="J465" s="979"/>
      <c r="K465" s="1235"/>
      <c r="L465" s="1233"/>
      <c r="M465" s="1236">
        <v>1</v>
      </c>
      <c r="N465" s="927">
        <f t="shared" si="506"/>
        <v>1</v>
      </c>
      <c r="O465" s="814">
        <v>1</v>
      </c>
      <c r="P465" s="811">
        <f t="shared" si="507"/>
        <v>1</v>
      </c>
      <c r="Q465" s="815">
        <v>1</v>
      </c>
      <c r="R465" s="505">
        <f t="shared" si="505"/>
        <v>1</v>
      </c>
      <c r="S465" s="815">
        <f t="shared" si="508"/>
        <v>0</v>
      </c>
      <c r="T465" s="946" t="s">
        <v>46</v>
      </c>
      <c r="U465" s="1237">
        <v>0.02</v>
      </c>
      <c r="V465" s="927">
        <f t="shared" si="509"/>
        <v>1</v>
      </c>
      <c r="W465" s="935">
        <v>1</v>
      </c>
      <c r="X465" s="820">
        <v>2E-3</v>
      </c>
      <c r="Y465" s="1238">
        <f t="shared" si="510"/>
        <v>0</v>
      </c>
      <c r="Z465" s="929">
        <f t="shared" si="511"/>
        <v>0</v>
      </c>
      <c r="AA465" s="823"/>
      <c r="AC465" s="1103"/>
      <c r="AD465" s="1103"/>
      <c r="AE465" s="1103"/>
      <c r="AF465" s="825"/>
      <c r="AH465" s="827"/>
      <c r="AJ465" s="828">
        <f t="shared" si="496"/>
        <v>0</v>
      </c>
      <c r="AK465" s="862"/>
      <c r="AL465" s="828">
        <f t="shared" si="497"/>
        <v>0</v>
      </c>
      <c r="AM465" s="862"/>
      <c r="AO465" s="827"/>
      <c r="AV465" s="827"/>
      <c r="BF465" s="830"/>
      <c r="CI465" s="827"/>
    </row>
    <row r="466" spans="1:87" s="824" customFormat="1" ht="13.9" hidden="1" customHeight="1" outlineLevel="1">
      <c r="B466" s="1072" t="s">
        <v>1707</v>
      </c>
      <c r="C466" s="1073"/>
      <c r="D466" s="1240"/>
      <c r="E466" s="1010"/>
      <c r="F466" s="987"/>
      <c r="G466" s="1241"/>
      <c r="H466" s="1075" t="s">
        <v>100</v>
      </c>
      <c r="I466" s="1242"/>
      <c r="J466" s="1006"/>
      <c r="K466" s="1243"/>
      <c r="L466" s="1241"/>
      <c r="M466" s="1244">
        <v>1</v>
      </c>
      <c r="N466" s="1000">
        <f t="shared" si="506"/>
        <v>1</v>
      </c>
      <c r="O466" s="994">
        <v>1</v>
      </c>
      <c r="P466" s="989">
        <f t="shared" si="507"/>
        <v>1</v>
      </c>
      <c r="Q466" s="1007">
        <v>1</v>
      </c>
      <c r="R466" s="505">
        <f t="shared" si="505"/>
        <v>1</v>
      </c>
      <c r="S466" s="1007">
        <f t="shared" si="508"/>
        <v>0</v>
      </c>
      <c r="T466" s="999" t="s">
        <v>46</v>
      </c>
      <c r="U466" s="1245">
        <v>2.5000000000000001E-2</v>
      </c>
      <c r="V466" s="1000">
        <f t="shared" si="509"/>
        <v>1</v>
      </c>
      <c r="W466" s="986">
        <v>1</v>
      </c>
      <c r="X466" s="1008">
        <v>3.0000000000000001E-3</v>
      </c>
      <c r="Y466" s="1246">
        <f t="shared" si="510"/>
        <v>0</v>
      </c>
      <c r="Z466" s="1080">
        <f t="shared" si="511"/>
        <v>0</v>
      </c>
      <c r="AA466" s="1004"/>
      <c r="AC466" s="1247"/>
      <c r="AD466" s="1247"/>
      <c r="AE466" s="1247"/>
      <c r="AF466" s="1005"/>
      <c r="AH466" s="827"/>
      <c r="AJ466" s="828">
        <f t="shared" si="496"/>
        <v>0</v>
      </c>
      <c r="AK466" s="862"/>
      <c r="AL466" s="828">
        <f t="shared" si="497"/>
        <v>0</v>
      </c>
      <c r="AM466" s="862"/>
      <c r="AO466" s="827"/>
      <c r="AQ466" s="936"/>
      <c r="AR466" s="936"/>
      <c r="AS466" s="936"/>
      <c r="AT466" s="936"/>
      <c r="AV466" s="827"/>
      <c r="AX466" s="936"/>
      <c r="AY466" s="936"/>
      <c r="AZ466" s="936"/>
      <c r="BA466" s="936"/>
      <c r="BB466" s="936"/>
      <c r="BC466" s="936"/>
      <c r="BF466" s="830"/>
      <c r="CI466" s="827"/>
    </row>
    <row r="467" spans="1:87" s="479" customFormat="1" ht="15" collapsed="1">
      <c r="A467" s="370"/>
      <c r="B467" s="895" t="s">
        <v>1708</v>
      </c>
      <c r="C467" s="896"/>
      <c r="D467" s="897"/>
      <c r="E467" s="898"/>
      <c r="F467" s="899"/>
      <c r="G467" s="899"/>
      <c r="H467" s="900"/>
      <c r="I467" s="901"/>
      <c r="J467" s="902"/>
      <c r="K467" s="898"/>
      <c r="L467" s="899"/>
      <c r="M467" s="903"/>
      <c r="N467" s="907"/>
      <c r="O467" s="898"/>
      <c r="P467" s="902"/>
      <c r="Q467" s="905"/>
      <c r="R467" s="903"/>
      <c r="S467" s="905"/>
      <c r="T467" s="906"/>
      <c r="U467" s="906"/>
      <c r="V467" s="907"/>
      <c r="W467" s="908"/>
      <c r="X467" s="909"/>
      <c r="Y467" s="1232"/>
      <c r="Z467" s="1069"/>
      <c r="AA467" s="911"/>
      <c r="AB467" s="370"/>
      <c r="AC467" s="912"/>
      <c r="AD467" s="912"/>
      <c r="AE467" s="912"/>
      <c r="AF467" s="913"/>
      <c r="AG467" s="370"/>
      <c r="AH467" s="521"/>
      <c r="AI467" s="370"/>
      <c r="AJ467" s="483">
        <f t="shared" si="496"/>
        <v>0</v>
      </c>
      <c r="AK467" s="522"/>
      <c r="AL467" s="401">
        <f t="shared" si="497"/>
        <v>0</v>
      </c>
      <c r="AM467" s="523"/>
      <c r="AN467" s="370"/>
      <c r="AO467" s="521"/>
      <c r="AP467" s="936"/>
      <c r="AQ467" s="370"/>
      <c r="AU467" s="936"/>
      <c r="AV467" s="521"/>
      <c r="AW467" s="936"/>
      <c r="AX467" s="370"/>
      <c r="AY467" s="370"/>
      <c r="AZ467" s="370"/>
      <c r="BA467" s="370"/>
      <c r="BB467" s="370"/>
      <c r="BC467" s="370"/>
      <c r="BD467" s="370"/>
      <c r="BE467" s="370"/>
      <c r="BF467" s="524"/>
      <c r="BG467" s="370"/>
      <c r="BH467" s="370"/>
      <c r="BI467" s="370"/>
      <c r="BJ467" s="370"/>
      <c r="BK467" s="370"/>
      <c r="BL467" s="370"/>
      <c r="BM467" s="370"/>
      <c r="BN467" s="370"/>
      <c r="BO467" s="370"/>
      <c r="BP467" s="370"/>
      <c r="BQ467" s="370"/>
      <c r="BR467" s="370"/>
      <c r="BS467" s="370"/>
      <c r="BT467" s="370"/>
      <c r="BU467" s="370"/>
      <c r="BV467" s="370"/>
      <c r="BW467" s="370"/>
      <c r="BX467" s="370"/>
      <c r="BY467" s="370"/>
      <c r="BZ467" s="370"/>
      <c r="CH467" s="370"/>
      <c r="CI467" s="521"/>
    </row>
    <row r="468" spans="1:87" s="824" customFormat="1" ht="13.9" hidden="1" customHeight="1" outlineLevel="1">
      <c r="B468" s="921" t="s">
        <v>1169</v>
      </c>
      <c r="C468" s="922"/>
      <c r="D468" s="923"/>
      <c r="E468" s="841"/>
      <c r="F468" s="809"/>
      <c r="G468" s="1233"/>
      <c r="H468" s="924" t="s">
        <v>100</v>
      </c>
      <c r="I468" s="1234"/>
      <c r="J468" s="979"/>
      <c r="K468" s="1235"/>
      <c r="L468" s="809"/>
      <c r="M468" s="1236">
        <v>1</v>
      </c>
      <c r="N468" s="927">
        <f>IF(I468&gt;0,22/28*((I468/1000)^2-(I468/1000-2*J468/1000)^2)*K468/1000,IF(J468&gt;0,J468/1000*K468/1000*L468/1000, IF(K468&gt;0,K468/1000*L468/1000, IF(L468=0,1,L468/1000))))</f>
        <v>1</v>
      </c>
      <c r="O468" s="814">
        <v>1</v>
      </c>
      <c r="P468" s="811">
        <f>M468*N468*O468</f>
        <v>1</v>
      </c>
      <c r="Q468" s="815">
        <v>1</v>
      </c>
      <c r="R468" s="505">
        <f t="shared" si="505"/>
        <v>1</v>
      </c>
      <c r="S468" s="815">
        <f>P468*AA468*Q468*R468</f>
        <v>0</v>
      </c>
      <c r="T468" s="946" t="s">
        <v>46</v>
      </c>
      <c r="U468" s="1237">
        <v>1.4E-2</v>
      </c>
      <c r="V468" s="927">
        <f>1/VLOOKUP(T468,Y$12:Z$18,2,FALSE)</f>
        <v>1</v>
      </c>
      <c r="W468" s="935">
        <v>1</v>
      </c>
      <c r="X468" s="820">
        <v>1E-3</v>
      </c>
      <c r="Y468" s="1238">
        <f>+P468*R468*AA468*X468</f>
        <v>0</v>
      </c>
      <c r="Z468" s="929">
        <f>S468*U468*V468*W468</f>
        <v>0</v>
      </c>
      <c r="AA468" s="823"/>
      <c r="AC468" s="1103"/>
      <c r="AD468" s="1103"/>
      <c r="AE468" s="1103"/>
      <c r="AF468" s="825"/>
      <c r="AH468" s="827"/>
      <c r="AJ468" s="828">
        <f t="shared" si="496"/>
        <v>0</v>
      </c>
      <c r="AK468" s="862"/>
      <c r="AL468" s="828">
        <f t="shared" si="497"/>
        <v>0</v>
      </c>
      <c r="AM468" s="862"/>
      <c r="AO468" s="827"/>
      <c r="AV468" s="827"/>
      <c r="BF468" s="830"/>
      <c r="CI468" s="827"/>
    </row>
    <row r="469" spans="1:87" s="824" customFormat="1" ht="13.9" hidden="1" customHeight="1" outlineLevel="1">
      <c r="B469" s="921" t="s">
        <v>1709</v>
      </c>
      <c r="C469" s="922"/>
      <c r="D469" s="1239"/>
      <c r="E469" s="841"/>
      <c r="F469" s="809"/>
      <c r="G469" s="1233"/>
      <c r="H469" s="924" t="s">
        <v>100</v>
      </c>
      <c r="I469" s="1234"/>
      <c r="J469" s="979"/>
      <c r="K469" s="1235"/>
      <c r="L469" s="1233"/>
      <c r="M469" s="1236">
        <v>1</v>
      </c>
      <c r="N469" s="927">
        <f>IF(I469&gt;0,22/28*((I469/1000)^2-(I469/1000-2*J469/1000)^2)*K469/1000,IF(J469&gt;0,J469/1000*K469/1000*L469/1000, IF(K469&gt;0,K469/1000*L469/1000, IF(L469=0,1,L469/1000))))</f>
        <v>1</v>
      </c>
      <c r="O469" s="814">
        <v>1</v>
      </c>
      <c r="P469" s="811">
        <f>M469*N469*O469</f>
        <v>1</v>
      </c>
      <c r="Q469" s="815">
        <v>1</v>
      </c>
      <c r="R469" s="505">
        <f t="shared" si="505"/>
        <v>1</v>
      </c>
      <c r="S469" s="815">
        <f>P469*AA469*Q469*R469</f>
        <v>0</v>
      </c>
      <c r="T469" s="946" t="s">
        <v>46</v>
      </c>
      <c r="U469" s="1237">
        <v>0.02</v>
      </c>
      <c r="V469" s="927">
        <f>1/VLOOKUP(T469,Y$12:Z$18,2,FALSE)</f>
        <v>1</v>
      </c>
      <c r="W469" s="935">
        <v>1</v>
      </c>
      <c r="X469" s="820">
        <v>2E-3</v>
      </c>
      <c r="Y469" s="1238">
        <f>+P469*R469*AA469*X469</f>
        <v>0</v>
      </c>
      <c r="Z469" s="929">
        <f>S469*U469*V469*W469</f>
        <v>0</v>
      </c>
      <c r="AA469" s="823"/>
      <c r="AC469" s="1103"/>
      <c r="AD469" s="1103"/>
      <c r="AE469" s="1103"/>
      <c r="AF469" s="825"/>
      <c r="AH469" s="827"/>
      <c r="AJ469" s="828">
        <f t="shared" si="496"/>
        <v>0</v>
      </c>
      <c r="AK469" s="862"/>
      <c r="AL469" s="828">
        <f t="shared" si="497"/>
        <v>0</v>
      </c>
      <c r="AM469" s="862"/>
      <c r="AO469" s="827"/>
      <c r="AV469" s="827"/>
      <c r="BF469" s="830"/>
      <c r="CI469" s="827"/>
    </row>
    <row r="470" spans="1:87" s="824" customFormat="1" ht="13.9" hidden="1" customHeight="1" outlineLevel="1">
      <c r="B470" s="921" t="s">
        <v>1710</v>
      </c>
      <c r="C470" s="922"/>
      <c r="D470" s="1239"/>
      <c r="E470" s="841"/>
      <c r="F470" s="809"/>
      <c r="G470" s="1233"/>
      <c r="H470" s="924" t="s">
        <v>100</v>
      </c>
      <c r="I470" s="1234"/>
      <c r="J470" s="979"/>
      <c r="K470" s="1235"/>
      <c r="L470" s="1233"/>
      <c r="M470" s="1236">
        <v>1</v>
      </c>
      <c r="N470" s="927">
        <f>IF(I470&gt;0,22/28*((I470/1000)^2-(I470/1000-2*J470/1000)^2)*K470/1000,IF(J470&gt;0,J470/1000*K470/1000*L470/1000, IF(K470&gt;0,K470/1000*L470/1000, IF(L470=0,1,L470/1000))))</f>
        <v>1</v>
      </c>
      <c r="O470" s="814">
        <v>1</v>
      </c>
      <c r="P470" s="811">
        <f>M470*N470*O470</f>
        <v>1</v>
      </c>
      <c r="Q470" s="815">
        <v>1</v>
      </c>
      <c r="R470" s="505">
        <f t="shared" si="505"/>
        <v>1</v>
      </c>
      <c r="S470" s="815">
        <f>P470*AA470*Q470*R470</f>
        <v>0</v>
      </c>
      <c r="T470" s="946" t="s">
        <v>46</v>
      </c>
      <c r="U470" s="1237">
        <v>2.5000000000000001E-2</v>
      </c>
      <c r="V470" s="927">
        <f>1/VLOOKUP(T470,Y$12:Z$18,2,FALSE)</f>
        <v>1</v>
      </c>
      <c r="W470" s="935">
        <v>1</v>
      </c>
      <c r="X470" s="820">
        <v>3.0000000000000001E-3</v>
      </c>
      <c r="Y470" s="1238">
        <f>+P470*R470*AA470*X470</f>
        <v>0</v>
      </c>
      <c r="Z470" s="929">
        <f>S470*U470*V470*W470</f>
        <v>0</v>
      </c>
      <c r="AA470" s="823"/>
      <c r="AC470" s="1103"/>
      <c r="AD470" s="1103"/>
      <c r="AE470" s="1103"/>
      <c r="AF470" s="825"/>
      <c r="AH470" s="827"/>
      <c r="AJ470" s="828">
        <f t="shared" si="496"/>
        <v>0</v>
      </c>
      <c r="AK470" s="862"/>
      <c r="AL470" s="828">
        <f t="shared" si="497"/>
        <v>0</v>
      </c>
      <c r="AM470" s="862"/>
      <c r="AO470" s="827"/>
      <c r="AV470" s="827"/>
      <c r="BF470" s="830"/>
      <c r="CI470" s="827"/>
    </row>
    <row r="471" spans="1:87" s="824" customFormat="1" ht="13.9" hidden="1" customHeight="1" outlineLevel="1">
      <c r="B471" s="921" t="s">
        <v>1711</v>
      </c>
      <c r="C471" s="922"/>
      <c r="D471" s="1239"/>
      <c r="E471" s="841"/>
      <c r="F471" s="809"/>
      <c r="G471" s="1233"/>
      <c r="H471" s="924" t="s">
        <v>100</v>
      </c>
      <c r="I471" s="1234"/>
      <c r="J471" s="979"/>
      <c r="K471" s="1235"/>
      <c r="L471" s="1233"/>
      <c r="M471" s="1236">
        <v>1</v>
      </c>
      <c r="N471" s="927">
        <f>IF(I471&gt;0,22/28*((I471/1000)^2-(I471/1000-2*J471/1000)^2)*K471/1000,IF(J471&gt;0,J471/1000*K471/1000*L471/1000, IF(K471&gt;0,K471/1000*L471/1000, IF(L471=0,1,L471/1000))))</f>
        <v>1</v>
      </c>
      <c r="O471" s="814">
        <v>1</v>
      </c>
      <c r="P471" s="811">
        <f>M471*N471*O471</f>
        <v>1</v>
      </c>
      <c r="Q471" s="815">
        <v>1</v>
      </c>
      <c r="R471" s="505">
        <f t="shared" si="505"/>
        <v>1</v>
      </c>
      <c r="S471" s="815">
        <f>P471*AA471*Q471*R471</f>
        <v>0</v>
      </c>
      <c r="T471" s="946" t="s">
        <v>46</v>
      </c>
      <c r="U471" s="1237">
        <v>2.75E-2</v>
      </c>
      <c r="V471" s="927">
        <f>1/VLOOKUP(T471,Y$12:Z$18,2,FALSE)</f>
        <v>1</v>
      </c>
      <c r="W471" s="935">
        <v>1</v>
      </c>
      <c r="X471" s="820">
        <v>4.0000000000000001E-3</v>
      </c>
      <c r="Y471" s="1238">
        <f>+P471*R471*AA471*X471</f>
        <v>0</v>
      </c>
      <c r="Z471" s="929">
        <f>S471*U471*V471*W471</f>
        <v>0</v>
      </c>
      <c r="AA471" s="823"/>
      <c r="AC471" s="1103"/>
      <c r="AD471" s="1103"/>
      <c r="AE471" s="1103"/>
      <c r="AF471" s="825"/>
      <c r="AH471" s="827"/>
      <c r="AJ471" s="828">
        <f t="shared" si="496"/>
        <v>0</v>
      </c>
      <c r="AK471" s="862"/>
      <c r="AL471" s="828">
        <f t="shared" si="497"/>
        <v>0</v>
      </c>
      <c r="AM471" s="862"/>
      <c r="AO471" s="827"/>
      <c r="AV471" s="827"/>
      <c r="BF471" s="830"/>
      <c r="CI471" s="827"/>
    </row>
    <row r="472" spans="1:87" s="824" customFormat="1" ht="13.9" hidden="1" customHeight="1" outlineLevel="1">
      <c r="B472" s="921" t="s">
        <v>1712</v>
      </c>
      <c r="C472" s="922"/>
      <c r="D472" s="1239"/>
      <c r="E472" s="841"/>
      <c r="F472" s="809"/>
      <c r="G472" s="1233"/>
      <c r="H472" s="924" t="s">
        <v>100</v>
      </c>
      <c r="I472" s="1234"/>
      <c r="J472" s="979"/>
      <c r="K472" s="1235"/>
      <c r="L472" s="1233"/>
      <c r="M472" s="1236">
        <v>1</v>
      </c>
      <c r="N472" s="927">
        <f>IF(I472&gt;0,22/28*((I472/1000)^2-(I472/1000-2*J472/1000)^2)*K472/1000,IF(J472&gt;0,J472/1000*K472/1000*L472/1000, IF(K472&gt;0,K472/1000*L472/1000, IF(L472=0,1,L472/1000))))</f>
        <v>1</v>
      </c>
      <c r="O472" s="814">
        <v>1</v>
      </c>
      <c r="P472" s="811">
        <f>M472*N472*O472</f>
        <v>1</v>
      </c>
      <c r="Q472" s="815">
        <v>1</v>
      </c>
      <c r="R472" s="505">
        <f t="shared" si="505"/>
        <v>1</v>
      </c>
      <c r="S472" s="815">
        <f>P472*AA472*Q472*R472</f>
        <v>0</v>
      </c>
      <c r="T472" s="946" t="s">
        <v>46</v>
      </c>
      <c r="U472" s="1237">
        <v>2.75E-2</v>
      </c>
      <c r="V472" s="927">
        <f>1/VLOOKUP(T472,Y$12:Z$18,2,FALSE)</f>
        <v>1</v>
      </c>
      <c r="W472" s="935">
        <v>1</v>
      </c>
      <c r="X472" s="820">
        <v>4.0000000000000001E-3</v>
      </c>
      <c r="Y472" s="1238">
        <f>+P472*R472*AA472*X472</f>
        <v>0</v>
      </c>
      <c r="Z472" s="929">
        <f>S472*U472*V472*W472</f>
        <v>0</v>
      </c>
      <c r="AA472" s="823"/>
      <c r="AC472" s="1103"/>
      <c r="AD472" s="1103"/>
      <c r="AE472" s="1103"/>
      <c r="AF472" s="825"/>
      <c r="AH472" s="827"/>
      <c r="AJ472" s="828">
        <f t="shared" si="496"/>
        <v>0</v>
      </c>
      <c r="AK472" s="862"/>
      <c r="AL472" s="828">
        <f t="shared" si="497"/>
        <v>0</v>
      </c>
      <c r="AM472" s="862"/>
      <c r="AO472" s="827"/>
      <c r="AQ472" s="936"/>
      <c r="AR472" s="936"/>
      <c r="AS472" s="936"/>
      <c r="AT472" s="936"/>
      <c r="AV472" s="827"/>
      <c r="AX472" s="936"/>
      <c r="AY472" s="936"/>
      <c r="AZ472" s="936"/>
      <c r="BA472" s="936"/>
      <c r="BB472" s="936"/>
      <c r="BC472" s="936"/>
      <c r="BF472" s="830"/>
      <c r="CI472" s="827"/>
    </row>
    <row r="473" spans="1:87" s="479" customFormat="1" ht="15" collapsed="1">
      <c r="A473" s="370"/>
      <c r="B473" s="895" t="s">
        <v>1713</v>
      </c>
      <c r="C473" s="896"/>
      <c r="D473" s="897"/>
      <c r="E473" s="898"/>
      <c r="F473" s="899"/>
      <c r="G473" s="899"/>
      <c r="H473" s="900"/>
      <c r="I473" s="901"/>
      <c r="J473" s="902"/>
      <c r="K473" s="898"/>
      <c r="L473" s="899"/>
      <c r="M473" s="903"/>
      <c r="N473" s="907"/>
      <c r="O473" s="898"/>
      <c r="P473" s="902"/>
      <c r="Q473" s="905"/>
      <c r="R473" s="903"/>
      <c r="S473" s="905"/>
      <c r="T473" s="906"/>
      <c r="U473" s="906"/>
      <c r="V473" s="907"/>
      <c r="W473" s="908"/>
      <c r="X473" s="909"/>
      <c r="Y473" s="1232"/>
      <c r="Z473" s="1069"/>
      <c r="AA473" s="911"/>
      <c r="AB473" s="370"/>
      <c r="AC473" s="912"/>
      <c r="AD473" s="912"/>
      <c r="AE473" s="912"/>
      <c r="AF473" s="913"/>
      <c r="AG473" s="370"/>
      <c r="AH473" s="521"/>
      <c r="AI473" s="370"/>
      <c r="AJ473" s="483">
        <f t="shared" si="496"/>
        <v>0</v>
      </c>
      <c r="AK473" s="522"/>
      <c r="AL473" s="401">
        <f t="shared" si="497"/>
        <v>0</v>
      </c>
      <c r="AM473" s="523"/>
      <c r="AN473" s="370"/>
      <c r="AO473" s="521"/>
      <c r="AP473" s="936"/>
      <c r="AQ473" s="370"/>
      <c r="AU473" s="936"/>
      <c r="AV473" s="521"/>
      <c r="AW473" s="936"/>
      <c r="AX473" s="370"/>
      <c r="AY473" s="370"/>
      <c r="AZ473" s="370"/>
      <c r="BA473" s="370"/>
      <c r="BB473" s="370"/>
      <c r="BC473" s="370"/>
      <c r="BD473" s="370"/>
      <c r="BE473" s="370"/>
      <c r="BF473" s="524"/>
      <c r="BG473" s="370"/>
      <c r="BH473" s="370"/>
      <c r="BI473" s="370"/>
      <c r="BJ473" s="370"/>
      <c r="BK473" s="370"/>
      <c r="BL473" s="370"/>
      <c r="BM473" s="370"/>
      <c r="BN473" s="370"/>
      <c r="BO473" s="370"/>
      <c r="BP473" s="370"/>
      <c r="BQ473" s="370"/>
      <c r="BR473" s="370"/>
      <c r="BS473" s="370"/>
      <c r="BT473" s="370"/>
      <c r="BU473" s="370"/>
      <c r="BV473" s="370"/>
      <c r="BW473" s="370"/>
      <c r="BX473" s="370"/>
      <c r="BY473" s="370"/>
      <c r="BZ473" s="370"/>
      <c r="CH473" s="370"/>
      <c r="CI473" s="521"/>
    </row>
    <row r="474" spans="1:87" s="824" customFormat="1" ht="13.9" hidden="1" customHeight="1" outlineLevel="1">
      <c r="B474" s="921" t="s">
        <v>1714</v>
      </c>
      <c r="C474" s="922"/>
      <c r="D474" s="923"/>
      <c r="E474" s="841"/>
      <c r="F474" s="809"/>
      <c r="G474" s="1233"/>
      <c r="H474" s="924" t="s">
        <v>100</v>
      </c>
      <c r="I474" s="1234"/>
      <c r="J474" s="979"/>
      <c r="K474" s="1235"/>
      <c r="L474" s="809"/>
      <c r="M474" s="1236">
        <v>1</v>
      </c>
      <c r="N474" s="927">
        <f>IF(I474&gt;0,22/28*((I474/1000)^2-(I474/1000-2*J474/1000)^2)*K474/1000,IF(J474&gt;0,J474/1000*K474/1000*L474/1000, IF(K474&gt;0,K474/1000*L474/1000, IF(L474=0,1,L474/1000))))</f>
        <v>1</v>
      </c>
      <c r="O474" s="814">
        <v>1</v>
      </c>
      <c r="P474" s="811">
        <f>M474*N474*O474</f>
        <v>1</v>
      </c>
      <c r="Q474" s="815">
        <v>1</v>
      </c>
      <c r="R474" s="505">
        <f t="shared" si="505"/>
        <v>1</v>
      </c>
      <c r="S474" s="815">
        <f>P474*AA474*Q474*R474</f>
        <v>0</v>
      </c>
      <c r="T474" s="946" t="s">
        <v>46</v>
      </c>
      <c r="U474" s="1237">
        <v>1.4E-2</v>
      </c>
      <c r="V474" s="927">
        <f>1/VLOOKUP(T474,Y$12:Z$18,2,FALSE)</f>
        <v>1</v>
      </c>
      <c r="W474" s="935">
        <v>1</v>
      </c>
      <c r="X474" s="820">
        <v>1E-3</v>
      </c>
      <c r="Y474" s="1238">
        <f>+P474*R474*AA474*X474</f>
        <v>0</v>
      </c>
      <c r="Z474" s="929">
        <f>S474*U474*V474*W474</f>
        <v>0</v>
      </c>
      <c r="AA474" s="823"/>
      <c r="AC474" s="1103"/>
      <c r="AD474" s="1103"/>
      <c r="AE474" s="1103"/>
      <c r="AF474" s="825"/>
      <c r="AH474" s="827"/>
      <c r="AJ474" s="828">
        <f t="shared" si="496"/>
        <v>0</v>
      </c>
      <c r="AK474" s="862"/>
      <c r="AL474" s="828">
        <f t="shared" si="497"/>
        <v>0</v>
      </c>
      <c r="AM474" s="862"/>
      <c r="AO474" s="827"/>
      <c r="AV474" s="827"/>
      <c r="BF474" s="830"/>
      <c r="CI474" s="827"/>
    </row>
    <row r="475" spans="1:87" s="824" customFormat="1" ht="13.9" hidden="1" customHeight="1" outlineLevel="1">
      <c r="B475" s="921" t="s">
        <v>1715</v>
      </c>
      <c r="C475" s="922"/>
      <c r="D475" s="1239"/>
      <c r="E475" s="841"/>
      <c r="F475" s="809"/>
      <c r="G475" s="1233"/>
      <c r="H475" s="924" t="s">
        <v>100</v>
      </c>
      <c r="I475" s="1234"/>
      <c r="J475" s="979"/>
      <c r="K475" s="1235"/>
      <c r="L475" s="1233"/>
      <c r="M475" s="1236">
        <v>1</v>
      </c>
      <c r="N475" s="927">
        <f>IF(I475&gt;0,22/28*((I475/1000)^2-(I475/1000-2*J475/1000)^2)*K475/1000,IF(J475&gt;0,J475/1000*K475/1000*L475/1000, IF(K475&gt;0,K475/1000*L475/1000, IF(L475=0,1,L475/1000))))</f>
        <v>1</v>
      </c>
      <c r="O475" s="814">
        <v>1</v>
      </c>
      <c r="P475" s="811">
        <f>M475*N475*O475</f>
        <v>1</v>
      </c>
      <c r="Q475" s="815">
        <v>1</v>
      </c>
      <c r="R475" s="505">
        <f t="shared" si="505"/>
        <v>1</v>
      </c>
      <c r="S475" s="815">
        <f>P475*AA475*Q475*R475</f>
        <v>0</v>
      </c>
      <c r="T475" s="946" t="s">
        <v>46</v>
      </c>
      <c r="U475" s="1237">
        <v>0.02</v>
      </c>
      <c r="V475" s="927">
        <f>1/VLOOKUP(T475,Y$12:Z$18,2,FALSE)</f>
        <v>1</v>
      </c>
      <c r="W475" s="935">
        <v>1</v>
      </c>
      <c r="X475" s="820">
        <v>2E-3</v>
      </c>
      <c r="Y475" s="1238">
        <f>+P475*R475*AA475*X475</f>
        <v>0</v>
      </c>
      <c r="Z475" s="929">
        <f>S475*U475*V475*W475</f>
        <v>0</v>
      </c>
      <c r="AA475" s="823"/>
      <c r="AC475" s="1103"/>
      <c r="AD475" s="1103"/>
      <c r="AE475" s="1103"/>
      <c r="AF475" s="825"/>
      <c r="AH475" s="827"/>
      <c r="AJ475" s="828">
        <f t="shared" si="496"/>
        <v>0</v>
      </c>
      <c r="AK475" s="862"/>
      <c r="AL475" s="828">
        <f t="shared" si="497"/>
        <v>0</v>
      </c>
      <c r="AM475" s="862"/>
      <c r="AO475" s="827"/>
      <c r="AV475" s="827"/>
      <c r="BF475" s="830"/>
      <c r="CI475" s="827"/>
    </row>
    <row r="476" spans="1:87" s="824" customFormat="1" ht="13.9" hidden="1" customHeight="1" outlineLevel="1">
      <c r="B476" s="921" t="s">
        <v>1716</v>
      </c>
      <c r="C476" s="922"/>
      <c r="D476" s="1239"/>
      <c r="E476" s="841"/>
      <c r="F476" s="809"/>
      <c r="G476" s="1233"/>
      <c r="H476" s="924" t="s">
        <v>100</v>
      </c>
      <c r="I476" s="1234"/>
      <c r="J476" s="979"/>
      <c r="K476" s="1235"/>
      <c r="L476" s="1233"/>
      <c r="M476" s="1236">
        <v>1</v>
      </c>
      <c r="N476" s="927">
        <f>IF(I476&gt;0,22/28*((I476/1000)^2-(I476/1000-2*J476/1000)^2)*K476/1000,IF(J476&gt;0,J476/1000*K476/1000*L476/1000, IF(K476&gt;0,K476/1000*L476/1000, IF(L476=0,1,L476/1000))))</f>
        <v>1</v>
      </c>
      <c r="O476" s="814">
        <v>1</v>
      </c>
      <c r="P476" s="811">
        <f>M476*N476*O476</f>
        <v>1</v>
      </c>
      <c r="Q476" s="815">
        <v>1</v>
      </c>
      <c r="R476" s="505">
        <f t="shared" si="505"/>
        <v>1</v>
      </c>
      <c r="S476" s="815">
        <f>P476*AA476*Q476*R476</f>
        <v>0</v>
      </c>
      <c r="T476" s="946" t="s">
        <v>46</v>
      </c>
      <c r="U476" s="1237">
        <v>2.5000000000000001E-2</v>
      </c>
      <c r="V476" s="927">
        <f>1/VLOOKUP(T476,Y$12:Z$18,2,FALSE)</f>
        <v>1</v>
      </c>
      <c r="W476" s="935">
        <v>1</v>
      </c>
      <c r="X476" s="820">
        <v>3.0000000000000001E-3</v>
      </c>
      <c r="Y476" s="1238">
        <f>+P476*R476*AA476*X476</f>
        <v>0</v>
      </c>
      <c r="Z476" s="929">
        <f>S476*U476*V476*W476</f>
        <v>0</v>
      </c>
      <c r="AA476" s="823"/>
      <c r="AC476" s="1103"/>
      <c r="AD476" s="1103"/>
      <c r="AE476" s="1103"/>
      <c r="AF476" s="825"/>
      <c r="AH476" s="827"/>
      <c r="AJ476" s="828">
        <f t="shared" si="496"/>
        <v>0</v>
      </c>
      <c r="AK476" s="862"/>
      <c r="AL476" s="828">
        <f t="shared" si="497"/>
        <v>0</v>
      </c>
      <c r="AM476" s="862"/>
      <c r="AO476" s="827"/>
      <c r="AV476" s="827"/>
      <c r="BF476" s="830"/>
      <c r="CI476" s="827"/>
    </row>
    <row r="477" spans="1:87" s="824" customFormat="1" ht="13.9" hidden="1" customHeight="1" outlineLevel="1">
      <c r="B477" s="921" t="s">
        <v>1717</v>
      </c>
      <c r="C477" s="922"/>
      <c r="D477" s="1239"/>
      <c r="E477" s="841"/>
      <c r="F477" s="809"/>
      <c r="G477" s="1233"/>
      <c r="H477" s="924" t="s">
        <v>100</v>
      </c>
      <c r="I477" s="1234"/>
      <c r="J477" s="979"/>
      <c r="K477" s="1235"/>
      <c r="L477" s="1233"/>
      <c r="M477" s="1236">
        <v>1</v>
      </c>
      <c r="N477" s="927">
        <f>IF(I477&gt;0,22/28*((I477/1000)^2-(I477/1000-2*J477/1000)^2)*K477/1000,IF(J477&gt;0,J477/1000*K477/1000*L477/1000, IF(K477&gt;0,K477/1000*L477/1000, IF(L477=0,1,L477/1000))))</f>
        <v>1</v>
      </c>
      <c r="O477" s="814">
        <v>1</v>
      </c>
      <c r="P477" s="811">
        <f>M477*N477*O477</f>
        <v>1</v>
      </c>
      <c r="Q477" s="815">
        <v>1</v>
      </c>
      <c r="R477" s="505">
        <f t="shared" si="505"/>
        <v>1</v>
      </c>
      <c r="S477" s="815">
        <f>P477*AA477*Q477*R477</f>
        <v>0</v>
      </c>
      <c r="T477" s="946" t="s">
        <v>46</v>
      </c>
      <c r="U477" s="1237">
        <v>2.75E-2</v>
      </c>
      <c r="V477" s="927">
        <f>1/VLOOKUP(T477,Y$12:Z$18,2,FALSE)</f>
        <v>1</v>
      </c>
      <c r="W477" s="935">
        <v>1</v>
      </c>
      <c r="X477" s="820">
        <v>4.0000000000000001E-3</v>
      </c>
      <c r="Y477" s="1238">
        <f>+P477*R477*AA477*X477</f>
        <v>0</v>
      </c>
      <c r="Z477" s="929">
        <f>S477*U477*V477*W477</f>
        <v>0</v>
      </c>
      <c r="AA477" s="823"/>
      <c r="AC477" s="1103"/>
      <c r="AD477" s="1103"/>
      <c r="AE477" s="1103"/>
      <c r="AF477" s="825"/>
      <c r="AH477" s="827"/>
      <c r="AJ477" s="828">
        <f t="shared" si="496"/>
        <v>0</v>
      </c>
      <c r="AK477" s="862"/>
      <c r="AL477" s="828">
        <f t="shared" si="497"/>
        <v>0</v>
      </c>
      <c r="AM477" s="862"/>
      <c r="AO477" s="827"/>
      <c r="AQ477" s="936"/>
      <c r="AR477" s="936"/>
      <c r="AS477" s="936"/>
      <c r="AT477" s="936"/>
      <c r="AV477" s="827"/>
      <c r="AX477" s="936"/>
      <c r="AY477" s="936"/>
      <c r="AZ477" s="936"/>
      <c r="BA477" s="936"/>
      <c r="BB477" s="936"/>
      <c r="BC477" s="936"/>
      <c r="BF477" s="830"/>
      <c r="CI477" s="827"/>
    </row>
    <row r="478" spans="1:87" s="479" customFormat="1" ht="15" collapsed="1">
      <c r="A478" s="370"/>
      <c r="B478" s="895" t="s">
        <v>1718</v>
      </c>
      <c r="C478" s="896"/>
      <c r="D478" s="897"/>
      <c r="E478" s="898"/>
      <c r="F478" s="899"/>
      <c r="G478" s="899"/>
      <c r="H478" s="900"/>
      <c r="I478" s="901"/>
      <c r="J478" s="902"/>
      <c r="K478" s="898"/>
      <c r="L478" s="899"/>
      <c r="M478" s="903"/>
      <c r="N478" s="907"/>
      <c r="O478" s="898"/>
      <c r="P478" s="902"/>
      <c r="Q478" s="905"/>
      <c r="R478" s="903"/>
      <c r="S478" s="905"/>
      <c r="T478" s="906"/>
      <c r="U478" s="906"/>
      <c r="V478" s="907"/>
      <c r="W478" s="908"/>
      <c r="X478" s="909"/>
      <c r="Y478" s="1232"/>
      <c r="Z478" s="1069"/>
      <c r="AA478" s="911"/>
      <c r="AB478" s="370"/>
      <c r="AC478" s="912"/>
      <c r="AD478" s="912"/>
      <c r="AE478" s="912"/>
      <c r="AF478" s="913"/>
      <c r="AG478" s="370"/>
      <c r="AH478" s="521"/>
      <c r="AI478" s="370"/>
      <c r="AJ478" s="483">
        <f t="shared" si="496"/>
        <v>0</v>
      </c>
      <c r="AK478" s="522"/>
      <c r="AL478" s="401">
        <f t="shared" si="497"/>
        <v>0</v>
      </c>
      <c r="AM478" s="523"/>
      <c r="AN478" s="370"/>
      <c r="AO478" s="521"/>
      <c r="AP478" s="936"/>
      <c r="AQ478" s="370"/>
      <c r="AU478" s="936"/>
      <c r="AV478" s="521"/>
      <c r="AW478" s="936"/>
      <c r="AX478" s="370"/>
      <c r="AY478" s="370"/>
      <c r="AZ478" s="370"/>
      <c r="BA478" s="370"/>
      <c r="BB478" s="370"/>
      <c r="BC478" s="370"/>
      <c r="BD478" s="370"/>
      <c r="BE478" s="370"/>
      <c r="BF478" s="524"/>
      <c r="BG478" s="370"/>
      <c r="BH478" s="370"/>
      <c r="BI478" s="370"/>
      <c r="BJ478" s="370"/>
      <c r="BK478" s="370"/>
      <c r="BL478" s="370"/>
      <c r="BM478" s="370"/>
      <c r="BN478" s="370"/>
      <c r="BO478" s="370"/>
      <c r="BP478" s="370"/>
      <c r="BQ478" s="370"/>
      <c r="BR478" s="370"/>
      <c r="BS478" s="370"/>
      <c r="BT478" s="370"/>
      <c r="BU478" s="370"/>
      <c r="BV478" s="370"/>
      <c r="BW478" s="370"/>
      <c r="BX478" s="370"/>
      <c r="BY478" s="370"/>
      <c r="BZ478" s="370"/>
      <c r="CH478" s="370"/>
      <c r="CI478" s="521"/>
    </row>
    <row r="479" spans="1:87" s="824" customFormat="1" ht="13.9" hidden="1" customHeight="1" outlineLevel="1">
      <c r="B479" s="921" t="s">
        <v>1719</v>
      </c>
      <c r="C479" s="922"/>
      <c r="D479" s="923"/>
      <c r="E479" s="841"/>
      <c r="F479" s="809"/>
      <c r="G479" s="1233"/>
      <c r="H479" s="924" t="s">
        <v>100</v>
      </c>
      <c r="I479" s="1234"/>
      <c r="J479" s="979"/>
      <c r="K479" s="1235"/>
      <c r="L479" s="809"/>
      <c r="M479" s="1236">
        <v>1</v>
      </c>
      <c r="N479" s="927">
        <f t="shared" ref="N479:N484" si="512">IF(I479&gt;0,22/28*((I479/1000)^2-(I479/1000-2*J479/1000)^2)*K479/1000,IF(J479&gt;0,J479/1000*K479/1000*L479/1000, IF(K479&gt;0,K479/1000*L479/1000, IF(L479=0,1,L479/1000))))</f>
        <v>1</v>
      </c>
      <c r="O479" s="814">
        <v>1</v>
      </c>
      <c r="P479" s="811">
        <f t="shared" ref="P479:P484" si="513">M479*N479*O479</f>
        <v>1</v>
      </c>
      <c r="Q479" s="815">
        <v>1</v>
      </c>
      <c r="R479" s="505">
        <f t="shared" si="505"/>
        <v>1</v>
      </c>
      <c r="S479" s="815">
        <f t="shared" ref="S479:S484" si="514">P479*AA479*Q479*R479</f>
        <v>0</v>
      </c>
      <c r="T479" s="946" t="s">
        <v>46</v>
      </c>
      <c r="U479" s="1237">
        <v>1.4E-2</v>
      </c>
      <c r="V479" s="927">
        <f t="shared" ref="V479:V484" si="515">1/VLOOKUP(T479,Y$12:Z$18,2,FALSE)</f>
        <v>1</v>
      </c>
      <c r="W479" s="935">
        <v>1</v>
      </c>
      <c r="X479" s="820">
        <v>1E-3</v>
      </c>
      <c r="Y479" s="1238">
        <f t="shared" ref="Y479:Y484" si="516">+P479*R479*AA479*X479</f>
        <v>0</v>
      </c>
      <c r="Z479" s="929">
        <f t="shared" ref="Z479:Z484" si="517">S479*U479*V479*W479</f>
        <v>0</v>
      </c>
      <c r="AA479" s="823"/>
      <c r="AC479" s="1103"/>
      <c r="AD479" s="1103"/>
      <c r="AE479" s="1103"/>
      <c r="AF479" s="825"/>
      <c r="AH479" s="827"/>
      <c r="AJ479" s="828">
        <f t="shared" si="496"/>
        <v>0</v>
      </c>
      <c r="AK479" s="862"/>
      <c r="AL479" s="828">
        <f t="shared" si="497"/>
        <v>0</v>
      </c>
      <c r="AM479" s="862"/>
      <c r="AO479" s="827"/>
      <c r="AV479" s="827"/>
      <c r="BF479" s="830"/>
      <c r="CI479" s="827"/>
    </row>
    <row r="480" spans="1:87" s="824" customFormat="1" ht="13.9" hidden="1" customHeight="1" outlineLevel="1">
      <c r="B480" s="921" t="s">
        <v>1720</v>
      </c>
      <c r="C480" s="922"/>
      <c r="D480" s="1239"/>
      <c r="E480" s="841"/>
      <c r="F480" s="809"/>
      <c r="G480" s="1233"/>
      <c r="H480" s="924" t="s">
        <v>100</v>
      </c>
      <c r="I480" s="1234"/>
      <c r="J480" s="979"/>
      <c r="K480" s="1235"/>
      <c r="L480" s="1233"/>
      <c r="M480" s="1236">
        <v>1</v>
      </c>
      <c r="N480" s="927">
        <f t="shared" si="512"/>
        <v>1</v>
      </c>
      <c r="O480" s="814">
        <v>1</v>
      </c>
      <c r="P480" s="811">
        <f t="shared" si="513"/>
        <v>1</v>
      </c>
      <c r="Q480" s="815">
        <v>1</v>
      </c>
      <c r="R480" s="505">
        <f t="shared" si="505"/>
        <v>1</v>
      </c>
      <c r="S480" s="815">
        <f t="shared" si="514"/>
        <v>0</v>
      </c>
      <c r="T480" s="946" t="s">
        <v>46</v>
      </c>
      <c r="U480" s="1237">
        <v>0.02</v>
      </c>
      <c r="V480" s="927">
        <f t="shared" si="515"/>
        <v>1</v>
      </c>
      <c r="W480" s="935">
        <v>1</v>
      </c>
      <c r="X480" s="820">
        <v>2E-3</v>
      </c>
      <c r="Y480" s="1238">
        <f t="shared" si="516"/>
        <v>0</v>
      </c>
      <c r="Z480" s="929">
        <f t="shared" si="517"/>
        <v>0</v>
      </c>
      <c r="AA480" s="823"/>
      <c r="AC480" s="1103"/>
      <c r="AD480" s="1103"/>
      <c r="AE480" s="1103"/>
      <c r="AF480" s="825"/>
      <c r="AH480" s="827"/>
      <c r="AJ480" s="828">
        <f t="shared" si="496"/>
        <v>0</v>
      </c>
      <c r="AK480" s="862"/>
      <c r="AL480" s="828">
        <f t="shared" si="497"/>
        <v>0</v>
      </c>
      <c r="AM480" s="862"/>
      <c r="AO480" s="827"/>
      <c r="AV480" s="827"/>
      <c r="BF480" s="830"/>
      <c r="CI480" s="827"/>
    </row>
    <row r="481" spans="1:87" s="824" customFormat="1" ht="13.9" hidden="1" customHeight="1" outlineLevel="1">
      <c r="B481" s="921" t="s">
        <v>1721</v>
      </c>
      <c r="C481" s="922"/>
      <c r="D481" s="1239"/>
      <c r="E481" s="841"/>
      <c r="F481" s="809"/>
      <c r="G481" s="1233"/>
      <c r="H481" s="924" t="s">
        <v>100</v>
      </c>
      <c r="I481" s="1234"/>
      <c r="J481" s="979"/>
      <c r="K481" s="1235"/>
      <c r="L481" s="1233"/>
      <c r="M481" s="1236">
        <v>1</v>
      </c>
      <c r="N481" s="927">
        <f t="shared" si="512"/>
        <v>1</v>
      </c>
      <c r="O481" s="814">
        <v>1</v>
      </c>
      <c r="P481" s="811">
        <f t="shared" si="513"/>
        <v>1</v>
      </c>
      <c r="Q481" s="815">
        <v>1</v>
      </c>
      <c r="R481" s="505">
        <f t="shared" si="505"/>
        <v>1</v>
      </c>
      <c r="S481" s="815">
        <f t="shared" si="514"/>
        <v>0</v>
      </c>
      <c r="T481" s="946" t="s">
        <v>46</v>
      </c>
      <c r="U481" s="1237">
        <v>0.02</v>
      </c>
      <c r="V481" s="927">
        <f t="shared" si="515"/>
        <v>1</v>
      </c>
      <c r="W481" s="935">
        <v>1</v>
      </c>
      <c r="X481" s="820">
        <v>2E-3</v>
      </c>
      <c r="Y481" s="1238">
        <f t="shared" si="516"/>
        <v>0</v>
      </c>
      <c r="Z481" s="929">
        <f t="shared" si="517"/>
        <v>0</v>
      </c>
      <c r="AA481" s="823"/>
      <c r="AC481" s="1103"/>
      <c r="AD481" s="1103"/>
      <c r="AE481" s="1103"/>
      <c r="AF481" s="825"/>
      <c r="AH481" s="827"/>
      <c r="AJ481" s="828">
        <f t="shared" si="496"/>
        <v>0</v>
      </c>
      <c r="AK481" s="862"/>
      <c r="AL481" s="828">
        <f t="shared" si="497"/>
        <v>0</v>
      </c>
      <c r="AM481" s="862"/>
      <c r="AO481" s="827"/>
      <c r="AV481" s="827"/>
      <c r="BF481" s="830"/>
      <c r="CI481" s="827"/>
    </row>
    <row r="482" spans="1:87" s="824" customFormat="1" ht="13.9" hidden="1" customHeight="1" outlineLevel="1">
      <c r="B482" s="921" t="s">
        <v>1722</v>
      </c>
      <c r="C482" s="922"/>
      <c r="D482" s="1239"/>
      <c r="E482" s="841"/>
      <c r="F482" s="809"/>
      <c r="G482" s="1233"/>
      <c r="H482" s="924" t="s">
        <v>100</v>
      </c>
      <c r="I482" s="1234"/>
      <c r="J482" s="979"/>
      <c r="K482" s="1235"/>
      <c r="L482" s="1233"/>
      <c r="M482" s="1236">
        <v>1</v>
      </c>
      <c r="N482" s="927">
        <f t="shared" si="512"/>
        <v>1</v>
      </c>
      <c r="O482" s="814">
        <v>1</v>
      </c>
      <c r="P482" s="811">
        <f t="shared" si="513"/>
        <v>1</v>
      </c>
      <c r="Q482" s="815">
        <v>1</v>
      </c>
      <c r="R482" s="505">
        <f t="shared" si="505"/>
        <v>1</v>
      </c>
      <c r="S482" s="815">
        <f t="shared" si="514"/>
        <v>0</v>
      </c>
      <c r="T482" s="946" t="s">
        <v>46</v>
      </c>
      <c r="U482" s="1237">
        <v>2.5000000000000001E-2</v>
      </c>
      <c r="V482" s="927">
        <f t="shared" si="515"/>
        <v>1</v>
      </c>
      <c r="W482" s="935">
        <v>1</v>
      </c>
      <c r="X482" s="820">
        <v>3.0000000000000001E-3</v>
      </c>
      <c r="Y482" s="1238">
        <f t="shared" si="516"/>
        <v>0</v>
      </c>
      <c r="Z482" s="929">
        <f t="shared" si="517"/>
        <v>0</v>
      </c>
      <c r="AA482" s="823"/>
      <c r="AC482" s="1103"/>
      <c r="AD482" s="1103"/>
      <c r="AE482" s="1103"/>
      <c r="AF482" s="825"/>
      <c r="AH482" s="827"/>
      <c r="AJ482" s="828">
        <f t="shared" si="496"/>
        <v>0</v>
      </c>
      <c r="AK482" s="862"/>
      <c r="AL482" s="828">
        <f t="shared" si="497"/>
        <v>0</v>
      </c>
      <c r="AM482" s="862"/>
      <c r="AO482" s="827"/>
      <c r="AV482" s="827"/>
      <c r="BF482" s="830"/>
      <c r="CI482" s="827"/>
    </row>
    <row r="483" spans="1:87" s="824" customFormat="1" ht="13.9" hidden="1" customHeight="1" outlineLevel="1">
      <c r="B483" s="921" t="s">
        <v>1723</v>
      </c>
      <c r="C483" s="922"/>
      <c r="D483" s="1239"/>
      <c r="E483" s="841"/>
      <c r="F483" s="809"/>
      <c r="G483" s="1233"/>
      <c r="H483" s="924" t="s">
        <v>100</v>
      </c>
      <c r="I483" s="1234"/>
      <c r="J483" s="979"/>
      <c r="K483" s="1235"/>
      <c r="L483" s="1233"/>
      <c r="M483" s="1236">
        <v>1</v>
      </c>
      <c r="N483" s="927">
        <f t="shared" si="512"/>
        <v>1</v>
      </c>
      <c r="O483" s="814">
        <v>1</v>
      </c>
      <c r="P483" s="811">
        <f t="shared" si="513"/>
        <v>1</v>
      </c>
      <c r="Q483" s="815">
        <v>1</v>
      </c>
      <c r="R483" s="505">
        <f t="shared" si="505"/>
        <v>1</v>
      </c>
      <c r="S483" s="815">
        <f t="shared" si="514"/>
        <v>0</v>
      </c>
      <c r="T483" s="946" t="s">
        <v>46</v>
      </c>
      <c r="U483" s="1237">
        <v>2.75E-2</v>
      </c>
      <c r="V483" s="927">
        <f t="shared" si="515"/>
        <v>1</v>
      </c>
      <c r="W483" s="935">
        <v>1</v>
      </c>
      <c r="X483" s="820">
        <v>4.0000000000000001E-3</v>
      </c>
      <c r="Y483" s="1238">
        <f t="shared" si="516"/>
        <v>0</v>
      </c>
      <c r="Z483" s="929">
        <f t="shared" si="517"/>
        <v>0</v>
      </c>
      <c r="AA483" s="823"/>
      <c r="AC483" s="1103"/>
      <c r="AD483" s="1103"/>
      <c r="AE483" s="1103"/>
      <c r="AF483" s="825"/>
      <c r="AH483" s="827"/>
      <c r="AJ483" s="828">
        <f t="shared" si="496"/>
        <v>0</v>
      </c>
      <c r="AK483" s="862"/>
      <c r="AL483" s="828">
        <f t="shared" si="497"/>
        <v>0</v>
      </c>
      <c r="AM483" s="862"/>
      <c r="AO483" s="827"/>
      <c r="AV483" s="827"/>
      <c r="BF483" s="830"/>
      <c r="CI483" s="827"/>
    </row>
    <row r="484" spans="1:87" s="824" customFormat="1" ht="13.9" hidden="1" customHeight="1" outlineLevel="1">
      <c r="B484" s="921" t="s">
        <v>1724</v>
      </c>
      <c r="C484" s="922"/>
      <c r="D484" s="1239"/>
      <c r="E484" s="841"/>
      <c r="F484" s="809"/>
      <c r="G484" s="1233"/>
      <c r="H484" s="924" t="s">
        <v>100</v>
      </c>
      <c r="I484" s="1234"/>
      <c r="J484" s="979"/>
      <c r="K484" s="1235"/>
      <c r="L484" s="1233"/>
      <c r="M484" s="1236">
        <v>1</v>
      </c>
      <c r="N484" s="927">
        <f t="shared" si="512"/>
        <v>1</v>
      </c>
      <c r="O484" s="814">
        <v>1</v>
      </c>
      <c r="P484" s="811">
        <f t="shared" si="513"/>
        <v>1</v>
      </c>
      <c r="Q484" s="815">
        <v>1</v>
      </c>
      <c r="R484" s="505">
        <f t="shared" si="505"/>
        <v>1</v>
      </c>
      <c r="S484" s="815">
        <f t="shared" si="514"/>
        <v>0</v>
      </c>
      <c r="T484" s="946" t="s">
        <v>46</v>
      </c>
      <c r="U484" s="1237">
        <v>2.75E-2</v>
      </c>
      <c r="V484" s="927">
        <f t="shared" si="515"/>
        <v>1</v>
      </c>
      <c r="W484" s="935">
        <v>1</v>
      </c>
      <c r="X484" s="820">
        <v>4.0000000000000001E-3</v>
      </c>
      <c r="Y484" s="1238">
        <f t="shared" si="516"/>
        <v>0</v>
      </c>
      <c r="Z484" s="929">
        <f t="shared" si="517"/>
        <v>0</v>
      </c>
      <c r="AA484" s="823"/>
      <c r="AC484" s="1103"/>
      <c r="AD484" s="1103"/>
      <c r="AE484" s="1103"/>
      <c r="AF484" s="825"/>
      <c r="AH484" s="827"/>
      <c r="AJ484" s="828">
        <f t="shared" si="496"/>
        <v>0</v>
      </c>
      <c r="AK484" s="862"/>
      <c r="AL484" s="828">
        <f t="shared" si="497"/>
        <v>0</v>
      </c>
      <c r="AM484" s="862"/>
      <c r="AO484" s="827"/>
      <c r="AQ484" s="936"/>
      <c r="AR484" s="936"/>
      <c r="AS484" s="936"/>
      <c r="AT484" s="936"/>
      <c r="AV484" s="827"/>
      <c r="AX484" s="936"/>
      <c r="AY484" s="936"/>
      <c r="AZ484" s="936"/>
      <c r="BA484" s="936"/>
      <c r="BB484" s="936"/>
      <c r="BC484" s="936"/>
      <c r="BF484" s="830"/>
      <c r="CI484" s="827"/>
    </row>
    <row r="485" spans="1:87" s="479" customFormat="1" ht="15" collapsed="1">
      <c r="A485" s="370"/>
      <c r="B485" s="895" t="s">
        <v>1725</v>
      </c>
      <c r="C485" s="896"/>
      <c r="D485" s="897"/>
      <c r="E485" s="898"/>
      <c r="F485" s="899"/>
      <c r="G485" s="899"/>
      <c r="H485" s="900"/>
      <c r="I485" s="901"/>
      <c r="J485" s="902"/>
      <c r="K485" s="898"/>
      <c r="L485" s="899"/>
      <c r="M485" s="903"/>
      <c r="N485" s="907"/>
      <c r="O485" s="898"/>
      <c r="P485" s="902"/>
      <c r="Q485" s="905"/>
      <c r="R485" s="903"/>
      <c r="S485" s="905"/>
      <c r="T485" s="906"/>
      <c r="U485" s="906"/>
      <c r="V485" s="907"/>
      <c r="W485" s="908"/>
      <c r="X485" s="909"/>
      <c r="Y485" s="1232"/>
      <c r="Z485" s="1069"/>
      <c r="AA485" s="911"/>
      <c r="AB485" s="370"/>
      <c r="AC485" s="912"/>
      <c r="AD485" s="912"/>
      <c r="AE485" s="912"/>
      <c r="AF485" s="913"/>
      <c r="AG485" s="370"/>
      <c r="AH485" s="521"/>
      <c r="AI485" s="370"/>
      <c r="AJ485" s="483">
        <f t="shared" si="496"/>
        <v>0</v>
      </c>
      <c r="AK485" s="522"/>
      <c r="AL485" s="401">
        <f t="shared" si="497"/>
        <v>0</v>
      </c>
      <c r="AM485" s="523"/>
      <c r="AN485" s="370"/>
      <c r="AO485" s="521"/>
      <c r="AP485" s="936"/>
      <c r="AQ485" s="370"/>
      <c r="AU485" s="936"/>
      <c r="AV485" s="521"/>
      <c r="AW485" s="936"/>
      <c r="AX485" s="370"/>
      <c r="AY485" s="370"/>
      <c r="AZ485" s="370"/>
      <c r="BA485" s="370"/>
      <c r="BB485" s="370"/>
      <c r="BC485" s="370"/>
      <c r="BD485" s="370"/>
      <c r="BE485" s="370"/>
      <c r="BF485" s="524"/>
      <c r="BG485" s="370"/>
      <c r="BH485" s="370"/>
      <c r="BI485" s="370"/>
      <c r="BJ485" s="370"/>
      <c r="BK485" s="370"/>
      <c r="BL485" s="370"/>
      <c r="BM485" s="370"/>
      <c r="BN485" s="370"/>
      <c r="BO485" s="370"/>
      <c r="BP485" s="370"/>
      <c r="BQ485" s="370"/>
      <c r="BR485" s="370"/>
      <c r="BS485" s="370"/>
      <c r="BT485" s="370"/>
      <c r="BU485" s="370"/>
      <c r="BV485" s="370"/>
      <c r="BW485" s="370"/>
      <c r="BX485" s="370"/>
      <c r="BY485" s="370"/>
      <c r="BZ485" s="370"/>
      <c r="CH485" s="370"/>
      <c r="CI485" s="521"/>
    </row>
    <row r="486" spans="1:87" s="824" customFormat="1" ht="13.9" hidden="1" customHeight="1" outlineLevel="1">
      <c r="B486" s="921" t="s">
        <v>1170</v>
      </c>
      <c r="C486" s="922"/>
      <c r="D486" s="923"/>
      <c r="E486" s="841"/>
      <c r="F486" s="809"/>
      <c r="G486" s="1233"/>
      <c r="H486" s="924" t="s">
        <v>100</v>
      </c>
      <c r="I486" s="1234"/>
      <c r="J486" s="979"/>
      <c r="K486" s="1235"/>
      <c r="L486" s="809"/>
      <c r="M486" s="1236">
        <v>1</v>
      </c>
      <c r="N486" s="927">
        <f t="shared" ref="N486:N493" si="518">IF(I486&gt;0,22/28*((I486/1000)^2-(I486/1000-2*J486/1000)^2)*K486/1000,IF(J486&gt;0,J486/1000*K486/1000*L486/1000, IF(K486&gt;0,K486/1000*L486/1000, IF(L486=0,1,L486/1000))))</f>
        <v>1</v>
      </c>
      <c r="O486" s="814">
        <v>1</v>
      </c>
      <c r="P486" s="811">
        <f t="shared" ref="P486:P493" si="519">M486*N486*O486</f>
        <v>1</v>
      </c>
      <c r="Q486" s="815">
        <v>1</v>
      </c>
      <c r="R486" s="505">
        <f t="shared" si="505"/>
        <v>1</v>
      </c>
      <c r="S486" s="815">
        <f t="shared" ref="S486:S493" si="520">P486*AA486*Q486*R486</f>
        <v>0</v>
      </c>
      <c r="T486" s="946" t="s">
        <v>46</v>
      </c>
      <c r="U486" s="1237">
        <v>1.4E-2</v>
      </c>
      <c r="V486" s="927">
        <f t="shared" ref="V486:V493" si="521">1/VLOOKUP(T486,Y$12:Z$18,2,FALSE)</f>
        <v>1</v>
      </c>
      <c r="W486" s="935">
        <v>1</v>
      </c>
      <c r="X486" s="820">
        <v>1E-3</v>
      </c>
      <c r="Y486" s="1238">
        <f t="shared" ref="Y486:Y493" si="522">+P486*R486*AA486*X486</f>
        <v>0</v>
      </c>
      <c r="Z486" s="929">
        <f t="shared" ref="Z486:Z493" si="523">S486*U486*V486*W486</f>
        <v>0</v>
      </c>
      <c r="AA486" s="823"/>
      <c r="AC486" s="1103"/>
      <c r="AD486" s="1103"/>
      <c r="AE486" s="1103"/>
      <c r="AF486" s="825"/>
      <c r="AH486" s="827"/>
      <c r="AJ486" s="828">
        <f t="shared" si="496"/>
        <v>0</v>
      </c>
      <c r="AK486" s="862"/>
      <c r="AL486" s="828">
        <f t="shared" si="497"/>
        <v>0</v>
      </c>
      <c r="AM486" s="862"/>
      <c r="AO486" s="827"/>
      <c r="AV486" s="827"/>
      <c r="BF486" s="830"/>
      <c r="CI486" s="827"/>
    </row>
    <row r="487" spans="1:87" s="824" customFormat="1" ht="13.9" hidden="1" customHeight="1" outlineLevel="1">
      <c r="B487" s="921" t="s">
        <v>1726</v>
      </c>
      <c r="C487" s="922"/>
      <c r="D487" s="1239"/>
      <c r="E487" s="841"/>
      <c r="F487" s="809"/>
      <c r="G487" s="1233"/>
      <c r="H487" s="924" t="s">
        <v>100</v>
      </c>
      <c r="I487" s="1234"/>
      <c r="J487" s="979"/>
      <c r="K487" s="1235"/>
      <c r="L487" s="1233"/>
      <c r="M487" s="1236">
        <v>1</v>
      </c>
      <c r="N487" s="927">
        <f t="shared" si="518"/>
        <v>1</v>
      </c>
      <c r="O487" s="814">
        <v>1</v>
      </c>
      <c r="P487" s="811">
        <f t="shared" si="519"/>
        <v>1</v>
      </c>
      <c r="Q487" s="815">
        <v>1</v>
      </c>
      <c r="R487" s="505">
        <f t="shared" si="505"/>
        <v>1</v>
      </c>
      <c r="S487" s="815">
        <f t="shared" si="520"/>
        <v>0</v>
      </c>
      <c r="T487" s="946" t="s">
        <v>46</v>
      </c>
      <c r="U487" s="1237">
        <v>1.4E-2</v>
      </c>
      <c r="V487" s="927">
        <f t="shared" si="521"/>
        <v>1</v>
      </c>
      <c r="W487" s="935">
        <v>1</v>
      </c>
      <c r="X487" s="820">
        <v>1E-3</v>
      </c>
      <c r="Y487" s="1238">
        <f t="shared" si="522"/>
        <v>0</v>
      </c>
      <c r="Z487" s="929">
        <f t="shared" si="523"/>
        <v>0</v>
      </c>
      <c r="AA487" s="823"/>
      <c r="AC487" s="1103"/>
      <c r="AD487" s="1103"/>
      <c r="AE487" s="1103"/>
      <c r="AF487" s="825"/>
      <c r="AH487" s="827"/>
      <c r="AJ487" s="828">
        <f t="shared" si="496"/>
        <v>0</v>
      </c>
      <c r="AK487" s="862"/>
      <c r="AL487" s="828">
        <f t="shared" si="497"/>
        <v>0</v>
      </c>
      <c r="AM487" s="862"/>
      <c r="AO487" s="827"/>
      <c r="AV487" s="827"/>
      <c r="BF487" s="830"/>
      <c r="CI487" s="827"/>
    </row>
    <row r="488" spans="1:87" s="824" customFormat="1" ht="13.9" hidden="1" customHeight="1" outlineLevel="1">
      <c r="B488" s="921" t="s">
        <v>1727</v>
      </c>
      <c r="C488" s="922"/>
      <c r="D488" s="1239"/>
      <c r="E488" s="841"/>
      <c r="F488" s="809"/>
      <c r="G488" s="1233"/>
      <c r="H488" s="924" t="s">
        <v>100</v>
      </c>
      <c r="I488" s="1234"/>
      <c r="J488" s="979"/>
      <c r="K488" s="1235"/>
      <c r="L488" s="1233"/>
      <c r="M488" s="1236">
        <v>1</v>
      </c>
      <c r="N488" s="927">
        <f t="shared" si="518"/>
        <v>1</v>
      </c>
      <c r="O488" s="814">
        <v>1</v>
      </c>
      <c r="P488" s="811">
        <f t="shared" si="519"/>
        <v>1</v>
      </c>
      <c r="Q488" s="815">
        <v>1</v>
      </c>
      <c r="R488" s="505">
        <f t="shared" si="505"/>
        <v>1</v>
      </c>
      <c r="S488" s="815">
        <f t="shared" si="520"/>
        <v>0</v>
      </c>
      <c r="T488" s="946" t="s">
        <v>46</v>
      </c>
      <c r="U488" s="1237">
        <v>0.02</v>
      </c>
      <c r="V488" s="927">
        <f t="shared" si="521"/>
        <v>1</v>
      </c>
      <c r="W488" s="935">
        <v>1</v>
      </c>
      <c r="X488" s="820">
        <v>2E-3</v>
      </c>
      <c r="Y488" s="1238">
        <f t="shared" si="522"/>
        <v>0</v>
      </c>
      <c r="Z488" s="929">
        <f t="shared" si="523"/>
        <v>0</v>
      </c>
      <c r="AA488" s="823"/>
      <c r="AC488" s="1103"/>
      <c r="AD488" s="1103"/>
      <c r="AE488" s="1103"/>
      <c r="AF488" s="825"/>
      <c r="AH488" s="827"/>
      <c r="AJ488" s="828">
        <f t="shared" si="496"/>
        <v>0</v>
      </c>
      <c r="AK488" s="862"/>
      <c r="AL488" s="828">
        <f t="shared" si="497"/>
        <v>0</v>
      </c>
      <c r="AM488" s="862"/>
      <c r="AO488" s="827"/>
      <c r="AV488" s="827"/>
      <c r="BF488" s="830"/>
      <c r="CI488" s="827"/>
    </row>
    <row r="489" spans="1:87" s="824" customFormat="1" ht="13.9" hidden="1" customHeight="1" outlineLevel="1">
      <c r="B489" s="921" t="s">
        <v>1728</v>
      </c>
      <c r="C489" s="922"/>
      <c r="D489" s="1239"/>
      <c r="E489" s="841"/>
      <c r="F489" s="809"/>
      <c r="G489" s="1233"/>
      <c r="H489" s="924" t="s">
        <v>100</v>
      </c>
      <c r="I489" s="1234"/>
      <c r="J489" s="979"/>
      <c r="K489" s="1235"/>
      <c r="L489" s="1233"/>
      <c r="M489" s="1236">
        <v>1</v>
      </c>
      <c r="N489" s="927">
        <f t="shared" si="518"/>
        <v>1</v>
      </c>
      <c r="O489" s="814">
        <v>1</v>
      </c>
      <c r="P489" s="811">
        <f t="shared" si="519"/>
        <v>1</v>
      </c>
      <c r="Q489" s="815">
        <v>1</v>
      </c>
      <c r="R489" s="505">
        <f t="shared" si="505"/>
        <v>1</v>
      </c>
      <c r="S489" s="815">
        <f t="shared" si="520"/>
        <v>0</v>
      </c>
      <c r="T489" s="946" t="s">
        <v>46</v>
      </c>
      <c r="U489" s="1237">
        <v>0.02</v>
      </c>
      <c r="V489" s="927">
        <f t="shared" si="521"/>
        <v>1</v>
      </c>
      <c r="W489" s="935">
        <v>1</v>
      </c>
      <c r="X489" s="820">
        <v>2E-3</v>
      </c>
      <c r="Y489" s="1238">
        <f t="shared" si="522"/>
        <v>0</v>
      </c>
      <c r="Z489" s="929">
        <f t="shared" si="523"/>
        <v>0</v>
      </c>
      <c r="AA489" s="823"/>
      <c r="AC489" s="1103"/>
      <c r="AD489" s="1103"/>
      <c r="AE489" s="1103"/>
      <c r="AF489" s="825"/>
      <c r="AH489" s="827"/>
      <c r="AJ489" s="828">
        <f t="shared" si="496"/>
        <v>0</v>
      </c>
      <c r="AK489" s="862"/>
      <c r="AL489" s="828">
        <f t="shared" si="497"/>
        <v>0</v>
      </c>
      <c r="AM489" s="862"/>
      <c r="AO489" s="827"/>
      <c r="AV489" s="827"/>
      <c r="BF489" s="830"/>
      <c r="CI489" s="827"/>
    </row>
    <row r="490" spans="1:87" s="824" customFormat="1" ht="13.9" hidden="1" customHeight="1" outlineLevel="1">
      <c r="B490" s="921" t="s">
        <v>1729</v>
      </c>
      <c r="C490" s="922"/>
      <c r="D490" s="1239"/>
      <c r="E490" s="841"/>
      <c r="F490" s="809"/>
      <c r="G490" s="1233"/>
      <c r="H490" s="924" t="s">
        <v>100</v>
      </c>
      <c r="I490" s="1234"/>
      <c r="J490" s="979"/>
      <c r="K490" s="1235"/>
      <c r="L490" s="1233"/>
      <c r="M490" s="1236">
        <v>1</v>
      </c>
      <c r="N490" s="927">
        <f t="shared" si="518"/>
        <v>1</v>
      </c>
      <c r="O490" s="814">
        <v>1</v>
      </c>
      <c r="P490" s="811">
        <f t="shared" si="519"/>
        <v>1</v>
      </c>
      <c r="Q490" s="815">
        <v>1</v>
      </c>
      <c r="R490" s="505">
        <f t="shared" si="505"/>
        <v>1</v>
      </c>
      <c r="S490" s="815">
        <f t="shared" si="520"/>
        <v>0</v>
      </c>
      <c r="T490" s="946" t="s">
        <v>46</v>
      </c>
      <c r="U490" s="1237">
        <v>2.5000000000000001E-2</v>
      </c>
      <c r="V490" s="927">
        <f t="shared" si="521"/>
        <v>1</v>
      </c>
      <c r="W490" s="935">
        <v>1</v>
      </c>
      <c r="X490" s="820">
        <v>3.0000000000000001E-3</v>
      </c>
      <c r="Y490" s="1238">
        <f t="shared" si="522"/>
        <v>0</v>
      </c>
      <c r="Z490" s="929">
        <f t="shared" si="523"/>
        <v>0</v>
      </c>
      <c r="AA490" s="823"/>
      <c r="AC490" s="1103"/>
      <c r="AD490" s="1103"/>
      <c r="AE490" s="1103"/>
      <c r="AF490" s="825"/>
      <c r="AH490" s="827"/>
      <c r="AJ490" s="828">
        <f t="shared" si="496"/>
        <v>0</v>
      </c>
      <c r="AK490" s="862"/>
      <c r="AL490" s="828">
        <f t="shared" si="497"/>
        <v>0</v>
      </c>
      <c r="AM490" s="862"/>
      <c r="AO490" s="827"/>
      <c r="AV490" s="827"/>
      <c r="BF490" s="830"/>
      <c r="CI490" s="827"/>
    </row>
    <row r="491" spans="1:87" s="824" customFormat="1" ht="13.9" hidden="1" customHeight="1" outlineLevel="1">
      <c r="B491" s="921" t="s">
        <v>1730</v>
      </c>
      <c r="C491" s="922"/>
      <c r="D491" s="1239"/>
      <c r="E491" s="841"/>
      <c r="F491" s="809"/>
      <c r="G491" s="1233"/>
      <c r="H491" s="924" t="s">
        <v>100</v>
      </c>
      <c r="I491" s="1234"/>
      <c r="J491" s="979"/>
      <c r="K491" s="1235"/>
      <c r="L491" s="1233"/>
      <c r="M491" s="1236">
        <v>1</v>
      </c>
      <c r="N491" s="927">
        <f t="shared" si="518"/>
        <v>1</v>
      </c>
      <c r="O491" s="814">
        <v>1</v>
      </c>
      <c r="P491" s="811">
        <f t="shared" si="519"/>
        <v>1</v>
      </c>
      <c r="Q491" s="815">
        <v>1</v>
      </c>
      <c r="R491" s="505">
        <f t="shared" si="505"/>
        <v>1</v>
      </c>
      <c r="S491" s="815">
        <f t="shared" si="520"/>
        <v>0</v>
      </c>
      <c r="T491" s="946" t="s">
        <v>46</v>
      </c>
      <c r="U491" s="1237">
        <v>2.5000000000000001E-2</v>
      </c>
      <c r="V491" s="927">
        <f t="shared" si="521"/>
        <v>1</v>
      </c>
      <c r="W491" s="935">
        <v>1</v>
      </c>
      <c r="X491" s="820">
        <v>3.0000000000000001E-3</v>
      </c>
      <c r="Y491" s="1238">
        <f t="shared" si="522"/>
        <v>0</v>
      </c>
      <c r="Z491" s="929">
        <f t="shared" si="523"/>
        <v>0</v>
      </c>
      <c r="AA491" s="823"/>
      <c r="AC491" s="1103"/>
      <c r="AD491" s="1103"/>
      <c r="AE491" s="1103"/>
      <c r="AF491" s="825"/>
      <c r="AH491" s="827"/>
      <c r="AJ491" s="828">
        <f t="shared" si="496"/>
        <v>0</v>
      </c>
      <c r="AK491" s="862"/>
      <c r="AL491" s="828">
        <f t="shared" si="497"/>
        <v>0</v>
      </c>
      <c r="AM491" s="862"/>
      <c r="AO491" s="827"/>
      <c r="AV491" s="827"/>
      <c r="BF491" s="830"/>
      <c r="CI491" s="827"/>
    </row>
    <row r="492" spans="1:87" s="824" customFormat="1" ht="13.9" hidden="1" customHeight="1" outlineLevel="1">
      <c r="B492" s="921" t="s">
        <v>1731</v>
      </c>
      <c r="C492" s="922"/>
      <c r="D492" s="1239"/>
      <c r="E492" s="841"/>
      <c r="F492" s="809"/>
      <c r="G492" s="1233"/>
      <c r="H492" s="924" t="s">
        <v>100</v>
      </c>
      <c r="I492" s="1234"/>
      <c r="J492" s="979"/>
      <c r="K492" s="1235"/>
      <c r="L492" s="1233"/>
      <c r="M492" s="1236">
        <v>1</v>
      </c>
      <c r="N492" s="927">
        <f t="shared" si="518"/>
        <v>1</v>
      </c>
      <c r="O492" s="814">
        <v>1</v>
      </c>
      <c r="P492" s="811">
        <f t="shared" si="519"/>
        <v>1</v>
      </c>
      <c r="Q492" s="815">
        <v>1</v>
      </c>
      <c r="R492" s="505">
        <f t="shared" si="505"/>
        <v>1</v>
      </c>
      <c r="S492" s="815">
        <f t="shared" si="520"/>
        <v>0</v>
      </c>
      <c r="T492" s="946" t="s">
        <v>46</v>
      </c>
      <c r="U492" s="1237">
        <v>2.75E-2</v>
      </c>
      <c r="V492" s="927">
        <f t="shared" si="521"/>
        <v>1</v>
      </c>
      <c r="W492" s="935">
        <v>1</v>
      </c>
      <c r="X492" s="820">
        <v>4.0000000000000001E-3</v>
      </c>
      <c r="Y492" s="1238">
        <f t="shared" si="522"/>
        <v>0</v>
      </c>
      <c r="Z492" s="929">
        <f t="shared" si="523"/>
        <v>0</v>
      </c>
      <c r="AA492" s="823"/>
      <c r="AC492" s="1103"/>
      <c r="AD492" s="1103"/>
      <c r="AE492" s="1103"/>
      <c r="AF492" s="825"/>
      <c r="AH492" s="827"/>
      <c r="AJ492" s="828">
        <f t="shared" si="496"/>
        <v>0</v>
      </c>
      <c r="AK492" s="862"/>
      <c r="AL492" s="828">
        <f t="shared" si="497"/>
        <v>0</v>
      </c>
      <c r="AM492" s="862"/>
      <c r="AO492" s="827"/>
      <c r="AV492" s="827"/>
      <c r="BF492" s="830"/>
      <c r="CI492" s="827"/>
    </row>
    <row r="493" spans="1:87" s="824" customFormat="1" ht="13.9" hidden="1" customHeight="1" outlineLevel="1">
      <c r="B493" s="921" t="s">
        <v>1732</v>
      </c>
      <c r="C493" s="922"/>
      <c r="D493" s="1239"/>
      <c r="E493" s="841"/>
      <c r="F493" s="809"/>
      <c r="G493" s="1233"/>
      <c r="H493" s="924" t="s">
        <v>100</v>
      </c>
      <c r="I493" s="1234"/>
      <c r="J493" s="979"/>
      <c r="K493" s="1235"/>
      <c r="L493" s="1233"/>
      <c r="M493" s="1236">
        <v>1</v>
      </c>
      <c r="N493" s="927">
        <f t="shared" si="518"/>
        <v>1</v>
      </c>
      <c r="O493" s="814">
        <v>1</v>
      </c>
      <c r="P493" s="811">
        <f t="shared" si="519"/>
        <v>1</v>
      </c>
      <c r="Q493" s="815">
        <v>1</v>
      </c>
      <c r="R493" s="505">
        <f t="shared" si="505"/>
        <v>1</v>
      </c>
      <c r="S493" s="815">
        <f t="shared" si="520"/>
        <v>0</v>
      </c>
      <c r="T493" s="946" t="s">
        <v>46</v>
      </c>
      <c r="U493" s="1237">
        <v>2.75E-2</v>
      </c>
      <c r="V493" s="927">
        <f t="shared" si="521"/>
        <v>1</v>
      </c>
      <c r="W493" s="935">
        <v>1</v>
      </c>
      <c r="X493" s="820">
        <v>4.0000000000000001E-3</v>
      </c>
      <c r="Y493" s="1238">
        <f t="shared" si="522"/>
        <v>0</v>
      </c>
      <c r="Z493" s="929">
        <f t="shared" si="523"/>
        <v>0</v>
      </c>
      <c r="AA493" s="823"/>
      <c r="AC493" s="1103"/>
      <c r="AD493" s="1103"/>
      <c r="AE493" s="1103"/>
      <c r="AF493" s="825"/>
      <c r="AH493" s="827"/>
      <c r="AJ493" s="828">
        <f t="shared" si="496"/>
        <v>0</v>
      </c>
      <c r="AK493" s="862"/>
      <c r="AL493" s="828">
        <f t="shared" si="497"/>
        <v>0</v>
      </c>
      <c r="AM493" s="862"/>
      <c r="AO493" s="827"/>
      <c r="AQ493" s="936"/>
      <c r="AR493" s="936"/>
      <c r="AS493" s="936"/>
      <c r="AT493" s="936"/>
      <c r="AV493" s="827"/>
      <c r="AX493" s="936"/>
      <c r="AY493" s="936"/>
      <c r="AZ493" s="936"/>
      <c r="BA493" s="936"/>
      <c r="BB493" s="936"/>
      <c r="BC493" s="936"/>
      <c r="BF493" s="830"/>
      <c r="CI493" s="827"/>
    </row>
    <row r="494" spans="1:87" s="479" customFormat="1" ht="15" collapsed="1">
      <c r="A494" s="370"/>
      <c r="B494" s="895" t="s">
        <v>1733</v>
      </c>
      <c r="C494" s="896"/>
      <c r="D494" s="897"/>
      <c r="E494" s="898"/>
      <c r="F494" s="899"/>
      <c r="G494" s="899"/>
      <c r="H494" s="900"/>
      <c r="I494" s="901"/>
      <c r="J494" s="902"/>
      <c r="K494" s="898"/>
      <c r="L494" s="899"/>
      <c r="M494" s="903"/>
      <c r="N494" s="907"/>
      <c r="O494" s="898"/>
      <c r="P494" s="902"/>
      <c r="Q494" s="905"/>
      <c r="R494" s="903"/>
      <c r="S494" s="905"/>
      <c r="T494" s="906"/>
      <c r="U494" s="906"/>
      <c r="V494" s="907"/>
      <c r="W494" s="908"/>
      <c r="X494" s="909"/>
      <c r="Y494" s="1232"/>
      <c r="Z494" s="1069"/>
      <c r="AA494" s="911"/>
      <c r="AB494" s="370"/>
      <c r="AC494" s="912"/>
      <c r="AD494" s="912"/>
      <c r="AE494" s="912"/>
      <c r="AF494" s="913"/>
      <c r="AG494" s="370"/>
      <c r="AH494" s="521"/>
      <c r="AI494" s="370"/>
      <c r="AJ494" s="483">
        <f t="shared" si="496"/>
        <v>0</v>
      </c>
      <c r="AK494" s="522"/>
      <c r="AL494" s="401">
        <f t="shared" si="497"/>
        <v>0</v>
      </c>
      <c r="AM494" s="523"/>
      <c r="AN494" s="370"/>
      <c r="AO494" s="521"/>
      <c r="AP494" s="936"/>
      <c r="AQ494" s="370"/>
      <c r="AU494" s="936"/>
      <c r="AV494" s="521"/>
      <c r="AW494" s="936"/>
      <c r="AX494" s="370"/>
      <c r="AY494" s="370"/>
      <c r="AZ494" s="370"/>
      <c r="BA494" s="370"/>
      <c r="BB494" s="370"/>
      <c r="BC494" s="370"/>
      <c r="BD494" s="370"/>
      <c r="BE494" s="370"/>
      <c r="BF494" s="524"/>
      <c r="BG494" s="370"/>
      <c r="BH494" s="370"/>
      <c r="BI494" s="370"/>
      <c r="BJ494" s="370"/>
      <c r="BK494" s="370"/>
      <c r="BL494" s="370"/>
      <c r="BM494" s="370"/>
      <c r="BN494" s="370"/>
      <c r="BO494" s="370"/>
      <c r="BP494" s="370"/>
      <c r="BQ494" s="370"/>
      <c r="BR494" s="370"/>
      <c r="BS494" s="370"/>
      <c r="BT494" s="370"/>
      <c r="BU494" s="370"/>
      <c r="BV494" s="370"/>
      <c r="BW494" s="370"/>
      <c r="BX494" s="370"/>
      <c r="BY494" s="370"/>
      <c r="BZ494" s="370"/>
      <c r="CH494" s="370"/>
      <c r="CI494" s="521"/>
    </row>
    <row r="495" spans="1:87" s="824" customFormat="1" ht="13.9" hidden="1" customHeight="1" outlineLevel="1">
      <c r="B495" s="921" t="s">
        <v>1734</v>
      </c>
      <c r="C495" s="922"/>
      <c r="D495" s="923"/>
      <c r="E495" s="841"/>
      <c r="F495" s="809"/>
      <c r="G495" s="1233"/>
      <c r="H495" s="924" t="s">
        <v>100</v>
      </c>
      <c r="I495" s="1234"/>
      <c r="J495" s="979"/>
      <c r="K495" s="1235"/>
      <c r="L495" s="809"/>
      <c r="M495" s="1236">
        <v>1</v>
      </c>
      <c r="N495" s="927">
        <f>IF(I495&gt;0,22/28*((I495/1000)^2-(I495/1000-2*J495/1000)^2)*K495/1000,IF(J495&gt;0,J495/1000*K495/1000*L495/1000, IF(K495&gt;0,K495/1000*L495/1000, IF(L495=0,1,L495/1000))))</f>
        <v>1</v>
      </c>
      <c r="O495" s="814">
        <v>1</v>
      </c>
      <c r="P495" s="811">
        <f>M495*N495*O495</f>
        <v>1</v>
      </c>
      <c r="Q495" s="815">
        <v>1</v>
      </c>
      <c r="R495" s="505">
        <f t="shared" si="505"/>
        <v>1</v>
      </c>
      <c r="S495" s="815">
        <f>P495*AA495*Q495*R495</f>
        <v>0</v>
      </c>
      <c r="T495" s="946" t="s">
        <v>46</v>
      </c>
      <c r="U495" s="1237">
        <v>1.4E-2</v>
      </c>
      <c r="V495" s="927">
        <f>1/VLOOKUP(T495,Y$12:Z$18,2,FALSE)</f>
        <v>1</v>
      </c>
      <c r="W495" s="935">
        <v>1</v>
      </c>
      <c r="X495" s="820">
        <v>1E-3</v>
      </c>
      <c r="Y495" s="1238">
        <f>+P495*R495*AA495*X495</f>
        <v>0</v>
      </c>
      <c r="Z495" s="929">
        <f>S495*U495*V495*W495</f>
        <v>0</v>
      </c>
      <c r="AA495" s="823"/>
      <c r="AC495" s="1103"/>
      <c r="AD495" s="1103"/>
      <c r="AE495" s="1103"/>
      <c r="AF495" s="825"/>
      <c r="AH495" s="827"/>
      <c r="AJ495" s="828">
        <f t="shared" si="496"/>
        <v>0</v>
      </c>
      <c r="AK495" s="862"/>
      <c r="AL495" s="828">
        <f t="shared" si="497"/>
        <v>0</v>
      </c>
      <c r="AM495" s="862"/>
      <c r="AO495" s="827"/>
      <c r="AV495" s="827"/>
      <c r="BF495" s="830"/>
      <c r="CI495" s="827"/>
    </row>
    <row r="496" spans="1:87" s="824" customFormat="1" ht="13.9" hidden="1" customHeight="1" outlineLevel="1">
      <c r="B496" s="921" t="s">
        <v>1735</v>
      </c>
      <c r="C496" s="922"/>
      <c r="D496" s="1239"/>
      <c r="E496" s="841"/>
      <c r="F496" s="809"/>
      <c r="G496" s="1233"/>
      <c r="H496" s="924" t="s">
        <v>100</v>
      </c>
      <c r="I496" s="1234"/>
      <c r="J496" s="979"/>
      <c r="K496" s="1235"/>
      <c r="L496" s="1233"/>
      <c r="M496" s="1236">
        <v>1</v>
      </c>
      <c r="N496" s="927">
        <f>IF(I496&gt;0,22/28*((I496/1000)^2-(I496/1000-2*J496/1000)^2)*K496/1000,IF(J496&gt;0,J496/1000*K496/1000*L496/1000, IF(K496&gt;0,K496/1000*L496/1000, IF(L496=0,1,L496/1000))))</f>
        <v>1</v>
      </c>
      <c r="O496" s="814">
        <v>1</v>
      </c>
      <c r="P496" s="811">
        <f>M496*N496*O496</f>
        <v>1</v>
      </c>
      <c r="Q496" s="815">
        <v>1</v>
      </c>
      <c r="R496" s="505">
        <f t="shared" si="505"/>
        <v>1</v>
      </c>
      <c r="S496" s="815">
        <f>P496*AA496*Q496*R496</f>
        <v>0</v>
      </c>
      <c r="T496" s="946" t="s">
        <v>46</v>
      </c>
      <c r="U496" s="1237">
        <v>0.02</v>
      </c>
      <c r="V496" s="927">
        <f>1/VLOOKUP(T496,Y$12:Z$18,2,FALSE)</f>
        <v>1</v>
      </c>
      <c r="W496" s="935">
        <v>1</v>
      </c>
      <c r="X496" s="820">
        <v>2E-3</v>
      </c>
      <c r="Y496" s="1238">
        <f>+P496*R496*AA496*X496</f>
        <v>0</v>
      </c>
      <c r="Z496" s="929">
        <f>S496*U496*V496*W496</f>
        <v>0</v>
      </c>
      <c r="AA496" s="823"/>
      <c r="AC496" s="1103"/>
      <c r="AD496" s="1103"/>
      <c r="AE496" s="1103"/>
      <c r="AF496" s="825"/>
      <c r="AH496" s="827"/>
      <c r="AJ496" s="828">
        <f t="shared" si="496"/>
        <v>0</v>
      </c>
      <c r="AK496" s="862"/>
      <c r="AL496" s="828">
        <f t="shared" si="497"/>
        <v>0</v>
      </c>
      <c r="AM496" s="862"/>
      <c r="AO496" s="827"/>
      <c r="AV496" s="827"/>
      <c r="BF496" s="830"/>
      <c r="CI496" s="827"/>
    </row>
    <row r="497" spans="1:93" s="824" customFormat="1" ht="13.9" hidden="1" customHeight="1" outlineLevel="1">
      <c r="B497" s="921" t="s">
        <v>1736</v>
      </c>
      <c r="C497" s="922"/>
      <c r="D497" s="1239"/>
      <c r="E497" s="841"/>
      <c r="F497" s="809"/>
      <c r="G497" s="1233"/>
      <c r="H497" s="924" t="s">
        <v>100</v>
      </c>
      <c r="I497" s="1234"/>
      <c r="J497" s="979"/>
      <c r="K497" s="1235"/>
      <c r="L497" s="1233"/>
      <c r="M497" s="1236">
        <v>1</v>
      </c>
      <c r="N497" s="927">
        <f>IF(I497&gt;0,22/28*((I497/1000)^2-(I497/1000-2*J497/1000)^2)*K497/1000,IF(J497&gt;0,J497/1000*K497/1000*L497/1000, IF(K497&gt;0,K497/1000*L497/1000, IF(L497=0,1,L497/1000))))</f>
        <v>1</v>
      </c>
      <c r="O497" s="814">
        <v>1</v>
      </c>
      <c r="P497" s="811">
        <f>M497*N497*O497</f>
        <v>1</v>
      </c>
      <c r="Q497" s="815">
        <v>1</v>
      </c>
      <c r="R497" s="505">
        <f t="shared" si="505"/>
        <v>1</v>
      </c>
      <c r="S497" s="815">
        <f>P497*AA497*Q497*R497</f>
        <v>0</v>
      </c>
      <c r="T497" s="946" t="s">
        <v>46</v>
      </c>
      <c r="U497" s="1237">
        <v>2.5000000000000001E-2</v>
      </c>
      <c r="V497" s="927">
        <f>1/VLOOKUP(T497,Y$12:Z$18,2,FALSE)</f>
        <v>1</v>
      </c>
      <c r="W497" s="935">
        <v>1</v>
      </c>
      <c r="X497" s="820">
        <v>3.0000000000000001E-3</v>
      </c>
      <c r="Y497" s="1238">
        <f>+P497*R497*AA497*X497</f>
        <v>0</v>
      </c>
      <c r="Z497" s="929">
        <f>S497*U497*V497*W497</f>
        <v>0</v>
      </c>
      <c r="AA497" s="823"/>
      <c r="AC497" s="1103"/>
      <c r="AD497" s="1103"/>
      <c r="AE497" s="1103"/>
      <c r="AF497" s="825"/>
      <c r="AH497" s="827"/>
      <c r="AJ497" s="828">
        <f t="shared" si="496"/>
        <v>0</v>
      </c>
      <c r="AK497" s="862"/>
      <c r="AL497" s="828">
        <f t="shared" si="497"/>
        <v>0</v>
      </c>
      <c r="AM497" s="862"/>
      <c r="AO497" s="827"/>
      <c r="AV497" s="827"/>
      <c r="BF497" s="830"/>
      <c r="CI497" s="827"/>
    </row>
    <row r="498" spans="1:93" s="824" customFormat="1" ht="13.9" hidden="1" customHeight="1" outlineLevel="1">
      <c r="B498" s="921" t="s">
        <v>1737</v>
      </c>
      <c r="C498" s="922"/>
      <c r="D498" s="1239"/>
      <c r="E498" s="841"/>
      <c r="F498" s="809"/>
      <c r="G498" s="1233"/>
      <c r="H498" s="924" t="s">
        <v>100</v>
      </c>
      <c r="I498" s="1234"/>
      <c r="J498" s="979"/>
      <c r="K498" s="1235"/>
      <c r="L498" s="1233"/>
      <c r="M498" s="1236">
        <v>1</v>
      </c>
      <c r="N498" s="927">
        <f>IF(I498&gt;0,22/28*((I498/1000)^2-(I498/1000-2*J498/1000)^2)*K498/1000,IF(J498&gt;0,J498/1000*K498/1000*L498/1000, IF(K498&gt;0,K498/1000*L498/1000, IF(L498=0,1,L498/1000))))</f>
        <v>1</v>
      </c>
      <c r="O498" s="814">
        <v>1</v>
      </c>
      <c r="P498" s="811">
        <f>M498*N498*O498</f>
        <v>1</v>
      </c>
      <c r="Q498" s="815">
        <v>1</v>
      </c>
      <c r="R498" s="505">
        <f t="shared" si="505"/>
        <v>1</v>
      </c>
      <c r="S498" s="815">
        <f>P498*AA498*Q498*R498</f>
        <v>0</v>
      </c>
      <c r="T498" s="946" t="s">
        <v>46</v>
      </c>
      <c r="U498" s="1237">
        <v>2.75E-2</v>
      </c>
      <c r="V498" s="927">
        <f>1/VLOOKUP(T498,Y$12:Z$18,2,FALSE)</f>
        <v>1</v>
      </c>
      <c r="W498" s="935">
        <v>1</v>
      </c>
      <c r="X498" s="820">
        <v>4.0000000000000001E-3</v>
      </c>
      <c r="Y498" s="1238">
        <f>+P498*R498*AA498*X498</f>
        <v>0</v>
      </c>
      <c r="Z498" s="929">
        <f>S498*U498*V498*W498</f>
        <v>0</v>
      </c>
      <c r="AA498" s="823"/>
      <c r="AC498" s="1103"/>
      <c r="AD498" s="1103"/>
      <c r="AE498" s="1103"/>
      <c r="AF498" s="825"/>
      <c r="AH498" s="827"/>
      <c r="AJ498" s="828">
        <f t="shared" si="496"/>
        <v>0</v>
      </c>
      <c r="AK498" s="862"/>
      <c r="AL498" s="828">
        <f t="shared" si="497"/>
        <v>0</v>
      </c>
      <c r="AM498" s="862"/>
      <c r="AO498" s="827"/>
      <c r="AQ498" s="1248"/>
      <c r="AR498" s="1248"/>
      <c r="AS498" s="1248"/>
      <c r="AT498" s="1248"/>
      <c r="AV498" s="827"/>
      <c r="AX498" s="1248"/>
      <c r="AY498" s="1248"/>
      <c r="AZ498" s="1248"/>
      <c r="BA498" s="1248"/>
      <c r="BB498" s="1248"/>
      <c r="BC498" s="1248"/>
      <c r="BF498" s="830"/>
      <c r="CI498" s="827"/>
    </row>
    <row r="499" spans="1:93" s="370" customFormat="1" ht="15" collapsed="1">
      <c r="B499" s="873" t="s">
        <v>1738</v>
      </c>
      <c r="C499" s="874"/>
      <c r="D499" s="875"/>
      <c r="E499" s="876"/>
      <c r="F499" s="877"/>
      <c r="G499" s="877"/>
      <c r="H499" s="878"/>
      <c r="I499" s="879"/>
      <c r="J499" s="880"/>
      <c r="K499" s="876"/>
      <c r="L499" s="877"/>
      <c r="M499" s="881"/>
      <c r="N499" s="882"/>
      <c r="O499" s="876"/>
      <c r="P499" s="880"/>
      <c r="Q499" s="883"/>
      <c r="R499" s="881"/>
      <c r="S499" s="883"/>
      <c r="T499" s="884"/>
      <c r="U499" s="884"/>
      <c r="V499" s="885"/>
      <c r="W499" s="886"/>
      <c r="X499" s="887"/>
      <c r="Y499" s="888"/>
      <c r="Z499" s="889"/>
      <c r="AA499" s="890"/>
      <c r="AB499" s="747"/>
      <c r="AC499" s="891"/>
      <c r="AD499" s="891"/>
      <c r="AE499" s="891"/>
      <c r="AF499" s="892"/>
      <c r="AH499" s="521"/>
      <c r="AJ499" s="483"/>
      <c r="AK499" s="522"/>
      <c r="AL499" s="401"/>
      <c r="AM499" s="523"/>
      <c r="AO499" s="521"/>
      <c r="AQ499" s="369"/>
      <c r="AR499" s="418"/>
      <c r="AS499" s="483"/>
      <c r="AT499" s="418"/>
      <c r="AV499" s="521"/>
      <c r="AX499" s="395"/>
      <c r="AY499" s="395"/>
      <c r="AZ499" s="395"/>
      <c r="BA499" s="395"/>
      <c r="BB499" s="395"/>
      <c r="BC499" s="369"/>
      <c r="BD499" s="395"/>
      <c r="BE499" s="395"/>
      <c r="BF499" s="524"/>
      <c r="BG499" s="395"/>
      <c r="BH499" s="395"/>
      <c r="BI499" s="369"/>
      <c r="BJ499" s="395"/>
      <c r="BK499" s="395"/>
      <c r="BL499" s="395"/>
      <c r="BM499" s="395"/>
      <c r="BN499" s="395"/>
      <c r="BO499" s="395"/>
      <c r="BP499" s="395"/>
      <c r="BQ499" s="369"/>
      <c r="BR499" s="369"/>
      <c r="BS499" s="395"/>
      <c r="BT499" s="369"/>
      <c r="BU499" s="369"/>
      <c r="BV499" s="369"/>
      <c r="BW499" s="369"/>
      <c r="BX499" s="369"/>
      <c r="BY499" s="369"/>
      <c r="CH499" s="395"/>
      <c r="CI499" s="511"/>
    </row>
    <row r="500" spans="1:93" s="479" customFormat="1" ht="15">
      <c r="A500" s="370"/>
      <c r="B500" s="783" t="s">
        <v>1739</v>
      </c>
      <c r="C500" s="784" t="s">
        <v>1309</v>
      </c>
      <c r="D500" s="785">
        <f>+I$73</f>
        <v>950</v>
      </c>
      <c r="E500" s="786">
        <f>+J$73</f>
        <v>875</v>
      </c>
      <c r="F500" s="787">
        <f>+K$73</f>
        <v>1188</v>
      </c>
      <c r="G500" s="787"/>
      <c r="H500" s="788" t="s">
        <v>30</v>
      </c>
      <c r="I500" s="789" t="s">
        <v>1162</v>
      </c>
      <c r="J500" s="790" t="s">
        <v>1071</v>
      </c>
      <c r="K500" s="786" t="s">
        <v>1072</v>
      </c>
      <c r="L500" s="787" t="s">
        <v>21</v>
      </c>
      <c r="M500" s="791" t="s">
        <v>82</v>
      </c>
      <c r="N500" s="839" t="s">
        <v>1163</v>
      </c>
      <c r="O500" s="786" t="s">
        <v>1154</v>
      </c>
      <c r="P500" s="790" t="s">
        <v>1164</v>
      </c>
      <c r="Q500" s="793" t="s">
        <v>34</v>
      </c>
      <c r="R500" s="791">
        <f>IF(O$8="1 Core",1,0)</f>
        <v>1</v>
      </c>
      <c r="S500" s="793" t="s">
        <v>13</v>
      </c>
      <c r="T500" s="794" t="s">
        <v>128</v>
      </c>
      <c r="U500" s="794" t="s">
        <v>111</v>
      </c>
      <c r="V500" s="795" t="s">
        <v>32</v>
      </c>
      <c r="W500" s="796" t="s">
        <v>33</v>
      </c>
      <c r="X500" s="797"/>
      <c r="Y500" s="798">
        <f>SUM(Y501:Y531)</f>
        <v>0.58558100000000002</v>
      </c>
      <c r="Z500" s="799">
        <f>SUM(Z501:Z531)</f>
        <v>16.35341026548673</v>
      </c>
      <c r="AA500" s="800" t="str">
        <f>+AA$2</f>
        <v>SCU75M1</v>
      </c>
      <c r="AB500" s="747"/>
      <c r="AC500" s="801" t="str">
        <f>+AC$2</f>
        <v>SCU75M1</v>
      </c>
      <c r="AD500" s="801" t="str">
        <f>+AD$2</f>
        <v>SCU100M1</v>
      </c>
      <c r="AE500" s="801" t="str">
        <f>+AE$2</f>
        <v>SCU125M1</v>
      </c>
      <c r="AF500" s="802" t="str">
        <f>+AF$2</f>
        <v>SCU150M1</v>
      </c>
      <c r="AG500" s="370"/>
      <c r="AH500" s="521"/>
      <c r="AI500" s="370"/>
      <c r="AJ500" s="483"/>
      <c r="AK500" s="522">
        <f>SUM(AJ501:AJ531)</f>
        <v>0.58558100000000002</v>
      </c>
      <c r="AL500" s="401"/>
      <c r="AM500" s="523">
        <f>SUM(AL501:AL531)</f>
        <v>16.35341026548673</v>
      </c>
      <c r="AN500" s="370"/>
      <c r="AO500" s="721"/>
      <c r="AP500" s="370"/>
      <c r="AQ500" s="370"/>
      <c r="AS500" s="522"/>
      <c r="AU500" s="370"/>
      <c r="AV500" s="721"/>
      <c r="AW500" s="370"/>
      <c r="AX500" s="370"/>
      <c r="AY500" s="370"/>
      <c r="AZ500" s="370"/>
      <c r="BA500" s="370"/>
      <c r="BB500" s="370"/>
      <c r="BC500" s="370"/>
      <c r="BD500" s="370"/>
      <c r="BE500" s="370"/>
      <c r="BF500" s="524"/>
      <c r="BG500" s="370"/>
      <c r="BH500" s="370"/>
      <c r="BI500" s="370"/>
      <c r="BJ500" s="370"/>
      <c r="BK500" s="370"/>
      <c r="BL500" s="370"/>
      <c r="BM500" s="370"/>
      <c r="BN500" s="370"/>
      <c r="BO500" s="370"/>
      <c r="BP500" s="370"/>
      <c r="BQ500" s="395"/>
      <c r="BR500" s="395"/>
      <c r="BS500" s="395"/>
      <c r="BT500" s="395"/>
      <c r="BU500" s="395"/>
      <c r="BV500" s="395"/>
      <c r="BW500" s="395"/>
      <c r="BX500" s="395"/>
      <c r="BY500" s="395"/>
      <c r="BZ500" s="395"/>
      <c r="CA500" s="936"/>
      <c r="CB500" s="936"/>
      <c r="CC500" s="936"/>
      <c r="CD500" s="936"/>
      <c r="CE500" s="936"/>
      <c r="CF500" s="936"/>
      <c r="CG500" s="936"/>
      <c r="CH500" s="370"/>
      <c r="CI500" s="511"/>
      <c r="CJ500" s="936"/>
      <c r="CK500" s="936"/>
      <c r="CL500" s="936"/>
      <c r="CM500" s="936"/>
      <c r="CN500" s="936"/>
      <c r="CO500" s="936"/>
    </row>
    <row r="501" spans="1:93" s="479" customFormat="1" ht="15">
      <c r="A501" s="370"/>
      <c r="B501" s="1249" t="s">
        <v>1740</v>
      </c>
      <c r="C501" s="896"/>
      <c r="D501" s="897"/>
      <c r="E501" s="898"/>
      <c r="F501" s="899"/>
      <c r="G501" s="899"/>
      <c r="H501" s="900"/>
      <c r="I501" s="901"/>
      <c r="J501" s="902"/>
      <c r="K501" s="898"/>
      <c r="L501" s="899"/>
      <c r="M501" s="903"/>
      <c r="N501" s="907"/>
      <c r="O501" s="898"/>
      <c r="P501" s="902"/>
      <c r="Q501" s="905"/>
      <c r="R501" s="1250"/>
      <c r="S501" s="905"/>
      <c r="T501" s="906"/>
      <c r="U501" s="906"/>
      <c r="V501" s="907"/>
      <c r="W501" s="908"/>
      <c r="X501" s="909"/>
      <c r="Y501" s="910"/>
      <c r="Z501" s="1069"/>
      <c r="AA501" s="911"/>
      <c r="AB501" s="370"/>
      <c r="AC501" s="912"/>
      <c r="AD501" s="912"/>
      <c r="AE501" s="912"/>
      <c r="AF501" s="913"/>
      <c r="AG501" s="370"/>
      <c r="AH501" s="521"/>
      <c r="AI501" s="370"/>
      <c r="AJ501" s="483">
        <f t="shared" ref="AJ501:AJ531" si="524">+Y501</f>
        <v>0</v>
      </c>
      <c r="AK501" s="522"/>
      <c r="AL501" s="401">
        <f t="shared" ref="AL501:AL531" si="525">+Z501</f>
        <v>0</v>
      </c>
      <c r="AM501" s="523"/>
      <c r="AN501" s="370"/>
      <c r="AO501" s="521"/>
      <c r="AP501" s="936"/>
      <c r="AQ501" s="2143" t="str">
        <f>+B501</f>
        <v>Wiring: Cable 1 Core</v>
      </c>
      <c r="AR501" s="2144"/>
      <c r="AS501" s="2144"/>
      <c r="AT501" s="2145"/>
      <c r="AU501" s="936"/>
      <c r="AV501" s="521"/>
      <c r="AW501" s="936"/>
      <c r="AX501" s="2143" t="str">
        <f>+AQ501</f>
        <v>Wiring: Cable 1 Core</v>
      </c>
      <c r="AY501" s="2144"/>
      <c r="AZ501" s="2144"/>
      <c r="BA501" s="2144"/>
      <c r="BB501" s="2144"/>
      <c r="BC501" s="2144"/>
      <c r="BD501" s="2145"/>
      <c r="BE501" s="370"/>
      <c r="BF501" s="524"/>
      <c r="BG501" s="370"/>
      <c r="BH501" s="2143" t="str">
        <f>+AX501</f>
        <v>Wiring: Cable 1 Core</v>
      </c>
      <c r="BI501" s="2144"/>
      <c r="BJ501" s="2144"/>
      <c r="BK501" s="2144"/>
      <c r="BL501" s="2144"/>
      <c r="BM501" s="2144"/>
      <c r="BN501" s="2144"/>
      <c r="BO501" s="2145"/>
      <c r="BP501" s="370"/>
      <c r="BQ501" s="1251"/>
      <c r="BR501" s="1252"/>
      <c r="BS501" s="1252"/>
      <c r="BT501" s="1252"/>
      <c r="BU501" s="1252"/>
      <c r="BV501" s="1252"/>
      <c r="BW501" s="1252"/>
      <c r="BX501" s="1253"/>
      <c r="BY501" s="370"/>
      <c r="BZ501" s="1251"/>
      <c r="CA501" s="1252"/>
      <c r="CB501" s="1252"/>
      <c r="CC501" s="1252"/>
      <c r="CD501" s="1252"/>
      <c r="CE501" s="1252"/>
      <c r="CF501" s="1252"/>
      <c r="CG501" s="1253"/>
      <c r="CH501" s="370"/>
      <c r="CI501" s="521"/>
    </row>
    <row r="502" spans="1:93" s="479" customFormat="1" ht="15">
      <c r="A502" s="370"/>
      <c r="B502" s="895" t="s">
        <v>1741</v>
      </c>
      <c r="C502" s="896" t="s">
        <v>1742</v>
      </c>
      <c r="D502" s="897"/>
      <c r="E502" s="898"/>
      <c r="F502" s="899"/>
      <c r="G502" s="899"/>
      <c r="H502" s="900"/>
      <c r="I502" s="901"/>
      <c r="J502" s="902"/>
      <c r="K502" s="898"/>
      <c r="L502" s="899"/>
      <c r="M502" s="903"/>
      <c r="N502" s="907"/>
      <c r="O502" s="898"/>
      <c r="P502" s="902"/>
      <c r="Q502" s="905"/>
      <c r="R502" s="903"/>
      <c r="S502" s="905"/>
      <c r="T502" s="906"/>
      <c r="U502" s="906"/>
      <c r="V502" s="907"/>
      <c r="W502" s="908"/>
      <c r="X502" s="909"/>
      <c r="Y502" s="1232"/>
      <c r="Z502" s="1069"/>
      <c r="AA502" s="911"/>
      <c r="AB502" s="370"/>
      <c r="AC502" s="912"/>
      <c r="AD502" s="912"/>
      <c r="AE502" s="912"/>
      <c r="AF502" s="913"/>
      <c r="AG502" s="370"/>
      <c r="AH502" s="521"/>
      <c r="AI502" s="370"/>
      <c r="AJ502" s="483">
        <f t="shared" si="524"/>
        <v>0</v>
      </c>
      <c r="AK502" s="522"/>
      <c r="AL502" s="401">
        <f t="shared" si="525"/>
        <v>0</v>
      </c>
      <c r="AM502" s="523"/>
      <c r="AN502" s="370"/>
      <c r="AO502" s="521"/>
      <c r="AP502" s="936"/>
      <c r="AQ502" s="1155" t="str">
        <f>+B502</f>
        <v>- Cable, Compressor: NYA 1C</v>
      </c>
      <c r="AR502" s="1070" t="s">
        <v>1743</v>
      </c>
      <c r="AS502" s="916" t="s">
        <v>97</v>
      </c>
      <c r="AT502" s="917" t="s">
        <v>1345</v>
      </c>
      <c r="AU502" s="370"/>
      <c r="AV502" s="830"/>
      <c r="AW502" s="370"/>
      <c r="AX502" s="918" t="s">
        <v>1494</v>
      </c>
      <c r="AY502" s="919" t="s">
        <v>1128</v>
      </c>
      <c r="AZ502" s="919" t="s">
        <v>1744</v>
      </c>
      <c r="BA502" s="919" t="s">
        <v>1434</v>
      </c>
      <c r="BB502" s="919" t="s">
        <v>1347</v>
      </c>
      <c r="BC502" s="919" t="s">
        <v>1643</v>
      </c>
      <c r="BD502" s="1193"/>
      <c r="BE502" s="370"/>
      <c r="BF502" s="524"/>
      <c r="BG502" s="370"/>
      <c r="BH502" s="918" t="s">
        <v>1745</v>
      </c>
      <c r="BI502" s="919" t="s">
        <v>1128</v>
      </c>
      <c r="BJ502" s="919" t="s">
        <v>164</v>
      </c>
      <c r="BK502" s="919" t="s">
        <v>1129</v>
      </c>
      <c r="BL502" s="919" t="s">
        <v>732</v>
      </c>
      <c r="BM502" s="1254">
        <v>14464</v>
      </c>
      <c r="BN502" s="1255" t="s">
        <v>733</v>
      </c>
      <c r="BO502" s="940"/>
      <c r="BP502" s="370"/>
      <c r="BQ502" s="918" t="s">
        <v>1746</v>
      </c>
      <c r="BR502" s="919" t="s">
        <v>1128</v>
      </c>
      <c r="BS502" s="919" t="s">
        <v>164</v>
      </c>
      <c r="BT502" s="919" t="s">
        <v>1129</v>
      </c>
      <c r="BU502" s="1256" t="s">
        <v>732</v>
      </c>
      <c r="BV502" s="1257">
        <v>14464</v>
      </c>
      <c r="BW502" s="1255" t="s">
        <v>733</v>
      </c>
      <c r="BX502" s="940"/>
      <c r="BY502" s="370"/>
      <c r="BZ502" s="918" t="s">
        <v>1747</v>
      </c>
      <c r="CA502" s="919" t="s">
        <v>1128</v>
      </c>
      <c r="CB502" s="919" t="s">
        <v>164</v>
      </c>
      <c r="CC502" s="919" t="s">
        <v>1129</v>
      </c>
      <c r="CD502" s="1256" t="s">
        <v>732</v>
      </c>
      <c r="CE502" s="1257">
        <v>14464</v>
      </c>
      <c r="CF502" s="1255" t="s">
        <v>733</v>
      </c>
      <c r="CG502" s="940"/>
      <c r="CH502" s="370"/>
      <c r="CI502" s="521"/>
    </row>
    <row r="503" spans="1:93" s="824" customFormat="1" ht="13.9" hidden="1" customHeight="1" outlineLevel="1">
      <c r="B503" s="921" t="str">
        <f t="shared" ref="B503:B506" si="526">"Cable, Compressor "&amp;AQ503&amp;": "&amp;AR503</f>
        <v>Cable, Compressor 7.5hp ZR94/H705: NYA 1C/1.50 x 4</v>
      </c>
      <c r="C503" s="817"/>
      <c r="D503" s="923"/>
      <c r="E503" s="841"/>
      <c r="F503" s="809">
        <f t="shared" ref="F503:F506" si="527">+D$500+E$500/2+F$500/2</f>
        <v>1981.5</v>
      </c>
      <c r="G503" s="1233"/>
      <c r="H503" s="924" t="s">
        <v>1080</v>
      </c>
      <c r="I503" s="1234"/>
      <c r="J503" s="979"/>
      <c r="K503" s="1235"/>
      <c r="L503" s="809">
        <f t="shared" ref="L503:L506" si="528">+F503</f>
        <v>1981.5</v>
      </c>
      <c r="M503" s="1236">
        <v>1</v>
      </c>
      <c r="N503" s="927">
        <f t="shared" ref="N503:N506" si="529">IF(I503&gt;0,22/28*((I503/1000)^2-(I503/1000-2*J503/1000)^2)*K503/1000,IF(J503&gt;0,J503/1000*K503/1000*L503/1000, IF(K503&gt;0,K503/1000*L503/1000, IF(L503=0,1,L503/1000))))</f>
        <v>1.9815</v>
      </c>
      <c r="O503" s="814">
        <v>4</v>
      </c>
      <c r="P503" s="811">
        <f t="shared" ref="P503:P506" si="530">M503*N503*O503</f>
        <v>7.9260000000000002</v>
      </c>
      <c r="Q503" s="815">
        <v>1</v>
      </c>
      <c r="R503" s="505">
        <f t="shared" ref="R503:R506" si="531">+R$500</f>
        <v>1</v>
      </c>
      <c r="S503" s="815">
        <f t="shared" ref="S503:S506" si="532">P503*AA503*Q503*R503</f>
        <v>7.9260000000000002</v>
      </c>
      <c r="T503" s="946" t="s">
        <v>46</v>
      </c>
      <c r="U503" s="926">
        <v>0.26963495575221241</v>
      </c>
      <c r="V503" s="927">
        <f t="shared" ref="V503:V506" si="533">1/VLOOKUP(T503,Y$12:Z$18,2,FALSE)</f>
        <v>1</v>
      </c>
      <c r="W503" s="935">
        <v>1</v>
      </c>
      <c r="X503" s="820">
        <v>2.1000000000000001E-2</v>
      </c>
      <c r="Y503" s="1238">
        <f t="shared" ref="Y503:Y506" si="534">+P503*R503*AA503*X503</f>
        <v>0.16644600000000001</v>
      </c>
      <c r="Z503" s="929">
        <f t="shared" ref="Z503:Z506" si="535">S503*U503*V503*W503</f>
        <v>2.1371266592920355</v>
      </c>
      <c r="AA503" s="1258">
        <v>1</v>
      </c>
      <c r="AC503" s="1103">
        <v>1</v>
      </c>
      <c r="AD503" s="1103"/>
      <c r="AE503" s="1103"/>
      <c r="AF503" s="825"/>
      <c r="AH503" s="827"/>
      <c r="AJ503" s="828">
        <f t="shared" si="524"/>
        <v>0.16644600000000001</v>
      </c>
      <c r="AK503" s="862"/>
      <c r="AL503" s="828">
        <f t="shared" si="525"/>
        <v>2.1371266592920355</v>
      </c>
      <c r="AM503" s="862"/>
      <c r="AO503" s="827"/>
      <c r="AQ503" s="930" t="s">
        <v>1748</v>
      </c>
      <c r="AR503" s="923" t="s">
        <v>1749</v>
      </c>
      <c r="AS503" s="1259">
        <v>2.1000000000000001E-2</v>
      </c>
      <c r="AT503" s="1194">
        <v>0.26963495575221241</v>
      </c>
      <c r="AU503" s="747"/>
      <c r="AV503" s="830"/>
      <c r="AW503" s="747"/>
      <c r="AX503" s="1195" t="s">
        <v>1750</v>
      </c>
      <c r="AY503" s="841">
        <v>3</v>
      </c>
      <c r="AZ503" s="841">
        <f t="shared" ref="AZ503:AZ506" si="536">+AY503*4</f>
        <v>12</v>
      </c>
      <c r="BA503" s="841">
        <v>7.57</v>
      </c>
      <c r="BB503" s="841">
        <v>13.5</v>
      </c>
      <c r="BC503" s="1196">
        <v>10.9</v>
      </c>
      <c r="BD503" s="964"/>
      <c r="BF503" s="830"/>
      <c r="BH503" s="1260" t="s">
        <v>1751</v>
      </c>
      <c r="BI503" s="1090">
        <v>10.199999999999999</v>
      </c>
      <c r="BJ503" s="1261">
        <v>159</v>
      </c>
      <c r="BK503" s="1125">
        <v>360</v>
      </c>
      <c r="BL503" s="1091">
        <v>0.379</v>
      </c>
      <c r="BM503" s="1262">
        <f t="shared" ref="BM503" si="537">+BN503/BM$502</f>
        <v>0</v>
      </c>
      <c r="BN503" s="1263"/>
      <c r="BO503" s="1126"/>
      <c r="BQ503" s="1260" t="s">
        <v>1751</v>
      </c>
      <c r="BR503" s="1090">
        <v>13</v>
      </c>
      <c r="BS503" s="1261">
        <v>170</v>
      </c>
      <c r="BT503" s="1125">
        <v>160</v>
      </c>
      <c r="BU503" s="1091">
        <v>0.44500000000000001</v>
      </c>
      <c r="BV503" s="1262">
        <f t="shared" ref="BV503:BV506" si="538">+BW503/BV$502</f>
        <v>0</v>
      </c>
      <c r="BW503" s="1125"/>
      <c r="BX503" s="1126"/>
      <c r="BZ503" s="1260" t="s">
        <v>1751</v>
      </c>
      <c r="CA503" s="1090">
        <v>28</v>
      </c>
      <c r="CB503" s="1261">
        <v>130</v>
      </c>
      <c r="CC503" s="1125">
        <v>340</v>
      </c>
      <c r="CD503" s="1091">
        <v>1.6879999999999999</v>
      </c>
      <c r="CE503" s="1262">
        <f t="shared" ref="CE503:CE506" si="539">+CF503/CE$502</f>
        <v>0</v>
      </c>
      <c r="CF503" s="1263"/>
      <c r="CG503" s="1126"/>
      <c r="CI503" s="827"/>
    </row>
    <row r="504" spans="1:93" s="824" customFormat="1" ht="13.9" hidden="1" customHeight="1" outlineLevel="1">
      <c r="B504" s="921" t="str">
        <f t="shared" si="526"/>
        <v>Cable, Compressor 10.0hp ZR125/H1002: NYA 1C/2.50 x 4</v>
      </c>
      <c r="C504" s="817"/>
      <c r="D504" s="923"/>
      <c r="E504" s="841"/>
      <c r="F504" s="809">
        <f t="shared" si="527"/>
        <v>1981.5</v>
      </c>
      <c r="G504" s="1233"/>
      <c r="H504" s="924" t="s">
        <v>1080</v>
      </c>
      <c r="I504" s="1234"/>
      <c r="J504" s="979"/>
      <c r="K504" s="1235"/>
      <c r="L504" s="809">
        <f t="shared" si="528"/>
        <v>1981.5</v>
      </c>
      <c r="M504" s="1236">
        <v>1</v>
      </c>
      <c r="N504" s="927">
        <f t="shared" si="529"/>
        <v>1.9815</v>
      </c>
      <c r="O504" s="814">
        <v>4</v>
      </c>
      <c r="P504" s="811">
        <f t="shared" si="530"/>
        <v>7.9260000000000002</v>
      </c>
      <c r="Q504" s="815">
        <v>1</v>
      </c>
      <c r="R504" s="505">
        <f t="shared" si="531"/>
        <v>1</v>
      </c>
      <c r="S504" s="815">
        <f t="shared" si="532"/>
        <v>0</v>
      </c>
      <c r="T504" s="946" t="s">
        <v>46</v>
      </c>
      <c r="U504" s="926">
        <v>0.46321902654867259</v>
      </c>
      <c r="V504" s="927">
        <f t="shared" si="533"/>
        <v>1</v>
      </c>
      <c r="W504" s="935">
        <v>1</v>
      </c>
      <c r="X504" s="820">
        <v>3.4000000000000002E-2</v>
      </c>
      <c r="Y504" s="1238">
        <f t="shared" si="534"/>
        <v>0</v>
      </c>
      <c r="Z504" s="929">
        <f t="shared" si="535"/>
        <v>0</v>
      </c>
      <c r="AA504" s="1258"/>
      <c r="AC504" s="1103"/>
      <c r="AD504" s="1103">
        <v>1</v>
      </c>
      <c r="AE504" s="1103"/>
      <c r="AF504" s="825"/>
      <c r="AH504" s="827"/>
      <c r="AJ504" s="828">
        <f t="shared" si="524"/>
        <v>0</v>
      </c>
      <c r="AK504" s="862"/>
      <c r="AL504" s="828">
        <f t="shared" si="525"/>
        <v>0</v>
      </c>
      <c r="AM504" s="862"/>
      <c r="AO504" s="827"/>
      <c r="AQ504" s="930" t="s">
        <v>1752</v>
      </c>
      <c r="AR504" s="923" t="s">
        <v>1753</v>
      </c>
      <c r="AS504" s="1259">
        <v>3.4000000000000002E-2</v>
      </c>
      <c r="AT504" s="1194">
        <v>0.46321902654867259</v>
      </c>
      <c r="AU504" s="747"/>
      <c r="AV504" s="830"/>
      <c r="AW504" s="747"/>
      <c r="AX504" s="1195" t="s">
        <v>1754</v>
      </c>
      <c r="AY504" s="841">
        <v>3.7</v>
      </c>
      <c r="AZ504" s="841">
        <f t="shared" si="536"/>
        <v>14.8</v>
      </c>
      <c r="BA504" s="841">
        <v>11.31</v>
      </c>
      <c r="BB504" s="841">
        <v>19</v>
      </c>
      <c r="BC504" s="1196">
        <v>16.3</v>
      </c>
      <c r="BD504" s="964"/>
      <c r="BF504" s="830"/>
      <c r="BH504" s="1264"/>
      <c r="BI504" s="1265"/>
      <c r="BJ504" s="1266"/>
      <c r="BK504" s="1166"/>
      <c r="BL504" s="1163"/>
      <c r="BM504" s="1267"/>
      <c r="BN504" s="1268"/>
      <c r="BO504" s="1269"/>
      <c r="BQ504" s="1264" t="s">
        <v>1755</v>
      </c>
      <c r="BR504" s="1265"/>
      <c r="BS504" s="1265"/>
      <c r="BT504" s="1166"/>
      <c r="BU504" s="1163"/>
      <c r="BV504" s="1268">
        <f t="shared" si="538"/>
        <v>0</v>
      </c>
      <c r="BW504" s="1270"/>
      <c r="BX504" s="1269"/>
      <c r="BZ504" s="1264" t="s">
        <v>1755</v>
      </c>
      <c r="CA504" s="1265"/>
      <c r="CB504" s="1266"/>
      <c r="CC504" s="1166"/>
      <c r="CD504" s="1163"/>
      <c r="CE504" s="1268">
        <f t="shared" si="539"/>
        <v>0</v>
      </c>
      <c r="CF504" s="1270"/>
      <c r="CG504" s="1269"/>
      <c r="CI504" s="827"/>
    </row>
    <row r="505" spans="1:93" s="824" customFormat="1" ht="13.9" hidden="1" customHeight="1" outlineLevel="1">
      <c r="B505" s="921" t="str">
        <f t="shared" si="526"/>
        <v>Cable, Compressor 12.5hp ZR144H1201: NYA 1C/2.50 x 4</v>
      </c>
      <c r="C505" s="817"/>
      <c r="D505" s="923"/>
      <c r="E505" s="841"/>
      <c r="F505" s="809">
        <f t="shared" si="527"/>
        <v>1981.5</v>
      </c>
      <c r="G505" s="1233"/>
      <c r="H505" s="924" t="s">
        <v>1080</v>
      </c>
      <c r="I505" s="1234"/>
      <c r="J505" s="979"/>
      <c r="K505" s="1235"/>
      <c r="L505" s="809">
        <f t="shared" si="528"/>
        <v>1981.5</v>
      </c>
      <c r="M505" s="1236">
        <v>1</v>
      </c>
      <c r="N505" s="927">
        <f t="shared" si="529"/>
        <v>1.9815</v>
      </c>
      <c r="O505" s="814">
        <v>4</v>
      </c>
      <c r="P505" s="811">
        <f t="shared" si="530"/>
        <v>7.9260000000000002</v>
      </c>
      <c r="Q505" s="815">
        <v>1</v>
      </c>
      <c r="R505" s="505">
        <f t="shared" si="531"/>
        <v>1</v>
      </c>
      <c r="S505" s="815">
        <f t="shared" si="532"/>
        <v>0</v>
      </c>
      <c r="T505" s="946" t="s">
        <v>46</v>
      </c>
      <c r="U505" s="926">
        <v>0.46321902654867259</v>
      </c>
      <c r="V505" s="927">
        <f t="shared" si="533"/>
        <v>1</v>
      </c>
      <c r="W505" s="935">
        <v>1</v>
      </c>
      <c r="X505" s="820">
        <v>3.4000000000000002E-2</v>
      </c>
      <c r="Y505" s="1238">
        <f t="shared" si="534"/>
        <v>0</v>
      </c>
      <c r="Z505" s="929">
        <f t="shared" si="535"/>
        <v>0</v>
      </c>
      <c r="AA505" s="1258"/>
      <c r="AC505" s="1103"/>
      <c r="AD505" s="1103"/>
      <c r="AE505" s="1103">
        <v>1</v>
      </c>
      <c r="AF505" s="825"/>
      <c r="AH505" s="827"/>
      <c r="AJ505" s="828">
        <f t="shared" si="524"/>
        <v>0</v>
      </c>
      <c r="AK505" s="862"/>
      <c r="AL505" s="828">
        <f t="shared" si="525"/>
        <v>0</v>
      </c>
      <c r="AM505" s="862"/>
      <c r="AO505" s="827"/>
      <c r="AQ505" s="930" t="s">
        <v>1756</v>
      </c>
      <c r="AR505" s="923" t="s">
        <v>1753</v>
      </c>
      <c r="AS505" s="1259">
        <v>3.4000000000000002E-2</v>
      </c>
      <c r="AT505" s="1194">
        <v>0.46321902654867259</v>
      </c>
      <c r="AU505" s="747"/>
      <c r="AV505" s="830"/>
      <c r="AW505" s="747"/>
      <c r="AX505" s="1195" t="s">
        <v>1754</v>
      </c>
      <c r="AY505" s="841">
        <v>3.7</v>
      </c>
      <c r="AZ505" s="841">
        <f t="shared" si="536"/>
        <v>14.8</v>
      </c>
      <c r="BA505" s="841">
        <v>11.86</v>
      </c>
      <c r="BB505" s="841">
        <v>20.399999999999999</v>
      </c>
      <c r="BC505" s="1196">
        <v>17.100000000000001</v>
      </c>
      <c r="BD505" s="964"/>
      <c r="BF505" s="830"/>
      <c r="BH505" s="1129"/>
      <c r="BI505" s="1095"/>
      <c r="BJ505" s="1271"/>
      <c r="BK505" s="1109"/>
      <c r="BL505" s="1096"/>
      <c r="BM505" s="1197"/>
      <c r="BN505" s="1272"/>
      <c r="BO505" s="1152"/>
      <c r="BQ505" s="1129" t="s">
        <v>1757</v>
      </c>
      <c r="BR505" s="1095"/>
      <c r="BS505" s="1095"/>
      <c r="BT505" s="1109"/>
      <c r="BU505" s="1096"/>
      <c r="BV505" s="1272">
        <f t="shared" si="538"/>
        <v>0</v>
      </c>
      <c r="BW505" s="1273"/>
      <c r="BX505" s="1152"/>
      <c r="BZ505" s="1129" t="s">
        <v>1757</v>
      </c>
      <c r="CA505" s="1095"/>
      <c r="CB505" s="1271"/>
      <c r="CC505" s="1109"/>
      <c r="CD505" s="1096"/>
      <c r="CE505" s="1272">
        <f t="shared" si="539"/>
        <v>0</v>
      </c>
      <c r="CF505" s="1273"/>
      <c r="CG505" s="1152"/>
      <c r="CI505" s="827"/>
    </row>
    <row r="506" spans="1:93" s="824" customFormat="1" ht="13.9" hidden="1" customHeight="1" outlineLevel="1">
      <c r="B506" s="921" t="str">
        <f t="shared" si="526"/>
        <v>Cable, Compressor 15.0hp ZR190/H2001: NYA 1C/4.00 x 4</v>
      </c>
      <c r="C506" s="817"/>
      <c r="D506" s="923"/>
      <c r="E506" s="841"/>
      <c r="F506" s="809">
        <f t="shared" si="527"/>
        <v>1981.5</v>
      </c>
      <c r="G506" s="1233"/>
      <c r="H506" s="924" t="s">
        <v>1080</v>
      </c>
      <c r="I506" s="1234"/>
      <c r="J506" s="979"/>
      <c r="K506" s="1235"/>
      <c r="L506" s="809">
        <f t="shared" si="528"/>
        <v>1981.5</v>
      </c>
      <c r="M506" s="1236">
        <v>1</v>
      </c>
      <c r="N506" s="927">
        <f t="shared" si="529"/>
        <v>1.9815</v>
      </c>
      <c r="O506" s="814">
        <v>4</v>
      </c>
      <c r="P506" s="811">
        <f t="shared" si="530"/>
        <v>7.9260000000000002</v>
      </c>
      <c r="Q506" s="815">
        <v>1</v>
      </c>
      <c r="R506" s="505">
        <f t="shared" si="531"/>
        <v>1</v>
      </c>
      <c r="S506" s="815">
        <f t="shared" si="532"/>
        <v>0</v>
      </c>
      <c r="T506" s="946" t="s">
        <v>46</v>
      </c>
      <c r="U506" s="926">
        <v>0.72594026548672563</v>
      </c>
      <c r="V506" s="927">
        <f t="shared" si="533"/>
        <v>1</v>
      </c>
      <c r="W506" s="935">
        <v>1</v>
      </c>
      <c r="X506" s="820">
        <v>5.0999999999999997E-2</v>
      </c>
      <c r="Y506" s="1238">
        <f t="shared" si="534"/>
        <v>0</v>
      </c>
      <c r="Z506" s="929">
        <f t="shared" si="535"/>
        <v>0</v>
      </c>
      <c r="AA506" s="1258"/>
      <c r="AC506" s="1103"/>
      <c r="AD506" s="1103"/>
      <c r="AE506" s="1103"/>
      <c r="AF506" s="825">
        <v>1</v>
      </c>
      <c r="AH506" s="827"/>
      <c r="AJ506" s="828">
        <f t="shared" si="524"/>
        <v>0</v>
      </c>
      <c r="AK506" s="862"/>
      <c r="AL506" s="828">
        <f t="shared" si="525"/>
        <v>0</v>
      </c>
      <c r="AM506" s="862"/>
      <c r="AO506" s="827"/>
      <c r="AQ506" s="930" t="s">
        <v>1758</v>
      </c>
      <c r="AR506" s="923" t="s">
        <v>1759</v>
      </c>
      <c r="AS506" s="1259">
        <v>5.0999999999999997E-2</v>
      </c>
      <c r="AT506" s="1194">
        <v>0.72594026548672563</v>
      </c>
      <c r="AU506" s="747"/>
      <c r="AV506" s="830"/>
      <c r="AW506" s="747"/>
      <c r="AX506" s="1195" t="s">
        <v>1760</v>
      </c>
      <c r="AY506" s="841">
        <v>4.3</v>
      </c>
      <c r="AZ506" s="841">
        <f t="shared" si="536"/>
        <v>17.2</v>
      </c>
      <c r="BA506" s="841">
        <v>15.93</v>
      </c>
      <c r="BB506" s="841">
        <v>28.3</v>
      </c>
      <c r="BC506" s="1196">
        <v>23</v>
      </c>
      <c r="BD506" s="964"/>
      <c r="BF506" s="830"/>
      <c r="BH506" s="1129"/>
      <c r="BI506" s="1095"/>
      <c r="BJ506" s="1271"/>
      <c r="BK506" s="1109"/>
      <c r="BL506" s="1096"/>
      <c r="BM506" s="1197"/>
      <c r="BN506" s="1272"/>
      <c r="BO506" s="1112"/>
      <c r="BQ506" s="1129" t="s">
        <v>1761</v>
      </c>
      <c r="BR506" s="1095">
        <v>14</v>
      </c>
      <c r="BS506" s="1271">
        <v>36</v>
      </c>
      <c r="BT506" s="1109">
        <v>170</v>
      </c>
      <c r="BU506" s="1096">
        <v>0.25900000000000001</v>
      </c>
      <c r="BV506" s="1272">
        <f t="shared" si="538"/>
        <v>0</v>
      </c>
      <c r="BW506" s="1273"/>
      <c r="BX506" s="1112"/>
      <c r="BZ506" s="1129" t="s">
        <v>1761</v>
      </c>
      <c r="CA506" s="1095">
        <v>15</v>
      </c>
      <c r="CB506" s="1271">
        <v>25</v>
      </c>
      <c r="CC506" s="1109">
        <v>180</v>
      </c>
      <c r="CD506" s="1096">
        <v>0.34300000000000003</v>
      </c>
      <c r="CE506" s="1272">
        <f t="shared" si="539"/>
        <v>2.0326327433628317</v>
      </c>
      <c r="CF506" s="1273">
        <v>29400</v>
      </c>
      <c r="CG506" s="1112"/>
      <c r="CI506" s="827"/>
    </row>
    <row r="507" spans="1:93" s="479" customFormat="1" ht="15" collapsed="1">
      <c r="A507" s="370"/>
      <c r="B507" s="895" t="s">
        <v>1762</v>
      </c>
      <c r="C507" s="896" t="s">
        <v>1763</v>
      </c>
      <c r="D507" s="897"/>
      <c r="E507" s="898"/>
      <c r="F507" s="899"/>
      <c r="G507" s="899"/>
      <c r="H507" s="900"/>
      <c r="I507" s="901"/>
      <c r="J507" s="902"/>
      <c r="K507" s="898"/>
      <c r="L507" s="899"/>
      <c r="M507" s="903"/>
      <c r="N507" s="907"/>
      <c r="O507" s="898"/>
      <c r="P507" s="902"/>
      <c r="Q507" s="905"/>
      <c r="R507" s="903"/>
      <c r="S507" s="905"/>
      <c r="T507" s="906"/>
      <c r="U507" s="906"/>
      <c r="V507" s="907"/>
      <c r="W507" s="908"/>
      <c r="X507" s="909"/>
      <c r="Y507" s="1232"/>
      <c r="Z507" s="1069"/>
      <c r="AA507" s="911"/>
      <c r="AB507" s="370"/>
      <c r="AC507" s="912"/>
      <c r="AD507" s="912"/>
      <c r="AE507" s="912"/>
      <c r="AF507" s="913"/>
      <c r="AG507" s="370"/>
      <c r="AH507" s="521"/>
      <c r="AI507" s="370"/>
      <c r="AJ507" s="483">
        <f t="shared" si="524"/>
        <v>0</v>
      </c>
      <c r="AK507" s="522"/>
      <c r="AL507" s="401">
        <f t="shared" si="525"/>
        <v>0</v>
      </c>
      <c r="AM507" s="523"/>
      <c r="AN507" s="370"/>
      <c r="AO507" s="521"/>
      <c r="AP507" s="936"/>
      <c r="AQ507" s="1155" t="str">
        <f>+B507</f>
        <v>- Cable, Fan Motor: NYA 1C</v>
      </c>
      <c r="AR507" s="1070" t="s">
        <v>1743</v>
      </c>
      <c r="AS507" s="916" t="s">
        <v>97</v>
      </c>
      <c r="AT507" s="917" t="s">
        <v>1345</v>
      </c>
      <c r="AU507" s="370"/>
      <c r="AV507" s="830"/>
      <c r="AW507" s="370"/>
      <c r="AX507" s="918" t="s">
        <v>1494</v>
      </c>
      <c r="AY507" s="919" t="s">
        <v>1128</v>
      </c>
      <c r="AZ507" s="919" t="s">
        <v>1764</v>
      </c>
      <c r="BA507" s="919" t="s">
        <v>1434</v>
      </c>
      <c r="BB507" s="919" t="s">
        <v>1347</v>
      </c>
      <c r="BC507" s="919" t="s">
        <v>1643</v>
      </c>
      <c r="BD507" s="1193"/>
      <c r="BE507" s="370"/>
      <c r="BF507" s="524"/>
      <c r="BG507" s="370"/>
      <c r="BH507" s="370"/>
      <c r="BI507" s="370"/>
      <c r="BJ507" s="370"/>
      <c r="BK507" s="370"/>
      <c r="BL507" s="370"/>
      <c r="BM507" s="370"/>
      <c r="BN507" s="370"/>
      <c r="BO507" s="370"/>
      <c r="BP507" s="370"/>
      <c r="BQ507" s="370"/>
      <c r="BR507" s="370"/>
      <c r="BS507" s="370"/>
      <c r="BT507" s="370"/>
      <c r="BU507" s="370"/>
      <c r="BV507" s="370"/>
      <c r="BW507" s="370"/>
      <c r="BX507" s="370"/>
      <c r="BY507" s="370"/>
      <c r="BZ507" s="370"/>
      <c r="CA507" s="370"/>
      <c r="CB507" s="370"/>
      <c r="CC507" s="370"/>
      <c r="CD507" s="370"/>
      <c r="CE507" s="370"/>
      <c r="CF507" s="370"/>
      <c r="CG507" s="370"/>
      <c r="CH507" s="370"/>
      <c r="CI507" s="521"/>
    </row>
    <row r="508" spans="1:93" s="824" customFormat="1" ht="13.9" hidden="1" customHeight="1" outlineLevel="1">
      <c r="B508" s="921" t="str">
        <f t="shared" ref="B508:B509" si="540">"Cable, "&amp;AQ508&amp;": "&amp;AR508</f>
        <v>Cable, Axial Fan 630: NYA 1C/0.75 x 3</v>
      </c>
      <c r="C508" s="817"/>
      <c r="D508" s="923"/>
      <c r="E508" s="841"/>
      <c r="F508" s="809">
        <f t="shared" ref="F508:F509" si="541">+D$500/4+E$500/2+F$500/2</f>
        <v>1269</v>
      </c>
      <c r="G508" s="1233"/>
      <c r="H508" s="924" t="s">
        <v>1080</v>
      </c>
      <c r="I508" s="1234"/>
      <c r="J508" s="979"/>
      <c r="K508" s="1235"/>
      <c r="L508" s="809">
        <f t="shared" ref="L508:L509" si="542">+F508</f>
        <v>1269</v>
      </c>
      <c r="M508" s="1236">
        <v>1</v>
      </c>
      <c r="N508" s="927">
        <f t="shared" ref="N508:N509" si="543">IF(I508&gt;0,22/28*((I508/1000)^2-(I508/1000-2*J508/1000)^2)*K508/1000,IF(J508&gt;0,J508/1000*K508/1000*L508/1000, IF(K508&gt;0,K508/1000*L508/1000, IF(L508=0,1,L508/1000))))</f>
        <v>1.2689999999999999</v>
      </c>
      <c r="O508" s="814">
        <v>3</v>
      </c>
      <c r="P508" s="811">
        <f t="shared" ref="P508:P509" si="544">M508*N508*O508</f>
        <v>3.8069999999999995</v>
      </c>
      <c r="Q508" s="815">
        <v>1</v>
      </c>
      <c r="R508" s="505">
        <f t="shared" ref="R508:R515" si="545">+R$500</f>
        <v>1</v>
      </c>
      <c r="S508" s="815">
        <f t="shared" ref="S508:S509" si="546">P508*AA508*Q508*R508</f>
        <v>3.8069999999999995</v>
      </c>
      <c r="T508" s="946" t="s">
        <v>46</v>
      </c>
      <c r="U508" s="926">
        <v>0.26963495575221241</v>
      </c>
      <c r="V508" s="927">
        <f t="shared" ref="V508:V509" si="547">1/VLOOKUP(T508,Y$12:Z$18,2,FALSE)</f>
        <v>1</v>
      </c>
      <c r="W508" s="935">
        <v>1</v>
      </c>
      <c r="X508" s="820">
        <v>2.1000000000000001E-2</v>
      </c>
      <c r="Y508" s="1238">
        <f t="shared" ref="Y508:Y509" si="548">+P508*R508*AA508*X508</f>
        <v>7.994699999999999E-2</v>
      </c>
      <c r="Z508" s="929">
        <f t="shared" ref="Z508:Z509" si="549">S508*U508*V508*W508</f>
        <v>1.0265002765486726</v>
      </c>
      <c r="AA508" s="1258">
        <v>1</v>
      </c>
      <c r="AC508" s="1103">
        <v>1</v>
      </c>
      <c r="AD508" s="1103">
        <v>1</v>
      </c>
      <c r="AE508" s="1103"/>
      <c r="AF508" s="825"/>
      <c r="AH508" s="827"/>
      <c r="AJ508" s="828">
        <f t="shared" si="524"/>
        <v>7.994699999999999E-2</v>
      </c>
      <c r="AK508" s="862"/>
      <c r="AL508" s="828">
        <f t="shared" si="525"/>
        <v>1.0265002765486726</v>
      </c>
      <c r="AM508" s="862"/>
      <c r="AO508" s="827"/>
      <c r="AQ508" s="930" t="s">
        <v>1765</v>
      </c>
      <c r="AR508" s="1274" t="s">
        <v>1766</v>
      </c>
      <c r="AS508" s="1259">
        <v>2.1000000000000001E-2</v>
      </c>
      <c r="AT508" s="1194">
        <v>0.26963495575221241</v>
      </c>
      <c r="AV508" s="827"/>
      <c r="AX508" s="1275" t="s">
        <v>1750</v>
      </c>
      <c r="AY508" s="841">
        <v>3</v>
      </c>
      <c r="AZ508" s="841">
        <f t="shared" ref="AZ508:AZ509" si="550">+AY508*3</f>
        <v>9</v>
      </c>
      <c r="BA508" s="935">
        <v>0.8</v>
      </c>
      <c r="BB508" s="935">
        <v>1.6</v>
      </c>
      <c r="BC508" s="747"/>
      <c r="BD508" s="964"/>
      <c r="BF508" s="830"/>
      <c r="CI508" s="827"/>
    </row>
    <row r="509" spans="1:93" s="824" customFormat="1" ht="13.9" hidden="1" customHeight="1" outlineLevel="1">
      <c r="B509" s="921" t="str">
        <f t="shared" si="540"/>
        <v>Cable, Axial Fan 710: NYA 1C/0.75 x 3</v>
      </c>
      <c r="C509" s="817"/>
      <c r="D509" s="923"/>
      <c r="E509" s="841"/>
      <c r="F509" s="809">
        <f t="shared" si="541"/>
        <v>1269</v>
      </c>
      <c r="G509" s="1233"/>
      <c r="H509" s="924" t="s">
        <v>1080</v>
      </c>
      <c r="I509" s="1234"/>
      <c r="J509" s="979"/>
      <c r="K509" s="1235"/>
      <c r="L509" s="809">
        <f t="shared" si="542"/>
        <v>1269</v>
      </c>
      <c r="M509" s="1236">
        <v>1</v>
      </c>
      <c r="N509" s="927">
        <f t="shared" si="543"/>
        <v>1.2689999999999999</v>
      </c>
      <c r="O509" s="814">
        <v>3</v>
      </c>
      <c r="P509" s="811">
        <f t="shared" si="544"/>
        <v>3.8069999999999995</v>
      </c>
      <c r="Q509" s="815">
        <v>1</v>
      </c>
      <c r="R509" s="505">
        <f t="shared" si="545"/>
        <v>1</v>
      </c>
      <c r="S509" s="815">
        <f t="shared" si="546"/>
        <v>0</v>
      </c>
      <c r="T509" s="946" t="s">
        <v>46</v>
      </c>
      <c r="U509" s="926">
        <v>0.26963495575221241</v>
      </c>
      <c r="V509" s="927">
        <f t="shared" si="547"/>
        <v>1</v>
      </c>
      <c r="W509" s="935">
        <v>1</v>
      </c>
      <c r="X509" s="820">
        <v>2.1000000000000001E-2</v>
      </c>
      <c r="Y509" s="1238">
        <f t="shared" si="548"/>
        <v>0</v>
      </c>
      <c r="Z509" s="929">
        <f t="shared" si="549"/>
        <v>0</v>
      </c>
      <c r="AA509" s="1258"/>
      <c r="AC509" s="1103"/>
      <c r="AD509" s="1103"/>
      <c r="AE509" s="1103">
        <v>1</v>
      </c>
      <c r="AF509" s="825">
        <v>1</v>
      </c>
      <c r="AH509" s="827"/>
      <c r="AJ509" s="828">
        <f t="shared" si="524"/>
        <v>0</v>
      </c>
      <c r="AK509" s="862"/>
      <c r="AL509" s="828">
        <f t="shared" si="525"/>
        <v>0</v>
      </c>
      <c r="AM509" s="862"/>
      <c r="AO509" s="827"/>
      <c r="AQ509" s="930" t="s">
        <v>1767</v>
      </c>
      <c r="AR509" s="1274" t="s">
        <v>1766</v>
      </c>
      <c r="AS509" s="1259">
        <v>2.1000000000000001E-2</v>
      </c>
      <c r="AT509" s="1194">
        <v>0.26963495575221241</v>
      </c>
      <c r="AV509" s="827"/>
      <c r="AX509" s="1275" t="s">
        <v>1750</v>
      </c>
      <c r="AY509" s="841">
        <v>3</v>
      </c>
      <c r="AZ509" s="841">
        <f t="shared" si="550"/>
        <v>9</v>
      </c>
      <c r="BA509" s="935">
        <v>0.9</v>
      </c>
      <c r="BB509" s="935">
        <v>1.9</v>
      </c>
      <c r="BC509" s="747"/>
      <c r="BD509" s="964"/>
      <c r="BF509" s="830"/>
      <c r="CI509" s="827"/>
    </row>
    <row r="510" spans="1:93" s="479" customFormat="1" ht="15" collapsed="1">
      <c r="A510" s="370"/>
      <c r="B510" s="895" t="s">
        <v>1768</v>
      </c>
      <c r="C510" s="896" t="s">
        <v>1742</v>
      </c>
      <c r="D510" s="897"/>
      <c r="E510" s="898"/>
      <c r="F510" s="899"/>
      <c r="G510" s="899"/>
      <c r="H510" s="900"/>
      <c r="I510" s="901"/>
      <c r="J510" s="902"/>
      <c r="K510" s="898"/>
      <c r="L510" s="899"/>
      <c r="M510" s="903"/>
      <c r="N510" s="907"/>
      <c r="O510" s="898"/>
      <c r="P510" s="902"/>
      <c r="Q510" s="905"/>
      <c r="R510" s="903"/>
      <c r="S510" s="905"/>
      <c r="T510" s="906"/>
      <c r="U510" s="906"/>
      <c r="V510" s="907"/>
      <c r="W510" s="908"/>
      <c r="X510" s="909"/>
      <c r="Y510" s="1232"/>
      <c r="Z510" s="1069"/>
      <c r="AA510" s="911"/>
      <c r="AB510" s="370"/>
      <c r="AC510" s="912"/>
      <c r="AD510" s="912"/>
      <c r="AE510" s="912"/>
      <c r="AF510" s="913"/>
      <c r="AG510" s="370"/>
      <c r="AH510" s="521"/>
      <c r="AI510" s="370"/>
      <c r="AJ510" s="483">
        <f t="shared" si="524"/>
        <v>0</v>
      </c>
      <c r="AK510" s="522"/>
      <c r="AL510" s="401">
        <f t="shared" si="525"/>
        <v>0</v>
      </c>
      <c r="AM510" s="523"/>
      <c r="AN510" s="370"/>
      <c r="AO510" s="521"/>
      <c r="AP510" s="936"/>
      <c r="AQ510" s="1155" t="str">
        <f>+B510</f>
        <v>- Cable, CC Heater: NYA 1C</v>
      </c>
      <c r="AR510" s="1070" t="s">
        <v>1743</v>
      </c>
      <c r="AS510" s="916" t="s">
        <v>97</v>
      </c>
      <c r="AT510" s="917" t="s">
        <v>1345</v>
      </c>
      <c r="AU510" s="370"/>
      <c r="AV510" s="830"/>
      <c r="AW510" s="370"/>
      <c r="AX510" s="918" t="s">
        <v>1494</v>
      </c>
      <c r="AY510" s="919" t="s">
        <v>1128</v>
      </c>
      <c r="AZ510" s="919" t="s">
        <v>1769</v>
      </c>
      <c r="BA510" s="919" t="s">
        <v>1770</v>
      </c>
      <c r="BB510" s="919"/>
      <c r="BC510" s="919"/>
      <c r="BD510" s="1193"/>
      <c r="BE510" s="370"/>
      <c r="BF510" s="524"/>
      <c r="BG510" s="370"/>
      <c r="BH510" s="370"/>
      <c r="BI510" s="370"/>
      <c r="BJ510" s="370"/>
      <c r="BK510" s="370"/>
      <c r="BL510" s="370"/>
      <c r="BM510" s="370"/>
      <c r="BN510" s="370"/>
      <c r="BO510" s="370"/>
      <c r="BP510" s="370"/>
      <c r="BQ510" s="370"/>
      <c r="BR510" s="370"/>
      <c r="BS510" s="370"/>
      <c r="BT510" s="370"/>
      <c r="BU510" s="370"/>
      <c r="BV510" s="370"/>
      <c r="BW510" s="370"/>
      <c r="BX510" s="370"/>
      <c r="BY510" s="370"/>
      <c r="BZ510" s="370"/>
      <c r="CA510" s="370"/>
      <c r="CB510" s="370"/>
      <c r="CC510" s="370"/>
      <c r="CD510" s="370"/>
      <c r="CE510" s="370"/>
      <c r="CF510" s="370"/>
      <c r="CG510" s="370"/>
      <c r="CH510" s="370"/>
      <c r="CI510" s="521"/>
    </row>
    <row r="511" spans="1:93" s="747" customFormat="1" ht="13.9" hidden="1" customHeight="1" outlineLevel="1">
      <c r="A511" s="824"/>
      <c r="B511" s="1231" t="str">
        <f t="shared" ref="B511" si="551">"Cable, "&amp;AQ511&amp;": "&amp;AR511</f>
        <v>Cable, CC Heater Compressor 7.5-15hp: NYA 1C/0.75 x 2</v>
      </c>
      <c r="C511" s="817"/>
      <c r="D511" s="1239"/>
      <c r="E511" s="841"/>
      <c r="F511" s="809">
        <f t="shared" ref="F511" si="552">+D$500+E$500/2+F$500/2</f>
        <v>1981.5</v>
      </c>
      <c r="G511" s="1233"/>
      <c r="H511" s="924" t="s">
        <v>1080</v>
      </c>
      <c r="I511" s="1234"/>
      <c r="J511" s="979"/>
      <c r="K511" s="1235"/>
      <c r="L511" s="809">
        <f t="shared" ref="L511" si="553">+F511</f>
        <v>1981.5</v>
      </c>
      <c r="M511" s="1236">
        <v>1</v>
      </c>
      <c r="N511" s="813">
        <f>IF(I511&gt;0,22/28*((I511/1000)^2-(I511/1000-2*J511/1000)^2)*K511/1000,IF(J511&gt;0,J511/1000*K511/1000*L511/1000, IF(K511&gt;0,K511/1000*L511/1000, IF(L511=0,1,L511/1000))))</f>
        <v>1.9815</v>
      </c>
      <c r="O511" s="814">
        <v>2</v>
      </c>
      <c r="P511" s="811">
        <f>M511*N511*O511</f>
        <v>3.9630000000000001</v>
      </c>
      <c r="Q511" s="815">
        <v>1</v>
      </c>
      <c r="R511" s="505">
        <f t="shared" si="545"/>
        <v>1</v>
      </c>
      <c r="S511" s="815">
        <f t="shared" ref="S511" si="554">P511*AA511*Q511*R511</f>
        <v>3.9630000000000001</v>
      </c>
      <c r="T511" s="946" t="s">
        <v>46</v>
      </c>
      <c r="U511" s="926">
        <v>2.94</v>
      </c>
      <c r="V511" s="927">
        <f>1/VLOOKUP(T511,Y$12:Z$18,2,FALSE)</f>
        <v>1</v>
      </c>
      <c r="W511" s="935">
        <v>1</v>
      </c>
      <c r="X511" s="820">
        <v>5.5E-2</v>
      </c>
      <c r="Y511" s="1238">
        <f>+P511*R511*AA511*X511</f>
        <v>0.21796499999999999</v>
      </c>
      <c r="Z511" s="929">
        <f>S511*U511*V511*W511</f>
        <v>11.65122</v>
      </c>
      <c r="AA511" s="823">
        <v>1</v>
      </c>
      <c r="AC511" s="1103">
        <v>1</v>
      </c>
      <c r="AD511" s="1103">
        <v>1</v>
      </c>
      <c r="AE511" s="1103">
        <v>1</v>
      </c>
      <c r="AF511" s="825">
        <v>1</v>
      </c>
      <c r="AG511" s="824"/>
      <c r="AH511" s="827"/>
      <c r="AI511" s="824"/>
      <c r="AJ511" s="828">
        <f t="shared" si="524"/>
        <v>0.21796499999999999</v>
      </c>
      <c r="AK511" s="862"/>
      <c r="AL511" s="828">
        <f t="shared" si="525"/>
        <v>11.65122</v>
      </c>
      <c r="AM511" s="862"/>
      <c r="AN511" s="824"/>
      <c r="AO511" s="827"/>
      <c r="AP511" s="824"/>
      <c r="AQ511" s="930" t="s">
        <v>1771</v>
      </c>
      <c r="AR511" s="931" t="s">
        <v>1772</v>
      </c>
      <c r="AS511" s="828"/>
      <c r="AT511" s="931"/>
      <c r="AU511" s="824"/>
      <c r="AV511" s="827"/>
      <c r="AW511" s="824"/>
      <c r="AX511" s="934" t="s">
        <v>1773</v>
      </c>
      <c r="AY511" s="841">
        <v>13</v>
      </c>
      <c r="AZ511" s="936"/>
      <c r="BA511" s="936"/>
      <c r="BB511" s="936"/>
      <c r="BD511" s="924"/>
      <c r="BE511" s="936"/>
      <c r="BF511" s="830"/>
      <c r="BG511" s="936"/>
      <c r="BH511" s="936"/>
      <c r="BJ511" s="936"/>
      <c r="BK511" s="936"/>
      <c r="BL511" s="936"/>
      <c r="BM511" s="936"/>
      <c r="BN511" s="936"/>
      <c r="BO511" s="936"/>
      <c r="BP511" s="936"/>
      <c r="BS511" s="936"/>
      <c r="CH511" s="936"/>
      <c r="CI511" s="827"/>
    </row>
    <row r="512" spans="1:93" s="479" customFormat="1" ht="15" collapsed="1">
      <c r="A512" s="370"/>
      <c r="B512" s="895" t="s">
        <v>1774</v>
      </c>
      <c r="C512" s="896" t="s">
        <v>1742</v>
      </c>
      <c r="D512" s="897"/>
      <c r="E512" s="898"/>
      <c r="F512" s="899"/>
      <c r="G512" s="899"/>
      <c r="H512" s="900"/>
      <c r="I512" s="901"/>
      <c r="J512" s="902"/>
      <c r="K512" s="898"/>
      <c r="L512" s="899"/>
      <c r="M512" s="903"/>
      <c r="N512" s="907"/>
      <c r="O512" s="898"/>
      <c r="P512" s="902"/>
      <c r="Q512" s="905"/>
      <c r="R512" s="903"/>
      <c r="S512" s="905"/>
      <c r="T512" s="906"/>
      <c r="U512" s="906"/>
      <c r="V512" s="907"/>
      <c r="W512" s="908"/>
      <c r="X512" s="909"/>
      <c r="Y512" s="1232"/>
      <c r="Z512" s="1069"/>
      <c r="AA512" s="911"/>
      <c r="AB512" s="370"/>
      <c r="AC512" s="912"/>
      <c r="AD512" s="912"/>
      <c r="AE512" s="912"/>
      <c r="AF512" s="913"/>
      <c r="AG512" s="370"/>
      <c r="AH512" s="521"/>
      <c r="AI512" s="370"/>
      <c r="AJ512" s="483">
        <f t="shared" si="524"/>
        <v>0</v>
      </c>
      <c r="AK512" s="522"/>
      <c r="AL512" s="401">
        <f t="shared" si="525"/>
        <v>0</v>
      </c>
      <c r="AM512" s="523"/>
      <c r="AN512" s="370"/>
      <c r="AO512" s="521"/>
      <c r="AP512" s="936"/>
      <c r="AQ512" s="1155" t="str">
        <f>+B512</f>
        <v>- Cable, HPLP Switch: NYA 1C</v>
      </c>
      <c r="AR512" s="1070" t="s">
        <v>1743</v>
      </c>
      <c r="AS512" s="916" t="s">
        <v>97</v>
      </c>
      <c r="AT512" s="917" t="s">
        <v>1345</v>
      </c>
      <c r="AU512" s="370"/>
      <c r="AV512" s="830"/>
      <c r="AW512" s="370"/>
      <c r="AX512" s="918" t="s">
        <v>1494</v>
      </c>
      <c r="AY512" s="919" t="s">
        <v>1128</v>
      </c>
      <c r="AZ512" s="919" t="s">
        <v>1769</v>
      </c>
      <c r="BA512" s="919" t="s">
        <v>1770</v>
      </c>
      <c r="BB512" s="919"/>
      <c r="BC512" s="919"/>
      <c r="BD512" s="1193"/>
      <c r="BE512" s="370"/>
      <c r="BF512" s="524"/>
      <c r="BG512" s="370"/>
      <c r="BH512" s="370"/>
      <c r="BI512" s="370"/>
      <c r="BJ512" s="370"/>
      <c r="BK512" s="370"/>
      <c r="BL512" s="370"/>
      <c r="BM512" s="370"/>
      <c r="BN512" s="370"/>
      <c r="BO512" s="370"/>
      <c r="BP512" s="370"/>
      <c r="BQ512" s="370"/>
      <c r="BR512" s="370"/>
      <c r="BS512" s="370"/>
      <c r="BT512" s="370"/>
      <c r="BU512" s="370"/>
      <c r="BV512" s="370"/>
      <c r="BW512" s="370"/>
      <c r="BX512" s="370"/>
      <c r="BY512" s="370"/>
      <c r="BZ512" s="370"/>
      <c r="CA512" s="370"/>
      <c r="CB512" s="370"/>
      <c r="CC512" s="370"/>
      <c r="CD512" s="370"/>
      <c r="CE512" s="370"/>
      <c r="CF512" s="370"/>
      <c r="CG512" s="370"/>
      <c r="CH512" s="370"/>
      <c r="CI512" s="521"/>
    </row>
    <row r="513" spans="1:87" s="824" customFormat="1" ht="13.9" hidden="1" customHeight="1" outlineLevel="1">
      <c r="B513" s="921" t="str">
        <f>"Cable, "&amp;AQ513&amp;": "&amp;AR513</f>
        <v>Cable, HPLP Switch: NYA 1C/0.75 x 2</v>
      </c>
      <c r="C513" s="817"/>
      <c r="D513" s="923"/>
      <c r="E513" s="841"/>
      <c r="F513" s="809">
        <f t="shared" ref="F513:F515" si="555">+D$500+E$500/2+F$500/2</f>
        <v>1981.5</v>
      </c>
      <c r="G513" s="1233"/>
      <c r="H513" s="924" t="s">
        <v>1080</v>
      </c>
      <c r="I513" s="1234"/>
      <c r="J513" s="979"/>
      <c r="K513" s="1235"/>
      <c r="L513" s="809">
        <f t="shared" ref="L513:L515" si="556">+F513</f>
        <v>1981.5</v>
      </c>
      <c r="M513" s="1236">
        <v>1</v>
      </c>
      <c r="N513" s="927">
        <f>IF(I513&gt;0,22/28*((I513/1000)^2-(I513/1000-2*J513/1000)^2)*K513/1000,IF(J513&gt;0,J513/1000*K513/1000*L513/1000, IF(K513&gt;0,K513/1000*L513/1000, IF(L513=0,1,L513/1000))))</f>
        <v>1.9815</v>
      </c>
      <c r="O513" s="814">
        <v>2</v>
      </c>
      <c r="P513" s="811">
        <f>M513*N513*O513</f>
        <v>3.9630000000000001</v>
      </c>
      <c r="Q513" s="815">
        <v>1</v>
      </c>
      <c r="R513" s="505">
        <f t="shared" si="545"/>
        <v>1</v>
      </c>
      <c r="S513" s="815">
        <f t="shared" ref="S513:S515" si="557">P513*AA513*Q513*R513</f>
        <v>3.9630000000000001</v>
      </c>
      <c r="T513" s="946" t="s">
        <v>46</v>
      </c>
      <c r="U513" s="926">
        <v>0.26963495575221241</v>
      </c>
      <c r="V513" s="927">
        <f t="shared" ref="V513:V515" si="558">1/VLOOKUP(T513,Y$12:Z$18,2,FALSE)</f>
        <v>1</v>
      </c>
      <c r="W513" s="935">
        <v>1</v>
      </c>
      <c r="X513" s="820">
        <v>2.1000000000000001E-2</v>
      </c>
      <c r="Y513" s="1238">
        <f t="shared" ref="Y513:Y515" si="559">+P513*R513*AA513*X513</f>
        <v>8.3223000000000005E-2</v>
      </c>
      <c r="Z513" s="929">
        <f t="shared" ref="Z513:Z515" si="560">S513*U513*V513*W513</f>
        <v>1.0685633296460177</v>
      </c>
      <c r="AA513" s="1258">
        <v>1</v>
      </c>
      <c r="AC513" s="1103">
        <v>1</v>
      </c>
      <c r="AD513" s="1103">
        <v>1</v>
      </c>
      <c r="AE513" s="1103">
        <v>1</v>
      </c>
      <c r="AF513" s="825">
        <v>1</v>
      </c>
      <c r="AH513" s="827"/>
      <c r="AJ513" s="828">
        <f t="shared" si="524"/>
        <v>8.3223000000000005E-2</v>
      </c>
      <c r="AK513" s="862"/>
      <c r="AL513" s="828">
        <f t="shared" si="525"/>
        <v>1.0685633296460177</v>
      </c>
      <c r="AM513" s="862"/>
      <c r="AO513" s="827"/>
      <c r="AQ513" s="965" t="s">
        <v>1775</v>
      </c>
      <c r="AR513" s="1276" t="s">
        <v>1772</v>
      </c>
      <c r="AS513" s="1277">
        <v>2.1000000000000001E-2</v>
      </c>
      <c r="AT513" s="1278">
        <v>0.26963495575221241</v>
      </c>
      <c r="AV513" s="827"/>
      <c r="AX513" s="1279" t="s">
        <v>1750</v>
      </c>
      <c r="AY513" s="1280">
        <v>3</v>
      </c>
      <c r="AZ513" s="1280"/>
      <c r="BA513" s="1280">
        <f>+AY513*2</f>
        <v>6</v>
      </c>
      <c r="BB513" s="1281"/>
      <c r="BC513" s="966"/>
      <c r="BD513" s="943"/>
      <c r="BF513" s="830"/>
      <c r="CI513" s="827"/>
    </row>
    <row r="514" spans="1:87" s="824" customFormat="1" ht="13.9" hidden="1" customHeight="1" outlineLevel="1">
      <c r="B514" s="921" t="str">
        <f t="shared" ref="B514:B515" si="561">"Cable, "&amp;AQ514&amp;": "&amp;AR514</f>
        <v>Cable, HP Switch: NYA 1C/0.75 x 2</v>
      </c>
      <c r="C514" s="817"/>
      <c r="D514" s="923"/>
      <c r="E514" s="841"/>
      <c r="F514" s="809">
        <f t="shared" si="555"/>
        <v>1981.5</v>
      </c>
      <c r="G514" s="1233"/>
      <c r="H514" s="924" t="s">
        <v>1080</v>
      </c>
      <c r="I514" s="1234"/>
      <c r="J514" s="979"/>
      <c r="K514" s="1235"/>
      <c r="L514" s="809">
        <f t="shared" si="556"/>
        <v>1981.5</v>
      </c>
      <c r="M514" s="1236">
        <v>1</v>
      </c>
      <c r="N514" s="927">
        <f>IF(I514&gt;0,22/28*((I514/1000)^2-(I514/1000-2*J514/1000)^2)*K514/1000,IF(J514&gt;0,J514/1000*K514/1000*L514/1000, IF(K514&gt;0,K514/1000*L514/1000, IF(L514=0,1,L514/1000))))</f>
        <v>1.9815</v>
      </c>
      <c r="O514" s="814">
        <v>2</v>
      </c>
      <c r="P514" s="811">
        <f>M514*N514*O514</f>
        <v>3.9630000000000001</v>
      </c>
      <c r="Q514" s="815">
        <v>1</v>
      </c>
      <c r="R514" s="505">
        <f t="shared" si="545"/>
        <v>1</v>
      </c>
      <c r="S514" s="815">
        <f t="shared" si="557"/>
        <v>0</v>
      </c>
      <c r="T514" s="946" t="s">
        <v>46</v>
      </c>
      <c r="U514" s="926">
        <v>0.26963495575221241</v>
      </c>
      <c r="V514" s="927">
        <f t="shared" si="558"/>
        <v>1</v>
      </c>
      <c r="W514" s="935">
        <v>1</v>
      </c>
      <c r="X514" s="820">
        <v>2.1000000000000001E-2</v>
      </c>
      <c r="Y514" s="1238">
        <f t="shared" si="559"/>
        <v>0</v>
      </c>
      <c r="Z514" s="929">
        <f t="shared" si="560"/>
        <v>0</v>
      </c>
      <c r="AA514" s="1258"/>
      <c r="AC514" s="1103"/>
      <c r="AD514" s="1103"/>
      <c r="AE514" s="1103"/>
      <c r="AF514" s="825"/>
      <c r="AH514" s="827"/>
      <c r="AJ514" s="828">
        <f t="shared" si="524"/>
        <v>0</v>
      </c>
      <c r="AK514" s="862"/>
      <c r="AL514" s="828">
        <f t="shared" si="525"/>
        <v>0</v>
      </c>
      <c r="AM514" s="862"/>
      <c r="AO514" s="827"/>
      <c r="AQ514" s="930" t="s">
        <v>1776</v>
      </c>
      <c r="AR514" s="1274" t="s">
        <v>1772</v>
      </c>
      <c r="AS514" s="1259">
        <v>2.1000000000000001E-2</v>
      </c>
      <c r="AT514" s="1194">
        <v>0.26963495575221241</v>
      </c>
      <c r="AV514" s="827"/>
      <c r="AX514" s="1275" t="s">
        <v>1750</v>
      </c>
      <c r="AY514" s="841">
        <v>3</v>
      </c>
      <c r="AZ514" s="841">
        <v>3</v>
      </c>
      <c r="BA514" s="841"/>
      <c r="BB514" s="935"/>
      <c r="BC514" s="747"/>
      <c r="BD514" s="964"/>
      <c r="BF514" s="830"/>
      <c r="CI514" s="827"/>
    </row>
    <row r="515" spans="1:87" s="824" customFormat="1" ht="13.9" hidden="1" customHeight="1" outlineLevel="1">
      <c r="B515" s="921" t="str">
        <f t="shared" si="561"/>
        <v>Cable, LP Switch: NYA 1C/0.75 x 2</v>
      </c>
      <c r="C515" s="817"/>
      <c r="D515" s="923"/>
      <c r="E515" s="841"/>
      <c r="F515" s="809">
        <f t="shared" si="555"/>
        <v>1981.5</v>
      </c>
      <c r="G515" s="1233"/>
      <c r="H515" s="924" t="s">
        <v>1080</v>
      </c>
      <c r="I515" s="1234"/>
      <c r="J515" s="979"/>
      <c r="K515" s="1235"/>
      <c r="L515" s="809">
        <f t="shared" si="556"/>
        <v>1981.5</v>
      </c>
      <c r="M515" s="1236">
        <v>1</v>
      </c>
      <c r="N515" s="927">
        <f>IF(I515&gt;0,22/28*((I515/1000)^2-(I515/1000-2*J515/1000)^2)*K515/1000,IF(J515&gt;0,J515/1000*K515/1000*L515/1000, IF(K515&gt;0,K515/1000*L515/1000, IF(L515=0,1,L515/1000))))</f>
        <v>1.9815</v>
      </c>
      <c r="O515" s="814">
        <v>2</v>
      </c>
      <c r="P515" s="811">
        <f>M515*N515*O515</f>
        <v>3.9630000000000001</v>
      </c>
      <c r="Q515" s="815">
        <v>1</v>
      </c>
      <c r="R515" s="505">
        <f t="shared" si="545"/>
        <v>1</v>
      </c>
      <c r="S515" s="815">
        <f t="shared" si="557"/>
        <v>0</v>
      </c>
      <c r="T515" s="946" t="s">
        <v>46</v>
      </c>
      <c r="U515" s="926">
        <v>0.26963495575221241</v>
      </c>
      <c r="V515" s="927">
        <f t="shared" si="558"/>
        <v>1</v>
      </c>
      <c r="W515" s="935">
        <v>1</v>
      </c>
      <c r="X515" s="820">
        <v>2.1000000000000001E-2</v>
      </c>
      <c r="Y515" s="1238">
        <f t="shared" si="559"/>
        <v>0</v>
      </c>
      <c r="Z515" s="929">
        <f t="shared" si="560"/>
        <v>0</v>
      </c>
      <c r="AA515" s="1258"/>
      <c r="AC515" s="1103"/>
      <c r="AD515" s="1103"/>
      <c r="AE515" s="1103"/>
      <c r="AF515" s="825"/>
      <c r="AH515" s="827"/>
      <c r="AJ515" s="828">
        <f t="shared" si="524"/>
        <v>0</v>
      </c>
      <c r="AK515" s="862"/>
      <c r="AL515" s="828">
        <f t="shared" si="525"/>
        <v>0</v>
      </c>
      <c r="AM515" s="862"/>
      <c r="AO515" s="827"/>
      <c r="AQ515" s="985" t="s">
        <v>1777</v>
      </c>
      <c r="AR515" s="1282" t="s">
        <v>1772</v>
      </c>
      <c r="AS515" s="1283">
        <v>2.1000000000000001E-2</v>
      </c>
      <c r="AT515" s="1284">
        <v>0.26963495575221241</v>
      </c>
      <c r="AV515" s="827"/>
      <c r="AX515" s="1285" t="s">
        <v>1750</v>
      </c>
      <c r="AY515" s="1010">
        <v>3</v>
      </c>
      <c r="AZ515" s="1010">
        <v>3</v>
      </c>
      <c r="BA515" s="1010"/>
      <c r="BB515" s="986"/>
      <c r="BC515" s="1076"/>
      <c r="BD515" s="991"/>
      <c r="BF515" s="830"/>
      <c r="CI515" s="827"/>
    </row>
    <row r="516" spans="1:87" s="479" customFormat="1" ht="15" collapsed="1">
      <c r="A516" s="370"/>
      <c r="B516" s="1249" t="s">
        <v>1778</v>
      </c>
      <c r="C516" s="896"/>
      <c r="D516" s="1286"/>
      <c r="E516" s="898"/>
      <c r="F516" s="899"/>
      <c r="G516" s="899"/>
      <c r="H516" s="900"/>
      <c r="I516" s="901"/>
      <c r="J516" s="902"/>
      <c r="K516" s="898"/>
      <c r="L516" s="899"/>
      <c r="M516" s="903"/>
      <c r="N516" s="907"/>
      <c r="O516" s="898"/>
      <c r="P516" s="902"/>
      <c r="Q516" s="905"/>
      <c r="R516" s="903"/>
      <c r="S516" s="905"/>
      <c r="T516" s="906"/>
      <c r="U516" s="906"/>
      <c r="V516" s="907"/>
      <c r="W516" s="908"/>
      <c r="X516" s="909"/>
      <c r="Y516" s="910"/>
      <c r="Z516" s="1069"/>
      <c r="AA516" s="911"/>
      <c r="AB516" s="370"/>
      <c r="AC516" s="1287"/>
      <c r="AD516" s="1287"/>
      <c r="AE516" s="1287"/>
      <c r="AF516" s="1288"/>
      <c r="AG516" s="370"/>
      <c r="AH516" s="521"/>
      <c r="AI516" s="370"/>
      <c r="AJ516" s="483">
        <f t="shared" si="524"/>
        <v>0</v>
      </c>
      <c r="AK516" s="522"/>
      <c r="AL516" s="401">
        <f t="shared" si="525"/>
        <v>0</v>
      </c>
      <c r="AM516" s="523"/>
      <c r="AN516" s="370"/>
      <c r="AO516" s="521"/>
      <c r="AP516" s="1248"/>
      <c r="AQ516" s="395"/>
      <c r="AR516" s="893"/>
      <c r="AS516" s="893"/>
      <c r="AT516" s="893"/>
      <c r="AU516" s="1248"/>
      <c r="AV516" s="521"/>
      <c r="AW516" s="1248"/>
      <c r="AX516" s="395"/>
      <c r="AY516" s="395"/>
      <c r="AZ516" s="395"/>
      <c r="BA516" s="395"/>
      <c r="BB516" s="395"/>
      <c r="BC516" s="395"/>
      <c r="BD516" s="370"/>
      <c r="BE516" s="370"/>
      <c r="BF516" s="524"/>
      <c r="BG516" s="370"/>
      <c r="BH516" s="370"/>
      <c r="BI516" s="370"/>
      <c r="BJ516" s="370"/>
      <c r="BK516" s="370"/>
      <c r="BL516" s="370"/>
      <c r="BM516" s="370"/>
      <c r="BN516" s="370"/>
      <c r="BO516" s="370"/>
      <c r="BP516" s="370"/>
      <c r="BQ516" s="370"/>
      <c r="BR516" s="370"/>
      <c r="BS516" s="370"/>
      <c r="BT516" s="370"/>
      <c r="BU516" s="370"/>
      <c r="BV516" s="370"/>
      <c r="BW516" s="370"/>
      <c r="BX516" s="370"/>
      <c r="BY516" s="370"/>
      <c r="BZ516" s="370"/>
      <c r="CH516" s="370"/>
      <c r="CI516" s="521"/>
    </row>
    <row r="517" spans="1:87" s="479" customFormat="1" ht="15">
      <c r="A517" s="370"/>
      <c r="B517" s="895" t="s">
        <v>1779</v>
      </c>
      <c r="C517" s="896"/>
      <c r="D517" s="897"/>
      <c r="E517" s="898"/>
      <c r="F517" s="899"/>
      <c r="G517" s="899"/>
      <c r="H517" s="900"/>
      <c r="I517" s="901"/>
      <c r="J517" s="902"/>
      <c r="K517" s="898"/>
      <c r="L517" s="899"/>
      <c r="M517" s="903"/>
      <c r="N517" s="907"/>
      <c r="O517" s="898"/>
      <c r="P517" s="902"/>
      <c r="Q517" s="905"/>
      <c r="R517" s="903"/>
      <c r="S517" s="905"/>
      <c r="T517" s="906"/>
      <c r="U517" s="906"/>
      <c r="V517" s="907"/>
      <c r="W517" s="908"/>
      <c r="X517" s="909"/>
      <c r="Y517" s="1232"/>
      <c r="Z517" s="1069"/>
      <c r="AA517" s="911"/>
      <c r="AB517" s="370"/>
      <c r="AC517" s="912"/>
      <c r="AD517" s="912"/>
      <c r="AE517" s="912"/>
      <c r="AF517" s="913"/>
      <c r="AG517" s="370"/>
      <c r="AH517" s="521"/>
      <c r="AI517" s="370"/>
      <c r="AJ517" s="483">
        <f t="shared" si="524"/>
        <v>0</v>
      </c>
      <c r="AK517" s="522"/>
      <c r="AL517" s="401">
        <f t="shared" si="525"/>
        <v>0</v>
      </c>
      <c r="AM517" s="523"/>
      <c r="AN517" s="370"/>
      <c r="AO517" s="521"/>
      <c r="AP517" s="936"/>
      <c r="AQ517" s="1057" t="str">
        <f>+B517</f>
        <v>- Cable Tube Black, Compressor: NYA 1C x 4</v>
      </c>
      <c r="AR517" s="1070" t="s">
        <v>1780</v>
      </c>
      <c r="AS517" s="916" t="s">
        <v>732</v>
      </c>
      <c r="AT517" s="917" t="s">
        <v>1781</v>
      </c>
      <c r="AU517" s="936"/>
      <c r="AV517" s="521"/>
      <c r="AW517" s="936"/>
      <c r="AX517" s="918" t="s">
        <v>87</v>
      </c>
      <c r="AY517" s="919" t="s">
        <v>1128</v>
      </c>
      <c r="AZ517" s="919" t="s">
        <v>1744</v>
      </c>
      <c r="BA517" s="919" t="s">
        <v>1764</v>
      </c>
      <c r="BB517" s="919" t="s">
        <v>1770</v>
      </c>
      <c r="BC517" s="960"/>
      <c r="BD517" s="961"/>
      <c r="BE517" s="370"/>
      <c r="BF517" s="524"/>
      <c r="BG517" s="370"/>
      <c r="BH517" s="1057" t="s">
        <v>1780</v>
      </c>
      <c r="BI517" s="919" t="s">
        <v>1128</v>
      </c>
      <c r="BJ517" s="919" t="s">
        <v>1782</v>
      </c>
      <c r="BK517" s="919" t="s">
        <v>1783</v>
      </c>
      <c r="BL517" s="919" t="s">
        <v>1784</v>
      </c>
      <c r="BM517" s="919" t="s">
        <v>732</v>
      </c>
      <c r="BN517" s="919" t="s">
        <v>733</v>
      </c>
      <c r="BO517" s="961"/>
      <c r="BP517" s="370"/>
      <c r="BQ517" s="370"/>
      <c r="BR517" s="370"/>
      <c r="BS517" s="370"/>
      <c r="BT517" s="370"/>
      <c r="BU517" s="370"/>
      <c r="BV517" s="370"/>
      <c r="BW517" s="370"/>
      <c r="BX517" s="370"/>
      <c r="BY517" s="370"/>
      <c r="BZ517" s="370"/>
      <c r="CH517" s="370"/>
      <c r="CI517" s="521"/>
    </row>
    <row r="518" spans="1:87" s="824" customFormat="1" ht="13.9" hidden="1" customHeight="1" outlineLevel="1">
      <c r="B518" s="921" t="str">
        <f>"Cable Tube Black, Compressor "&amp;AQ518&amp;": "&amp;AR518</f>
        <v>Cable Tube Black, Compressor 1.0-7.5hp: 1C/1.50 x 4: 12(1/2")</v>
      </c>
      <c r="C518" s="922"/>
      <c r="D518" s="923"/>
      <c r="E518" s="841"/>
      <c r="F518" s="809"/>
      <c r="G518" s="1233"/>
      <c r="H518" s="924" t="s">
        <v>1080</v>
      </c>
      <c r="I518" s="1234"/>
      <c r="J518" s="979"/>
      <c r="K518" s="1235"/>
      <c r="L518" s="809"/>
      <c r="M518" s="1236">
        <v>1</v>
      </c>
      <c r="N518" s="927">
        <f>IF(I518&gt;0,22/28*((I518/1000)^2-(I518/1000-2*J518/1000)^2)*K518/1000,IF(J518&gt;0,J518/1000*K518/1000*L518/1000, IF(K518&gt;0,K518/1000*L518/1000, IF(L518=0,1,L518/1000))))</f>
        <v>1</v>
      </c>
      <c r="O518" s="814">
        <v>1</v>
      </c>
      <c r="P518" s="811">
        <f>M518*N518*O518</f>
        <v>1</v>
      </c>
      <c r="Q518" s="815">
        <v>1</v>
      </c>
      <c r="R518" s="505">
        <f t="shared" ref="R518:R520" si="562">+R$500</f>
        <v>1</v>
      </c>
      <c r="S518" s="815">
        <f t="shared" ref="S518:S538" si="563">P518*AA518*Q518*R518</f>
        <v>1</v>
      </c>
      <c r="T518" s="946" t="s">
        <v>46</v>
      </c>
      <c r="U518" s="1237">
        <v>0.14000000000000001</v>
      </c>
      <c r="V518" s="927">
        <f>1/VLOOKUP(T518,Y$12:Z$18,2,FALSE)</f>
        <v>1</v>
      </c>
      <c r="W518" s="935">
        <v>1</v>
      </c>
      <c r="X518" s="820">
        <v>1E-3</v>
      </c>
      <c r="Y518" s="1238">
        <f>+P518*R518*AA518*X518</f>
        <v>1E-3</v>
      </c>
      <c r="Z518" s="929">
        <f>S518*U518*V518*W518</f>
        <v>0.14000000000000001</v>
      </c>
      <c r="AA518" s="823">
        <v>1</v>
      </c>
      <c r="AC518" s="1103">
        <v>1</v>
      </c>
      <c r="AD518" s="1103"/>
      <c r="AE518" s="1103"/>
      <c r="AF518" s="825"/>
      <c r="AH518" s="827"/>
      <c r="AJ518" s="828">
        <f t="shared" si="524"/>
        <v>1E-3</v>
      </c>
      <c r="AK518" s="862"/>
      <c r="AL518" s="828">
        <f t="shared" si="525"/>
        <v>0.14000000000000001</v>
      </c>
      <c r="AM518" s="862"/>
      <c r="AO518" s="827"/>
      <c r="AQ518" s="965" t="s">
        <v>1785</v>
      </c>
      <c r="AR518" s="1117" t="s">
        <v>1786</v>
      </c>
      <c r="AS518" s="1117"/>
      <c r="AT518" s="943"/>
      <c r="AV518" s="827"/>
      <c r="AX518" s="934" t="s">
        <v>1750</v>
      </c>
      <c r="AY518" s="841">
        <v>3</v>
      </c>
      <c r="AZ518" s="841">
        <f>+AY518*4</f>
        <v>12</v>
      </c>
      <c r="BA518" s="841">
        <f>+AY518*3</f>
        <v>9</v>
      </c>
      <c r="BB518" s="841">
        <f>+AY518*2</f>
        <v>6</v>
      </c>
      <c r="BD518" s="1289"/>
      <c r="BF518" s="830"/>
      <c r="BH518" s="1290" t="s">
        <v>1786</v>
      </c>
      <c r="BI518" s="1166">
        <v>13</v>
      </c>
      <c r="BJ518" s="1166" t="s">
        <v>1787</v>
      </c>
      <c r="BK518" s="1166" t="s">
        <v>1788</v>
      </c>
      <c r="BL518" s="1166" t="s">
        <v>1789</v>
      </c>
      <c r="BM518" s="1291"/>
      <c r="BN518" s="1291"/>
      <c r="BO518" s="1292"/>
      <c r="CI518" s="827"/>
    </row>
    <row r="519" spans="1:87" s="824" customFormat="1" ht="13.9" hidden="1" customHeight="1" outlineLevel="1">
      <c r="B519" s="921" t="str">
        <f t="shared" ref="B519:B520" si="564">"Cable Tube Black, Compressor "&amp;AQ519&amp;": "&amp;AR519</f>
        <v>Cable Tube Black, Compressor 9.0-13.0hp: 1C/2.50 x 4: 15(5/8")</v>
      </c>
      <c r="C519" s="922"/>
      <c r="D519" s="1239"/>
      <c r="E519" s="841"/>
      <c r="F519" s="809"/>
      <c r="G519" s="1233"/>
      <c r="H519" s="924" t="s">
        <v>1080</v>
      </c>
      <c r="I519" s="1234"/>
      <c r="J519" s="979"/>
      <c r="K519" s="1235"/>
      <c r="L519" s="1233"/>
      <c r="M519" s="1236">
        <v>1</v>
      </c>
      <c r="N519" s="927">
        <f>IF(I519&gt;0,22/28*((I519/1000)^2-(I519/1000-2*J519/1000)^2)*K519/1000,IF(J519&gt;0,J519/1000*K519/1000*L519/1000, IF(K519&gt;0,K519/1000*L519/1000, IF(L519=0,1,L519/1000))))</f>
        <v>1</v>
      </c>
      <c r="O519" s="814">
        <v>1</v>
      </c>
      <c r="P519" s="811">
        <f>M519*N519*O519</f>
        <v>1</v>
      </c>
      <c r="Q519" s="815">
        <v>1</v>
      </c>
      <c r="R519" s="505">
        <f t="shared" si="562"/>
        <v>1</v>
      </c>
      <c r="S519" s="815">
        <f t="shared" si="563"/>
        <v>0</v>
      </c>
      <c r="T519" s="946" t="s">
        <v>46</v>
      </c>
      <c r="U519" s="1237">
        <v>0.16</v>
      </c>
      <c r="V519" s="927">
        <f>1/VLOOKUP(T519,Y$12:Z$18,2,FALSE)</f>
        <v>1</v>
      </c>
      <c r="W519" s="935">
        <v>1</v>
      </c>
      <c r="X519" s="820">
        <v>2E-3</v>
      </c>
      <c r="Y519" s="1238">
        <f>+P519*R519*AA519*X519</f>
        <v>0</v>
      </c>
      <c r="Z519" s="929">
        <f>S519*U519*V519*W519</f>
        <v>0</v>
      </c>
      <c r="AA519" s="823"/>
      <c r="AC519" s="1103"/>
      <c r="AD519" s="1103">
        <v>1</v>
      </c>
      <c r="AE519" s="1103">
        <v>1</v>
      </c>
      <c r="AF519" s="825"/>
      <c r="AH519" s="827"/>
      <c r="AJ519" s="828">
        <f t="shared" si="524"/>
        <v>0</v>
      </c>
      <c r="AK519" s="862"/>
      <c r="AL519" s="828">
        <f t="shared" si="525"/>
        <v>0</v>
      </c>
      <c r="AM519" s="862"/>
      <c r="AO519" s="827"/>
      <c r="AQ519" s="930" t="s">
        <v>1790</v>
      </c>
      <c r="AR519" s="931" t="s">
        <v>1791</v>
      </c>
      <c r="AS519" s="931"/>
      <c r="AT519" s="964"/>
      <c r="AV519" s="827"/>
      <c r="AX519" s="934" t="s">
        <v>1754</v>
      </c>
      <c r="AY519" s="841">
        <v>3.7</v>
      </c>
      <c r="AZ519" s="841">
        <f t="shared" ref="AZ519:AZ520" si="565">+AY519*4</f>
        <v>14.8</v>
      </c>
      <c r="BA519" s="841">
        <f t="shared" ref="BA519:BA520" si="566">+AY519*3</f>
        <v>11.100000000000001</v>
      </c>
      <c r="BB519" s="841">
        <f t="shared" ref="BB519:BB520" si="567">+AY519*2</f>
        <v>7.4</v>
      </c>
      <c r="BD519" s="1289"/>
      <c r="BF519" s="830"/>
      <c r="BH519" s="1154" t="s">
        <v>1792</v>
      </c>
      <c r="BI519" s="1109">
        <v>15</v>
      </c>
      <c r="BJ519" s="1109" t="s">
        <v>1793</v>
      </c>
      <c r="BK519" s="1109" t="s">
        <v>1794</v>
      </c>
      <c r="BL519" s="1095" t="s">
        <v>1795</v>
      </c>
      <c r="BM519" s="1293"/>
      <c r="BN519" s="1293"/>
      <c r="BO519" s="1294"/>
      <c r="CI519" s="827"/>
    </row>
    <row r="520" spans="1:87" s="824" customFormat="1" ht="13.9" hidden="1" customHeight="1" outlineLevel="1">
      <c r="B520" s="921" t="str">
        <f t="shared" si="564"/>
        <v>Cable Tube Black, Compressor 15.0hp: 1C/4.0 x 4: 20(3/4")</v>
      </c>
      <c r="C520" s="922"/>
      <c r="D520" s="1239"/>
      <c r="E520" s="841"/>
      <c r="F520" s="809"/>
      <c r="G520" s="1233"/>
      <c r="H520" s="924" t="s">
        <v>1080</v>
      </c>
      <c r="I520" s="1234"/>
      <c r="J520" s="979"/>
      <c r="K520" s="1235"/>
      <c r="L520" s="1233"/>
      <c r="M520" s="1236">
        <v>1</v>
      </c>
      <c r="N520" s="927">
        <f>IF(I520&gt;0,22/28*((I520/1000)^2-(I520/1000-2*J520/1000)^2)*K520/1000,IF(J520&gt;0,J520/1000*K520/1000*L520/1000, IF(K520&gt;0,K520/1000*L520/1000, IF(L520=0,1,L520/1000))))</f>
        <v>1</v>
      </c>
      <c r="O520" s="814">
        <v>1</v>
      </c>
      <c r="P520" s="811">
        <f>M520*N520*O520</f>
        <v>1</v>
      </c>
      <c r="Q520" s="815">
        <v>1</v>
      </c>
      <c r="R520" s="505">
        <f t="shared" si="562"/>
        <v>1</v>
      </c>
      <c r="S520" s="815">
        <f t="shared" si="563"/>
        <v>0</v>
      </c>
      <c r="T520" s="946" t="s">
        <v>46</v>
      </c>
      <c r="U520" s="1237">
        <v>0.23</v>
      </c>
      <c r="V520" s="927">
        <f>1/VLOOKUP(T520,Y$12:Z$18,2,FALSE)</f>
        <v>1</v>
      </c>
      <c r="W520" s="935">
        <v>1</v>
      </c>
      <c r="X520" s="820">
        <v>3.0000000000000001E-3</v>
      </c>
      <c r="Y520" s="1238">
        <f>+P520*R520*AA520*X520</f>
        <v>0</v>
      </c>
      <c r="Z520" s="929">
        <f>S520*U520*V520*W520</f>
        <v>0</v>
      </c>
      <c r="AA520" s="823"/>
      <c r="AC520" s="1103"/>
      <c r="AD520" s="1103"/>
      <c r="AE520" s="1103"/>
      <c r="AF520" s="825">
        <v>1</v>
      </c>
      <c r="AH520" s="827"/>
      <c r="AJ520" s="828">
        <f t="shared" si="524"/>
        <v>0</v>
      </c>
      <c r="AK520" s="862"/>
      <c r="AL520" s="828">
        <f t="shared" si="525"/>
        <v>0</v>
      </c>
      <c r="AM520" s="862"/>
      <c r="AO520" s="827"/>
      <c r="AQ520" s="923" t="s">
        <v>1796</v>
      </c>
      <c r="AR520" s="921" t="s">
        <v>1797</v>
      </c>
      <c r="AS520" s="457"/>
      <c r="AT520" s="924"/>
      <c r="AV520" s="827"/>
      <c r="AX520" s="934" t="s">
        <v>1798</v>
      </c>
      <c r="AY520" s="841">
        <v>4.3</v>
      </c>
      <c r="AZ520" s="841">
        <f t="shared" si="565"/>
        <v>17.2</v>
      </c>
      <c r="BA520" s="841">
        <f t="shared" si="566"/>
        <v>12.899999999999999</v>
      </c>
      <c r="BB520" s="841">
        <f t="shared" si="567"/>
        <v>8.6</v>
      </c>
      <c r="BC520" s="936"/>
      <c r="BD520" s="1289"/>
      <c r="BF520" s="830"/>
      <c r="BH520" s="1154" t="s">
        <v>1797</v>
      </c>
      <c r="BI520" s="1109">
        <v>21</v>
      </c>
      <c r="BJ520" s="1109" t="s">
        <v>1794</v>
      </c>
      <c r="BK520" s="1095" t="s">
        <v>1795</v>
      </c>
      <c r="BL520" s="1109" t="s">
        <v>1799</v>
      </c>
      <c r="BM520" s="1293"/>
      <c r="BN520" s="1293"/>
      <c r="BO520" s="1294"/>
      <c r="CI520" s="827"/>
    </row>
    <row r="521" spans="1:87" s="479" customFormat="1" ht="15" collapsed="1">
      <c r="A521" s="370"/>
      <c r="B521" s="895" t="s">
        <v>1800</v>
      </c>
      <c r="C521" s="896"/>
      <c r="D521" s="897"/>
      <c r="E521" s="898"/>
      <c r="F521" s="899"/>
      <c r="G521" s="899"/>
      <c r="H521" s="900"/>
      <c r="I521" s="901"/>
      <c r="J521" s="902"/>
      <c r="K521" s="898"/>
      <c r="L521" s="899"/>
      <c r="M521" s="903"/>
      <c r="N521" s="907"/>
      <c r="O521" s="898"/>
      <c r="P521" s="902"/>
      <c r="Q521" s="905"/>
      <c r="R521" s="903"/>
      <c r="S521" s="905"/>
      <c r="T521" s="906"/>
      <c r="U521" s="906"/>
      <c r="V521" s="907"/>
      <c r="W521" s="908"/>
      <c r="X521" s="909"/>
      <c r="Y521" s="1232"/>
      <c r="Z521" s="1069"/>
      <c r="AA521" s="911"/>
      <c r="AB521" s="370"/>
      <c r="AC521" s="912"/>
      <c r="AD521" s="912"/>
      <c r="AE521" s="912"/>
      <c r="AF521" s="913"/>
      <c r="AG521" s="370"/>
      <c r="AH521" s="521"/>
      <c r="AI521" s="370"/>
      <c r="AJ521" s="483">
        <f t="shared" si="524"/>
        <v>0</v>
      </c>
      <c r="AK521" s="522"/>
      <c r="AL521" s="401">
        <f t="shared" si="525"/>
        <v>0</v>
      </c>
      <c r="AM521" s="523"/>
      <c r="AN521" s="370"/>
      <c r="AO521" s="521"/>
      <c r="AP521" s="936"/>
      <c r="AQ521" s="1057" t="str">
        <f>+B521</f>
        <v>- Cable Fastening, Compressor</v>
      </c>
      <c r="AR521" s="1295"/>
      <c r="AS521" s="1295"/>
      <c r="AT521" s="959"/>
      <c r="AU521" s="936"/>
      <c r="AV521" s="521"/>
      <c r="AW521" s="936"/>
      <c r="AX521" s="918" t="s">
        <v>87</v>
      </c>
      <c r="AY521" s="919" t="s">
        <v>1072</v>
      </c>
      <c r="AZ521" s="919" t="s">
        <v>64</v>
      </c>
      <c r="BA521" s="919" t="s">
        <v>1128</v>
      </c>
      <c r="BB521" s="919" t="s">
        <v>1744</v>
      </c>
      <c r="BC521" s="919" t="s">
        <v>1764</v>
      </c>
      <c r="BD521" s="920" t="s">
        <v>1770</v>
      </c>
      <c r="BE521" s="370"/>
      <c r="BF521" s="524"/>
      <c r="BG521" s="370"/>
      <c r="BH521" s="370"/>
      <c r="BI521" s="370"/>
      <c r="BJ521" s="370"/>
      <c r="BK521" s="370"/>
      <c r="BL521" s="370"/>
      <c r="BM521" s="370"/>
      <c r="BN521" s="370"/>
      <c r="BO521" s="370"/>
      <c r="BP521" s="370"/>
      <c r="BQ521" s="370"/>
      <c r="BR521" s="370"/>
      <c r="BS521" s="370"/>
      <c r="BT521" s="370"/>
      <c r="BU521" s="370"/>
      <c r="BV521" s="370"/>
      <c r="BW521" s="370"/>
      <c r="BX521" s="370"/>
      <c r="BY521" s="370"/>
      <c r="BZ521" s="370"/>
      <c r="CH521" s="370"/>
      <c r="CI521" s="521"/>
    </row>
    <row r="522" spans="1:87" s="824" customFormat="1" ht="13.9" hidden="1" customHeight="1" outlineLevel="1">
      <c r="B522" s="921" t="s">
        <v>1801</v>
      </c>
      <c r="C522" s="922"/>
      <c r="D522" s="923"/>
      <c r="E522" s="841"/>
      <c r="F522" s="809"/>
      <c r="G522" s="1233"/>
      <c r="H522" s="924" t="s">
        <v>100</v>
      </c>
      <c r="I522" s="1234"/>
      <c r="J522" s="979"/>
      <c r="K522" s="1235"/>
      <c r="L522" s="809"/>
      <c r="M522" s="1236">
        <v>1</v>
      </c>
      <c r="N522" s="927">
        <f>IF(I522&gt;0,22/28*((I522/1000)^2-(I522/1000-2*J522/1000)^2)*K522/1000,IF(J522&gt;0,J522/1000*K522/1000*L522/1000, IF(K522&gt;0,K522/1000*L522/1000, IF(L522=0,1,L522/1000))))</f>
        <v>1</v>
      </c>
      <c r="O522" s="814">
        <v>1</v>
      </c>
      <c r="P522" s="811">
        <f>M522*N522*O522</f>
        <v>1</v>
      </c>
      <c r="Q522" s="815">
        <v>1</v>
      </c>
      <c r="R522" s="505">
        <f>+R$500</f>
        <v>1</v>
      </c>
      <c r="S522" s="815">
        <f t="shared" si="563"/>
        <v>3</v>
      </c>
      <c r="T522" s="946" t="s">
        <v>46</v>
      </c>
      <c r="U522" s="1237">
        <v>0.01</v>
      </c>
      <c r="V522" s="927">
        <f>1/VLOOKUP(T522,Y$12:Z$18,2,FALSE)</f>
        <v>1</v>
      </c>
      <c r="W522" s="935">
        <v>1</v>
      </c>
      <c r="X522" s="820">
        <v>5.0000000000000001E-3</v>
      </c>
      <c r="Y522" s="1238">
        <f>+P522*R522*AA522*X522</f>
        <v>1.4999999999999999E-2</v>
      </c>
      <c r="Z522" s="929">
        <f>S522*U522*V522*W522</f>
        <v>0.03</v>
      </c>
      <c r="AA522" s="823">
        <v>3</v>
      </c>
      <c r="AC522" s="1103">
        <v>3</v>
      </c>
      <c r="AD522" s="1103">
        <v>3</v>
      </c>
      <c r="AE522" s="1103">
        <v>3</v>
      </c>
      <c r="AF522" s="825">
        <v>3</v>
      </c>
      <c r="AH522" s="827"/>
      <c r="AJ522" s="828">
        <f t="shared" si="524"/>
        <v>1.4999999999999999E-2</v>
      </c>
      <c r="AK522" s="862"/>
      <c r="AL522" s="828">
        <f t="shared" si="525"/>
        <v>0.03</v>
      </c>
      <c r="AM522" s="862"/>
      <c r="AO522" s="827"/>
      <c r="AQ522" s="1296"/>
      <c r="AR522" s="1297"/>
      <c r="AS522" s="1297"/>
      <c r="AT522" s="1298"/>
      <c r="AV522" s="827"/>
      <c r="AX522" s="930" t="s">
        <v>1802</v>
      </c>
      <c r="AY522" s="814">
        <v>100</v>
      </c>
      <c r="AZ522" s="841">
        <v>2.5</v>
      </c>
      <c r="BA522" s="814">
        <f>(AY522-10)*7/22</f>
        <v>28.636363636363637</v>
      </c>
      <c r="BB522" s="747" t="s">
        <v>1789</v>
      </c>
      <c r="BC522" s="747" t="s">
        <v>1803</v>
      </c>
      <c r="BD522" s="964" t="s">
        <v>1804</v>
      </c>
      <c r="BF522" s="830"/>
      <c r="BI522" s="747"/>
      <c r="BJ522" s="814"/>
      <c r="CI522" s="827"/>
    </row>
    <row r="523" spans="1:87" s="824" customFormat="1" ht="13.9" hidden="1" customHeight="1" outlineLevel="1">
      <c r="B523" s="1072" t="s">
        <v>1805</v>
      </c>
      <c r="C523" s="1073"/>
      <c r="D523" s="1240"/>
      <c r="E523" s="1010"/>
      <c r="F523" s="987"/>
      <c r="G523" s="1241"/>
      <c r="H523" s="1075" t="s">
        <v>100</v>
      </c>
      <c r="I523" s="1242"/>
      <c r="J523" s="1006"/>
      <c r="K523" s="1243"/>
      <c r="L523" s="1241"/>
      <c r="M523" s="1244">
        <v>1</v>
      </c>
      <c r="N523" s="1000">
        <f>IF(I523&gt;0,22/28*((I523/1000)^2-(I523/1000-2*J523/1000)^2)*K523/1000,IF(J523&gt;0,J523/1000*K523/1000*L523/1000, IF(K523&gt;0,K523/1000*L523/1000, IF(L523=0,1,L523/1000))))</f>
        <v>1</v>
      </c>
      <c r="O523" s="994">
        <v>1</v>
      </c>
      <c r="P523" s="989">
        <f>M523*N523*O523</f>
        <v>1</v>
      </c>
      <c r="Q523" s="1007">
        <v>1</v>
      </c>
      <c r="R523" s="996">
        <f>+R$500</f>
        <v>1</v>
      </c>
      <c r="S523" s="1007">
        <f t="shared" si="563"/>
        <v>0</v>
      </c>
      <c r="T523" s="999" t="s">
        <v>46</v>
      </c>
      <c r="U523" s="1245">
        <v>1.6E-2</v>
      </c>
      <c r="V523" s="1000">
        <f>1/VLOOKUP(T523,Y$12:Z$18,2,FALSE)</f>
        <v>1</v>
      </c>
      <c r="W523" s="986">
        <v>1</v>
      </c>
      <c r="X523" s="1008">
        <v>8.9999999999999993E-3</v>
      </c>
      <c r="Y523" s="1246">
        <f>+P523*R523*AA523*X523</f>
        <v>0</v>
      </c>
      <c r="Z523" s="1080">
        <f>S523*U523*V523*W523</f>
        <v>0</v>
      </c>
      <c r="AA523" s="1004"/>
      <c r="AC523" s="1247"/>
      <c r="AD523" s="1247"/>
      <c r="AE523" s="1247"/>
      <c r="AF523" s="1005"/>
      <c r="AH523" s="827"/>
      <c r="AJ523" s="828">
        <f t="shared" si="524"/>
        <v>0</v>
      </c>
      <c r="AK523" s="862"/>
      <c r="AL523" s="828">
        <f t="shared" si="525"/>
        <v>0</v>
      </c>
      <c r="AM523" s="862"/>
      <c r="AO523" s="827"/>
      <c r="AQ523" s="1299"/>
      <c r="AR523" s="1300"/>
      <c r="AS523" s="1300"/>
      <c r="AT523" s="1301"/>
      <c r="AV523" s="827"/>
      <c r="AX523" s="930" t="s">
        <v>1806</v>
      </c>
      <c r="AY523" s="814">
        <v>150</v>
      </c>
      <c r="AZ523" s="841">
        <v>3.6</v>
      </c>
      <c r="BA523" s="814">
        <f t="shared" ref="BA523:BA524" si="568">(AY523-10)*7/22</f>
        <v>44.545454545454547</v>
      </c>
      <c r="BB523" s="747" t="s">
        <v>1807</v>
      </c>
      <c r="BC523" s="747" t="s">
        <v>1799</v>
      </c>
      <c r="BD523" s="1289"/>
      <c r="BF523" s="830"/>
      <c r="BI523" s="747"/>
      <c r="BJ523" s="814"/>
      <c r="CI523" s="827"/>
    </row>
    <row r="524" spans="1:87" s="824" customFormat="1" ht="13.9" hidden="1" customHeight="1" outlineLevel="1">
      <c r="B524" s="921" t="str">
        <f>"Cable Tie "&amp;AQ524&amp;": "&amp;AR524</f>
        <v>Cable Tie 1.0-30.0hp: 1C/0.75-10.0 x 4: T5x100x2.5mm</v>
      </c>
      <c r="C524" s="922"/>
      <c r="D524" s="1239"/>
      <c r="E524" s="841"/>
      <c r="F524" s="809"/>
      <c r="G524" s="1233"/>
      <c r="H524" s="924" t="s">
        <v>100</v>
      </c>
      <c r="I524" s="1234"/>
      <c r="J524" s="979"/>
      <c r="K524" s="1235"/>
      <c r="L524" s="1233"/>
      <c r="M524" s="1236">
        <v>1</v>
      </c>
      <c r="N524" s="927">
        <f>IF(I524&gt;0,22/28*((I524/1000)^2-(I524/1000-2*J524/1000)^2)*K524/1000,IF(J524&gt;0,J524/1000*K524/1000*L524/1000, IF(K524&gt;0,K524/1000*L524/1000, IF(L524=0,1,L524/1000))))</f>
        <v>1</v>
      </c>
      <c r="O524" s="814">
        <v>1</v>
      </c>
      <c r="P524" s="811">
        <f>M524*N524*O524</f>
        <v>1</v>
      </c>
      <c r="Q524" s="815">
        <v>1</v>
      </c>
      <c r="R524" s="505">
        <f>+R$500</f>
        <v>1</v>
      </c>
      <c r="S524" s="815">
        <f t="shared" si="563"/>
        <v>2</v>
      </c>
      <c r="T524" s="946" t="s">
        <v>46</v>
      </c>
      <c r="U524" s="1237">
        <v>0.01</v>
      </c>
      <c r="V524" s="927">
        <f>1/VLOOKUP(T524,Y$12:Z$18,2,FALSE)</f>
        <v>1</v>
      </c>
      <c r="W524" s="935">
        <v>1</v>
      </c>
      <c r="X524" s="820">
        <v>1E-3</v>
      </c>
      <c r="Y524" s="1238">
        <f>+P524*R524*AA524*X524</f>
        <v>2E-3</v>
      </c>
      <c r="Z524" s="929">
        <f>S524*U524*V524*W524</f>
        <v>0.02</v>
      </c>
      <c r="AA524" s="823">
        <v>2</v>
      </c>
      <c r="AC524" s="1103">
        <v>2</v>
      </c>
      <c r="AD524" s="1103">
        <v>2</v>
      </c>
      <c r="AE524" s="1103">
        <v>2</v>
      </c>
      <c r="AF524" s="825">
        <v>2</v>
      </c>
      <c r="AH524" s="827"/>
      <c r="AJ524" s="828">
        <f t="shared" si="524"/>
        <v>2E-3</v>
      </c>
      <c r="AK524" s="862"/>
      <c r="AL524" s="828">
        <f t="shared" si="525"/>
        <v>0.02</v>
      </c>
      <c r="AM524" s="862"/>
      <c r="AO524" s="827"/>
      <c r="AQ524" s="930" t="s">
        <v>1808</v>
      </c>
      <c r="AR524" s="931" t="s">
        <v>1809</v>
      </c>
      <c r="AS524" s="1302"/>
      <c r="AT524" s="1289"/>
      <c r="AV524" s="827"/>
      <c r="AX524" s="930" t="s">
        <v>1810</v>
      </c>
      <c r="AY524" s="814">
        <v>200</v>
      </c>
      <c r="AZ524" s="841">
        <v>5</v>
      </c>
      <c r="BA524" s="814">
        <f t="shared" si="568"/>
        <v>60.454545454545453</v>
      </c>
      <c r="BB524" s="747"/>
      <c r="BC524" s="747"/>
      <c r="BD524" s="1289"/>
      <c r="BF524" s="830"/>
      <c r="BI524" s="747"/>
      <c r="BJ524" s="814"/>
      <c r="CI524" s="827"/>
    </row>
    <row r="525" spans="1:87" s="479" customFormat="1" ht="15" collapsed="1">
      <c r="A525" s="370"/>
      <c r="B525" s="895" t="s">
        <v>1811</v>
      </c>
      <c r="C525" s="896"/>
      <c r="D525" s="897"/>
      <c r="E525" s="898"/>
      <c r="F525" s="899"/>
      <c r="G525" s="899"/>
      <c r="H525" s="900"/>
      <c r="I525" s="901"/>
      <c r="J525" s="902"/>
      <c r="K525" s="898"/>
      <c r="L525" s="899"/>
      <c r="M525" s="903"/>
      <c r="N525" s="907"/>
      <c r="O525" s="898"/>
      <c r="P525" s="902"/>
      <c r="Q525" s="905"/>
      <c r="R525" s="903"/>
      <c r="S525" s="905"/>
      <c r="T525" s="906"/>
      <c r="U525" s="906"/>
      <c r="V525" s="907"/>
      <c r="W525" s="908"/>
      <c r="X525" s="909"/>
      <c r="Y525" s="1232"/>
      <c r="Z525" s="1069"/>
      <c r="AA525" s="911"/>
      <c r="AB525" s="370"/>
      <c r="AC525" s="912"/>
      <c r="AD525" s="912"/>
      <c r="AE525" s="912"/>
      <c r="AF525" s="913"/>
      <c r="AG525" s="370"/>
      <c r="AH525" s="521"/>
      <c r="AI525" s="370"/>
      <c r="AJ525" s="483">
        <f t="shared" si="524"/>
        <v>0</v>
      </c>
      <c r="AK525" s="522"/>
      <c r="AL525" s="401">
        <f t="shared" si="525"/>
        <v>0</v>
      </c>
      <c r="AM525" s="523"/>
      <c r="AN525" s="370"/>
      <c r="AO525" s="521"/>
      <c r="AP525" s="936"/>
      <c r="AQ525" s="1057" t="str">
        <f>+B525</f>
        <v>- Cable Tube Black, Fan Motor: NYA 1C x 3</v>
      </c>
      <c r="AR525" s="1070" t="s">
        <v>1780</v>
      </c>
      <c r="AS525" s="916" t="s">
        <v>732</v>
      </c>
      <c r="AT525" s="917" t="s">
        <v>1781</v>
      </c>
      <c r="AU525" s="936"/>
      <c r="AV525" s="521"/>
      <c r="AW525" s="936"/>
      <c r="AX525" s="918" t="s">
        <v>87</v>
      </c>
      <c r="AY525" s="919" t="s">
        <v>1128</v>
      </c>
      <c r="AZ525" s="919" t="s">
        <v>1744</v>
      </c>
      <c r="BA525" s="919" t="s">
        <v>1764</v>
      </c>
      <c r="BB525" s="919" t="s">
        <v>1770</v>
      </c>
      <c r="BC525" s="960"/>
      <c r="BD525" s="961"/>
      <c r="BE525" s="370"/>
      <c r="BF525" s="524"/>
      <c r="BG525" s="370"/>
      <c r="BH525" s="1057" t="s">
        <v>1780</v>
      </c>
      <c r="BI525" s="919" t="s">
        <v>1128</v>
      </c>
      <c r="BJ525" s="919" t="s">
        <v>1782</v>
      </c>
      <c r="BK525" s="919" t="s">
        <v>1783</v>
      </c>
      <c r="BL525" s="919" t="s">
        <v>1784</v>
      </c>
      <c r="BM525" s="919" t="s">
        <v>732</v>
      </c>
      <c r="BN525" s="919" t="s">
        <v>733</v>
      </c>
      <c r="BO525" s="961"/>
      <c r="BP525" s="370"/>
      <c r="BQ525" s="370"/>
      <c r="BR525" s="370"/>
      <c r="BS525" s="370"/>
      <c r="BT525" s="370"/>
      <c r="BU525" s="370"/>
      <c r="BV525" s="370"/>
      <c r="BW525" s="370"/>
      <c r="BX525" s="370"/>
      <c r="BY525" s="370"/>
      <c r="BZ525" s="370"/>
      <c r="CH525" s="370"/>
      <c r="CI525" s="521"/>
    </row>
    <row r="526" spans="1:87" s="824" customFormat="1" ht="13.9" hidden="1" customHeight="1" outlineLevel="1">
      <c r="B526" s="921" t="str">
        <f t="shared" ref="B526:B527" si="569">"Cable Tube Black "&amp;AQ526&amp;": "&amp;AR526</f>
        <v>Cable Tube Black Axial Fan 630: 12(1/2")</v>
      </c>
      <c r="C526" s="922"/>
      <c r="D526" s="1239"/>
      <c r="E526" s="841"/>
      <c r="F526" s="809"/>
      <c r="G526" s="1233"/>
      <c r="H526" s="924" t="s">
        <v>1080</v>
      </c>
      <c r="I526" s="1234"/>
      <c r="J526" s="979"/>
      <c r="K526" s="1235"/>
      <c r="L526" s="1233"/>
      <c r="M526" s="1236">
        <v>1</v>
      </c>
      <c r="N526" s="927">
        <f t="shared" ref="N526:N527" si="570">IF(I526&gt;0,22/28*((I526/1000)^2-(I526/1000-2*J526/1000)^2)*K526/1000,IF(J526&gt;0,J526/1000*K526/1000*L526/1000, IF(K526&gt;0,K526/1000*L526/1000, IF(L526=0,1,L526/1000))))</f>
        <v>1</v>
      </c>
      <c r="O526" s="814">
        <v>1</v>
      </c>
      <c r="P526" s="811">
        <f t="shared" ref="P526:P527" si="571">M526*N526*O526</f>
        <v>1</v>
      </c>
      <c r="Q526" s="815">
        <v>1</v>
      </c>
      <c r="R526" s="505">
        <f t="shared" ref="R526:R527" si="572">+R$500</f>
        <v>1</v>
      </c>
      <c r="S526" s="815">
        <f t="shared" ref="S526:S527" si="573">P526*AA526*Q526*R526</f>
        <v>1</v>
      </c>
      <c r="T526" s="946" t="s">
        <v>46</v>
      </c>
      <c r="U526" s="1237">
        <v>0.23</v>
      </c>
      <c r="V526" s="927">
        <f t="shared" ref="V526:V527" si="574">1/VLOOKUP(T526,Y$12:Z$18,2,FALSE)</f>
        <v>1</v>
      </c>
      <c r="W526" s="935">
        <v>1</v>
      </c>
      <c r="X526" s="820">
        <v>3.0000000000000001E-3</v>
      </c>
      <c r="Y526" s="1238">
        <f t="shared" ref="Y526:Y527" si="575">+P526*R526*AA526*X526</f>
        <v>3.0000000000000001E-3</v>
      </c>
      <c r="Z526" s="929">
        <f t="shared" ref="Z526:Z527" si="576">S526*U526*V526*W526</f>
        <v>0.23</v>
      </c>
      <c r="AA526" s="823">
        <v>1</v>
      </c>
      <c r="AC526" s="1103">
        <v>1</v>
      </c>
      <c r="AD526" s="1103">
        <v>1</v>
      </c>
      <c r="AE526" s="1103"/>
      <c r="AF526" s="825"/>
      <c r="AH526" s="827"/>
      <c r="AJ526" s="828">
        <f t="shared" si="524"/>
        <v>3.0000000000000001E-3</v>
      </c>
      <c r="AK526" s="862"/>
      <c r="AL526" s="828">
        <f t="shared" si="525"/>
        <v>0.23</v>
      </c>
      <c r="AM526" s="862"/>
      <c r="AO526" s="827"/>
      <c r="AQ526" s="930" t="s">
        <v>1765</v>
      </c>
      <c r="AR526" s="921" t="s">
        <v>1786</v>
      </c>
      <c r="AS526" s="457"/>
      <c r="AT526" s="924"/>
      <c r="AV526" s="827"/>
      <c r="AX526" s="934" t="s">
        <v>1812</v>
      </c>
      <c r="AY526" s="841">
        <v>7.3</v>
      </c>
      <c r="AZ526" s="841">
        <f t="shared" ref="AZ526:AZ527" si="577">+AY526*4</f>
        <v>29.2</v>
      </c>
      <c r="BA526" s="841">
        <f t="shared" ref="BA526:BA527" si="578">+AY526*3</f>
        <v>21.9</v>
      </c>
      <c r="BB526" s="841">
        <f t="shared" ref="BB526:BB527" si="579">+AY526*2</f>
        <v>14.6</v>
      </c>
      <c r="BC526" s="936"/>
      <c r="BD526" s="1289"/>
      <c r="BF526" s="830"/>
      <c r="BH526" s="1154"/>
      <c r="BI526" s="1096"/>
      <c r="BJ526" s="1109"/>
      <c r="BK526" s="1109"/>
      <c r="BL526" s="1109"/>
      <c r="BM526" s="1293"/>
      <c r="BN526" s="1293"/>
      <c r="BO526" s="1294"/>
      <c r="CI526" s="827"/>
    </row>
    <row r="527" spans="1:87" s="824" customFormat="1" ht="13.9" hidden="1" customHeight="1" outlineLevel="1">
      <c r="B527" s="921" t="str">
        <f t="shared" si="569"/>
        <v>Cable Tube Black Axial Fan 710: 12(1/2")</v>
      </c>
      <c r="C527" s="922"/>
      <c r="D527" s="1239"/>
      <c r="E527" s="841"/>
      <c r="F527" s="809"/>
      <c r="G527" s="1233"/>
      <c r="H527" s="924" t="s">
        <v>1080</v>
      </c>
      <c r="I527" s="1234"/>
      <c r="J527" s="979"/>
      <c r="K527" s="1235"/>
      <c r="L527" s="1233"/>
      <c r="M527" s="1236">
        <v>1</v>
      </c>
      <c r="N527" s="927">
        <f t="shared" si="570"/>
        <v>1</v>
      </c>
      <c r="O527" s="814">
        <v>1</v>
      </c>
      <c r="P527" s="811">
        <f t="shared" si="571"/>
        <v>1</v>
      </c>
      <c r="Q527" s="815">
        <v>1</v>
      </c>
      <c r="R527" s="505">
        <f t="shared" si="572"/>
        <v>1</v>
      </c>
      <c r="S527" s="815">
        <f t="shared" si="573"/>
        <v>0</v>
      </c>
      <c r="T527" s="946" t="s">
        <v>46</v>
      </c>
      <c r="U527" s="1237">
        <v>0.23</v>
      </c>
      <c r="V527" s="927">
        <f t="shared" si="574"/>
        <v>1</v>
      </c>
      <c r="W527" s="935">
        <v>1</v>
      </c>
      <c r="X527" s="820">
        <v>3.0000000000000001E-3</v>
      </c>
      <c r="Y527" s="1238">
        <f t="shared" si="575"/>
        <v>0</v>
      </c>
      <c r="Z527" s="929">
        <f t="shared" si="576"/>
        <v>0</v>
      </c>
      <c r="AA527" s="823"/>
      <c r="AC527" s="1103"/>
      <c r="AD527" s="1103"/>
      <c r="AE527" s="1103">
        <v>1</v>
      </c>
      <c r="AF527" s="825">
        <v>1</v>
      </c>
      <c r="AH527" s="827"/>
      <c r="AJ527" s="828">
        <f t="shared" si="524"/>
        <v>0</v>
      </c>
      <c r="AK527" s="862"/>
      <c r="AL527" s="828">
        <f t="shared" si="525"/>
        <v>0</v>
      </c>
      <c r="AM527" s="862"/>
      <c r="AO527" s="827"/>
      <c r="AQ527" s="930" t="s">
        <v>1767</v>
      </c>
      <c r="AR527" s="921" t="s">
        <v>1786</v>
      </c>
      <c r="AS527" s="457"/>
      <c r="AT527" s="924"/>
      <c r="AV527" s="827"/>
      <c r="AX527" s="934" t="s">
        <v>1813</v>
      </c>
      <c r="AY527" s="841">
        <v>9</v>
      </c>
      <c r="AZ527" s="841">
        <f t="shared" si="577"/>
        <v>36</v>
      </c>
      <c r="BA527" s="841">
        <f t="shared" si="578"/>
        <v>27</v>
      </c>
      <c r="BB527" s="841">
        <f t="shared" si="579"/>
        <v>18</v>
      </c>
      <c r="BC527" s="936"/>
      <c r="BD527" s="1289"/>
      <c r="BF527" s="830"/>
      <c r="BH527" s="1154"/>
      <c r="BI527" s="1109"/>
      <c r="BJ527" s="1109"/>
      <c r="BK527" s="1109"/>
      <c r="BL527" s="1109"/>
      <c r="BM527" s="1293"/>
      <c r="BN527" s="1293"/>
      <c r="BO527" s="1294"/>
      <c r="CI527" s="827"/>
    </row>
    <row r="528" spans="1:87" s="479" customFormat="1" ht="15" collapsed="1">
      <c r="A528" s="370"/>
      <c r="B528" s="895" t="s">
        <v>1814</v>
      </c>
      <c r="C528" s="896"/>
      <c r="D528" s="897"/>
      <c r="E528" s="898"/>
      <c r="F528" s="899"/>
      <c r="G528" s="899"/>
      <c r="H528" s="900"/>
      <c r="I528" s="901"/>
      <c r="J528" s="902"/>
      <c r="K528" s="898"/>
      <c r="L528" s="899"/>
      <c r="M528" s="903"/>
      <c r="N528" s="907"/>
      <c r="O528" s="898"/>
      <c r="P528" s="902"/>
      <c r="Q528" s="905"/>
      <c r="R528" s="903"/>
      <c r="S528" s="905"/>
      <c r="T528" s="906"/>
      <c r="U528" s="906"/>
      <c r="V528" s="907"/>
      <c r="W528" s="908"/>
      <c r="X528" s="909"/>
      <c r="Y528" s="1232"/>
      <c r="Z528" s="1069"/>
      <c r="AA528" s="911"/>
      <c r="AB528" s="370"/>
      <c r="AC528" s="912"/>
      <c r="AD528" s="912"/>
      <c r="AE528" s="912"/>
      <c r="AF528" s="913"/>
      <c r="AG528" s="370"/>
      <c r="AH528" s="521"/>
      <c r="AI528" s="370"/>
      <c r="AJ528" s="483">
        <f t="shared" si="524"/>
        <v>0</v>
      </c>
      <c r="AK528" s="522"/>
      <c r="AL528" s="401">
        <f t="shared" si="525"/>
        <v>0</v>
      </c>
      <c r="AM528" s="523"/>
      <c r="AN528" s="370"/>
      <c r="AO528" s="521"/>
      <c r="AP528" s="936"/>
      <c r="AQ528" s="1057" t="str">
        <f>+B528</f>
        <v>- Cable Fastening, Fan Motor</v>
      </c>
      <c r="AR528" s="915" t="s">
        <v>1815</v>
      </c>
      <c r="AS528" s="915" t="s">
        <v>97</v>
      </c>
      <c r="AT528" s="917" t="s">
        <v>1781</v>
      </c>
      <c r="AU528" s="936"/>
      <c r="AV528" s="521"/>
      <c r="AW528" s="936"/>
      <c r="AX528" s="918" t="s">
        <v>87</v>
      </c>
      <c r="AY528" s="919" t="s">
        <v>1072</v>
      </c>
      <c r="AZ528" s="919" t="s">
        <v>64</v>
      </c>
      <c r="BA528" s="919" t="s">
        <v>1128</v>
      </c>
      <c r="BB528" s="919" t="s">
        <v>1744</v>
      </c>
      <c r="BC528" s="919" t="s">
        <v>1764</v>
      </c>
      <c r="BD528" s="920" t="s">
        <v>1770</v>
      </c>
      <c r="BE528" s="370"/>
      <c r="BF528" s="524"/>
      <c r="BG528" s="370"/>
      <c r="BH528" s="370"/>
      <c r="BI528" s="370"/>
      <c r="BJ528" s="370"/>
      <c r="BK528" s="370"/>
      <c r="BL528" s="370"/>
      <c r="BM528" s="370"/>
      <c r="BN528" s="370"/>
      <c r="BO528" s="370"/>
      <c r="BP528" s="370"/>
      <c r="BQ528" s="370"/>
      <c r="BR528" s="370"/>
      <c r="BS528" s="370"/>
      <c r="BT528" s="370"/>
      <c r="BU528" s="370"/>
      <c r="BV528" s="370"/>
      <c r="BW528" s="370"/>
      <c r="BX528" s="370"/>
      <c r="BY528" s="370"/>
      <c r="BZ528" s="370"/>
      <c r="CH528" s="370"/>
      <c r="CI528" s="521"/>
    </row>
    <row r="529" spans="1:93" s="824" customFormat="1" ht="13.9" hidden="1" customHeight="1" outlineLevel="1">
      <c r="B529" s="921" t="s">
        <v>1801</v>
      </c>
      <c r="C529" s="922"/>
      <c r="D529" s="923"/>
      <c r="E529" s="841"/>
      <c r="F529" s="809"/>
      <c r="G529" s="1233"/>
      <c r="H529" s="924" t="s">
        <v>100</v>
      </c>
      <c r="I529" s="1234"/>
      <c r="J529" s="979"/>
      <c r="K529" s="1235"/>
      <c r="L529" s="809"/>
      <c r="M529" s="1236">
        <v>1</v>
      </c>
      <c r="N529" s="927">
        <f>IF(I529&gt;0,22/28*((I529/1000)^2-(I529/1000-2*J529/1000)^2)*K529/1000,IF(J529&gt;0,J529/1000*K529/1000*L529/1000, IF(K529&gt;0,K529/1000*L529/1000, IF(L529=0,1,L529/1000))))</f>
        <v>1</v>
      </c>
      <c r="O529" s="814">
        <v>1</v>
      </c>
      <c r="P529" s="811">
        <f>M529*N529*O529</f>
        <v>1</v>
      </c>
      <c r="Q529" s="815">
        <v>1</v>
      </c>
      <c r="R529" s="505">
        <f>+R$500</f>
        <v>1</v>
      </c>
      <c r="S529" s="815">
        <f t="shared" ref="S529:S531" si="580">P529*AA529*Q529*R529</f>
        <v>3</v>
      </c>
      <c r="T529" s="946" t="s">
        <v>46</v>
      </c>
      <c r="U529" s="1237">
        <v>0.01</v>
      </c>
      <c r="V529" s="927">
        <f>1/VLOOKUP(T529,Y$12:Z$18,2,FALSE)</f>
        <v>1</v>
      </c>
      <c r="W529" s="935">
        <v>1</v>
      </c>
      <c r="X529" s="820">
        <v>5.0000000000000001E-3</v>
      </c>
      <c r="Y529" s="1238">
        <f>+P529*R529*AA529*X529</f>
        <v>1.4999999999999999E-2</v>
      </c>
      <c r="Z529" s="929">
        <f>S529*U529*V529*W529</f>
        <v>0.03</v>
      </c>
      <c r="AA529" s="823">
        <v>3</v>
      </c>
      <c r="AC529" s="1103">
        <v>3</v>
      </c>
      <c r="AD529" s="1103">
        <v>3</v>
      </c>
      <c r="AE529" s="1103">
        <v>3</v>
      </c>
      <c r="AF529" s="825">
        <v>3</v>
      </c>
      <c r="AH529" s="827"/>
      <c r="AJ529" s="828">
        <f t="shared" si="524"/>
        <v>1.4999999999999999E-2</v>
      </c>
      <c r="AK529" s="862"/>
      <c r="AL529" s="828">
        <f t="shared" si="525"/>
        <v>0.03</v>
      </c>
      <c r="AM529" s="862"/>
      <c r="AO529" s="827"/>
      <c r="AQ529" s="1296"/>
      <c r="AR529" s="1297"/>
      <c r="AS529" s="1297"/>
      <c r="AT529" s="1298"/>
      <c r="AV529" s="827"/>
      <c r="AX529" s="930" t="s">
        <v>1802</v>
      </c>
      <c r="AY529" s="814">
        <v>100</v>
      </c>
      <c r="AZ529" s="841">
        <v>2.5</v>
      </c>
      <c r="BA529" s="814">
        <f>(AY529-10)*7/22</f>
        <v>28.636363636363637</v>
      </c>
      <c r="BB529" s="747" t="s">
        <v>1789</v>
      </c>
      <c r="BC529" s="747" t="s">
        <v>1803</v>
      </c>
      <c r="BD529" s="964" t="s">
        <v>1804</v>
      </c>
      <c r="BF529" s="830"/>
      <c r="BI529" s="747"/>
      <c r="BJ529" s="814"/>
      <c r="CI529" s="827"/>
    </row>
    <row r="530" spans="1:93" s="824" customFormat="1" ht="13.9" hidden="1" customHeight="1" outlineLevel="1">
      <c r="B530" s="1072" t="s">
        <v>1805</v>
      </c>
      <c r="C530" s="1073"/>
      <c r="D530" s="1240"/>
      <c r="E530" s="1010"/>
      <c r="F530" s="987"/>
      <c r="G530" s="1241"/>
      <c r="H530" s="1075" t="s">
        <v>100</v>
      </c>
      <c r="I530" s="1242"/>
      <c r="J530" s="1006"/>
      <c r="K530" s="1243"/>
      <c r="L530" s="1241"/>
      <c r="M530" s="1244">
        <v>1</v>
      </c>
      <c r="N530" s="1000">
        <f>IF(I530&gt;0,22/28*((I530/1000)^2-(I530/1000-2*J530/1000)^2)*K530/1000,IF(J530&gt;0,J530/1000*K530/1000*L530/1000, IF(K530&gt;0,K530/1000*L530/1000, IF(L530=0,1,L530/1000))))</f>
        <v>1</v>
      </c>
      <c r="O530" s="994">
        <v>1</v>
      </c>
      <c r="P530" s="989">
        <f>M530*N530*O530</f>
        <v>1</v>
      </c>
      <c r="Q530" s="1007">
        <v>1</v>
      </c>
      <c r="R530" s="996">
        <f>+R$500</f>
        <v>1</v>
      </c>
      <c r="S530" s="1007">
        <f t="shared" si="580"/>
        <v>0</v>
      </c>
      <c r="T530" s="999" t="s">
        <v>46</v>
      </c>
      <c r="U530" s="1245">
        <v>1.6E-2</v>
      </c>
      <c r="V530" s="1000">
        <f>1/VLOOKUP(T530,Y$12:Z$18,2,FALSE)</f>
        <v>1</v>
      </c>
      <c r="W530" s="986">
        <v>1</v>
      </c>
      <c r="X530" s="1008">
        <v>8.9999999999999993E-3</v>
      </c>
      <c r="Y530" s="1246">
        <f>+P530*R530*AA530*X530</f>
        <v>0</v>
      </c>
      <c r="Z530" s="1080">
        <f>S530*U530*V530*W530</f>
        <v>0</v>
      </c>
      <c r="AA530" s="1004"/>
      <c r="AC530" s="1247"/>
      <c r="AD530" s="1247"/>
      <c r="AE530" s="1247"/>
      <c r="AF530" s="1005"/>
      <c r="AH530" s="827"/>
      <c r="AJ530" s="828">
        <f t="shared" si="524"/>
        <v>0</v>
      </c>
      <c r="AK530" s="862"/>
      <c r="AL530" s="828">
        <f t="shared" si="525"/>
        <v>0</v>
      </c>
      <c r="AM530" s="862"/>
      <c r="AO530" s="827"/>
      <c r="AQ530" s="1299"/>
      <c r="AR530" s="1300"/>
      <c r="AS530" s="1300"/>
      <c r="AT530" s="1301"/>
      <c r="AV530" s="827"/>
      <c r="AX530" s="930" t="s">
        <v>1806</v>
      </c>
      <c r="AY530" s="814">
        <v>150</v>
      </c>
      <c r="AZ530" s="841">
        <v>3.6</v>
      </c>
      <c r="BA530" s="814">
        <f t="shared" ref="BA530:BA531" si="581">(AY530-10)*7/22</f>
        <v>44.545454545454547</v>
      </c>
      <c r="BB530" s="747" t="s">
        <v>1807</v>
      </c>
      <c r="BC530" s="747" t="s">
        <v>1799</v>
      </c>
      <c r="BD530" s="1289"/>
      <c r="BF530" s="830"/>
      <c r="BI530" s="747"/>
      <c r="BJ530" s="814"/>
      <c r="CI530" s="827"/>
    </row>
    <row r="531" spans="1:93" s="824" customFormat="1" ht="13.9" hidden="1" customHeight="1" outlineLevel="1">
      <c r="B531" s="921" t="str">
        <f>"Cable Tie "&amp;AQ531&amp;": "&amp;AR531</f>
        <v>Cable Tie Axial Fan 400-800: T5x100x2.5mm</v>
      </c>
      <c r="C531" s="922"/>
      <c r="D531" s="1239"/>
      <c r="E531" s="841"/>
      <c r="F531" s="809"/>
      <c r="G531" s="1233"/>
      <c r="H531" s="924" t="s">
        <v>100</v>
      </c>
      <c r="I531" s="1234"/>
      <c r="J531" s="979"/>
      <c r="K531" s="1235"/>
      <c r="L531" s="1233"/>
      <c r="M531" s="1236">
        <v>1</v>
      </c>
      <c r="N531" s="927">
        <f>IF(I531&gt;0,22/28*((I531/1000)^2-(I531/1000-2*J531/1000)^2)*K531/1000,IF(J531&gt;0,J531/1000*K531/1000*L531/1000, IF(K531&gt;0,K531/1000*L531/1000, IF(L531=0,1,L531/1000))))</f>
        <v>1</v>
      </c>
      <c r="O531" s="814">
        <v>1</v>
      </c>
      <c r="P531" s="811">
        <f>M531*N531*O531</f>
        <v>1</v>
      </c>
      <c r="Q531" s="815">
        <v>1</v>
      </c>
      <c r="R531" s="505">
        <f>+R$500</f>
        <v>1</v>
      </c>
      <c r="S531" s="815">
        <f t="shared" si="580"/>
        <v>2</v>
      </c>
      <c r="T531" s="946" t="s">
        <v>46</v>
      </c>
      <c r="U531" s="1237">
        <v>0.01</v>
      </c>
      <c r="V531" s="927">
        <f>1/VLOOKUP(T531,Y$12:Z$18,2,FALSE)</f>
        <v>1</v>
      </c>
      <c r="W531" s="935">
        <v>1</v>
      </c>
      <c r="X531" s="820">
        <v>1E-3</v>
      </c>
      <c r="Y531" s="1238">
        <f>+P531*R531*AA531*X531</f>
        <v>2E-3</v>
      </c>
      <c r="Z531" s="929">
        <f>S531*U531*V531*W531</f>
        <v>0.02</v>
      </c>
      <c r="AA531" s="823">
        <v>2</v>
      </c>
      <c r="AC531" s="1103">
        <v>2</v>
      </c>
      <c r="AD531" s="1103">
        <v>2</v>
      </c>
      <c r="AE531" s="1103">
        <v>2</v>
      </c>
      <c r="AF531" s="825">
        <v>2</v>
      </c>
      <c r="AH531" s="827"/>
      <c r="AJ531" s="828">
        <f t="shared" si="524"/>
        <v>2E-3</v>
      </c>
      <c r="AK531" s="862"/>
      <c r="AL531" s="828">
        <f t="shared" si="525"/>
        <v>0.02</v>
      </c>
      <c r="AM531" s="862"/>
      <c r="AO531" s="827"/>
      <c r="AQ531" s="930" t="s">
        <v>1816</v>
      </c>
      <c r="AR531" s="931" t="s">
        <v>1809</v>
      </c>
      <c r="AS531" s="1302"/>
      <c r="AT531" s="1289"/>
      <c r="AV531" s="827"/>
      <c r="AX531" s="930" t="s">
        <v>1810</v>
      </c>
      <c r="AY531" s="814">
        <v>200</v>
      </c>
      <c r="AZ531" s="841">
        <v>5</v>
      </c>
      <c r="BA531" s="814">
        <f t="shared" si="581"/>
        <v>60.454545454545453</v>
      </c>
      <c r="BB531" s="747"/>
      <c r="BC531" s="747"/>
      <c r="BD531" s="1289"/>
      <c r="BF531" s="830"/>
      <c r="BI531" s="747"/>
      <c r="BJ531" s="814"/>
      <c r="CI531" s="827"/>
    </row>
    <row r="532" spans="1:93" s="479" customFormat="1" ht="15" collapsed="1">
      <c r="A532" s="370"/>
      <c r="B532" s="783" t="s">
        <v>1817</v>
      </c>
      <c r="C532" s="784" t="s">
        <v>1309</v>
      </c>
      <c r="D532" s="785">
        <f>+I$73</f>
        <v>950</v>
      </c>
      <c r="E532" s="786">
        <f>+J$73</f>
        <v>875</v>
      </c>
      <c r="F532" s="787">
        <f>+K$73</f>
        <v>1188</v>
      </c>
      <c r="G532" s="787"/>
      <c r="H532" s="788" t="s">
        <v>30</v>
      </c>
      <c r="I532" s="789" t="s">
        <v>1162</v>
      </c>
      <c r="J532" s="790" t="s">
        <v>1071</v>
      </c>
      <c r="K532" s="786" t="s">
        <v>1072</v>
      </c>
      <c r="L532" s="787" t="s">
        <v>21</v>
      </c>
      <c r="M532" s="791" t="s">
        <v>82</v>
      </c>
      <c r="N532" s="839" t="s">
        <v>1163</v>
      </c>
      <c r="O532" s="786" t="s">
        <v>1154</v>
      </c>
      <c r="P532" s="790" t="s">
        <v>1164</v>
      </c>
      <c r="Q532" s="793" t="s">
        <v>34</v>
      </c>
      <c r="R532" s="791">
        <f>IF(O$8="MultiCore",1,0)</f>
        <v>0</v>
      </c>
      <c r="S532" s="793" t="s">
        <v>13</v>
      </c>
      <c r="T532" s="794" t="s">
        <v>128</v>
      </c>
      <c r="U532" s="794" t="s">
        <v>111</v>
      </c>
      <c r="V532" s="795" t="s">
        <v>32</v>
      </c>
      <c r="W532" s="796" t="s">
        <v>33</v>
      </c>
      <c r="X532" s="797"/>
      <c r="Y532" s="798">
        <f>SUM(Y533:Y558)</f>
        <v>0</v>
      </c>
      <c r="Z532" s="799">
        <f>SUM(Z533:Z558)</f>
        <v>0</v>
      </c>
      <c r="AA532" s="800" t="str">
        <f>+AA$2</f>
        <v>SCU75M1</v>
      </c>
      <c r="AB532" s="747"/>
      <c r="AC532" s="801" t="str">
        <f>+AC$2</f>
        <v>SCU75M1</v>
      </c>
      <c r="AD532" s="801" t="str">
        <f>+AD$2</f>
        <v>SCU100M1</v>
      </c>
      <c r="AE532" s="801" t="str">
        <f>+AE$2</f>
        <v>SCU125M1</v>
      </c>
      <c r="AF532" s="802" t="str">
        <f>+AF$2</f>
        <v>SCU150M1</v>
      </c>
      <c r="AG532" s="370"/>
      <c r="AH532" s="521"/>
      <c r="AI532" s="370"/>
      <c r="AJ532" s="483"/>
      <c r="AK532" s="522">
        <f>SUM(AJ533:AJ558)</f>
        <v>0</v>
      </c>
      <c r="AL532" s="401"/>
      <c r="AM532" s="523">
        <f>SUM(AL533:AL558)</f>
        <v>0</v>
      </c>
      <c r="AN532" s="370"/>
      <c r="AO532" s="721"/>
      <c r="AP532" s="370"/>
      <c r="AQ532" s="395"/>
      <c r="AR532" s="893"/>
      <c r="AS532" s="893"/>
      <c r="AT532" s="893"/>
      <c r="AU532" s="370"/>
      <c r="AV532" s="721"/>
      <c r="AW532" s="370"/>
      <c r="AX532" s="395"/>
      <c r="AY532" s="395"/>
      <c r="AZ532" s="395"/>
      <c r="BA532" s="395"/>
      <c r="BB532" s="395"/>
      <c r="BC532" s="395"/>
      <c r="BD532" s="370"/>
      <c r="BE532" s="370"/>
      <c r="BF532" s="524"/>
      <c r="BG532" s="370"/>
      <c r="BH532" s="370"/>
      <c r="BI532" s="370"/>
      <c r="BJ532" s="370"/>
      <c r="BK532" s="370"/>
      <c r="BL532" s="370"/>
      <c r="BM532" s="370"/>
      <c r="BN532" s="370"/>
      <c r="BO532" s="370"/>
      <c r="BP532" s="370"/>
      <c r="BQ532" s="395"/>
      <c r="BR532" s="395"/>
      <c r="BS532" s="395"/>
      <c r="BT532" s="395"/>
      <c r="BU532" s="395"/>
      <c r="BV532" s="395"/>
      <c r="BW532" s="395"/>
      <c r="BX532" s="395"/>
      <c r="BY532" s="395"/>
      <c r="BZ532" s="395"/>
      <c r="CA532" s="936"/>
      <c r="CB532" s="936"/>
      <c r="CC532" s="936"/>
      <c r="CD532" s="936"/>
      <c r="CE532" s="936"/>
      <c r="CF532" s="936"/>
      <c r="CG532" s="936"/>
      <c r="CH532" s="370"/>
      <c r="CI532" s="521"/>
      <c r="CJ532" s="936"/>
      <c r="CK532" s="936"/>
      <c r="CL532" s="936"/>
      <c r="CM532" s="936"/>
      <c r="CN532" s="936"/>
      <c r="CO532" s="936"/>
    </row>
    <row r="533" spans="1:93" s="479" customFormat="1" ht="15">
      <c r="A533" s="370"/>
      <c r="B533" s="1249" t="s">
        <v>1818</v>
      </c>
      <c r="C533" s="896"/>
      <c r="D533" s="897"/>
      <c r="E533" s="898"/>
      <c r="F533" s="899"/>
      <c r="G533" s="899"/>
      <c r="H533" s="900"/>
      <c r="I533" s="901"/>
      <c r="J533" s="902"/>
      <c r="K533" s="898"/>
      <c r="L533" s="899"/>
      <c r="M533" s="903"/>
      <c r="N533" s="907"/>
      <c r="O533" s="898"/>
      <c r="P533" s="902"/>
      <c r="Q533" s="905"/>
      <c r="R533" s="1250"/>
      <c r="S533" s="905"/>
      <c r="T533" s="906"/>
      <c r="U533" s="906"/>
      <c r="V533" s="907"/>
      <c r="W533" s="908"/>
      <c r="X533" s="909"/>
      <c r="Y533" s="910"/>
      <c r="Z533" s="1069"/>
      <c r="AA533" s="911"/>
      <c r="AB533" s="370"/>
      <c r="AC533" s="912"/>
      <c r="AD533" s="912"/>
      <c r="AE533" s="912"/>
      <c r="AF533" s="913"/>
      <c r="AG533" s="370"/>
      <c r="AH533" s="521"/>
      <c r="AI533" s="370"/>
      <c r="AJ533" s="483">
        <f t="shared" ref="AJ533:AJ558" si="582">+Y533</f>
        <v>0</v>
      </c>
      <c r="AK533" s="522"/>
      <c r="AL533" s="401">
        <f t="shared" ref="AL533:AL558" si="583">+Z533</f>
        <v>0</v>
      </c>
      <c r="AM533" s="523"/>
      <c r="AN533" s="370"/>
      <c r="AO533" s="521"/>
      <c r="AP533" s="936"/>
      <c r="AQ533" s="2143" t="str">
        <f>+B533</f>
        <v>Wiring: Cable 4 Core</v>
      </c>
      <c r="AR533" s="2144"/>
      <c r="AS533" s="2144"/>
      <c r="AT533" s="2145"/>
      <c r="AU533" s="936"/>
      <c r="AV533" s="521"/>
      <c r="AW533" s="936"/>
      <c r="AX533" s="2143" t="str">
        <f>+AQ533</f>
        <v>Wiring: Cable 4 Core</v>
      </c>
      <c r="AY533" s="2144"/>
      <c r="AZ533" s="2144"/>
      <c r="BA533" s="2144"/>
      <c r="BB533" s="2144"/>
      <c r="BC533" s="2144"/>
      <c r="BD533" s="2145"/>
      <c r="BE533" s="370"/>
      <c r="BF533" s="524"/>
      <c r="BG533" s="370"/>
      <c r="BH533" s="2143" t="str">
        <f>+AX533</f>
        <v>Wiring: Cable 4 Core</v>
      </c>
      <c r="BI533" s="2144"/>
      <c r="BJ533" s="2144"/>
      <c r="BK533" s="2144"/>
      <c r="BL533" s="2144"/>
      <c r="BM533" s="2144"/>
      <c r="BN533" s="2144"/>
      <c r="BO533" s="2145"/>
      <c r="BP533" s="370"/>
      <c r="BQ533" s="1251"/>
      <c r="BR533" s="1252"/>
      <c r="BS533" s="1252"/>
      <c r="BT533" s="1252"/>
      <c r="BU533" s="1252"/>
      <c r="BV533" s="1252"/>
      <c r="BW533" s="1252"/>
      <c r="BX533" s="1253"/>
      <c r="BY533" s="370"/>
      <c r="BZ533" s="1251"/>
      <c r="CA533" s="1252"/>
      <c r="CB533" s="1252"/>
      <c r="CC533" s="1252"/>
      <c r="CD533" s="1252"/>
      <c r="CE533" s="1252"/>
      <c r="CF533" s="1252"/>
      <c r="CG533" s="1253"/>
      <c r="CH533" s="370"/>
      <c r="CI533" s="521"/>
    </row>
    <row r="534" spans="1:93" s="479" customFormat="1" ht="15">
      <c r="A534" s="370"/>
      <c r="B534" s="895" t="s">
        <v>1819</v>
      </c>
      <c r="C534" s="896" t="s">
        <v>1742</v>
      </c>
      <c r="D534" s="897"/>
      <c r="E534" s="898"/>
      <c r="F534" s="899"/>
      <c r="G534" s="899"/>
      <c r="H534" s="900"/>
      <c r="I534" s="901"/>
      <c r="J534" s="902"/>
      <c r="K534" s="898"/>
      <c r="L534" s="899"/>
      <c r="M534" s="903"/>
      <c r="N534" s="904"/>
      <c r="O534" s="898"/>
      <c r="P534" s="902"/>
      <c r="Q534" s="905"/>
      <c r="R534" s="903"/>
      <c r="S534" s="905"/>
      <c r="T534" s="906"/>
      <c r="U534" s="906"/>
      <c r="V534" s="907"/>
      <c r="W534" s="908"/>
      <c r="X534" s="909"/>
      <c r="Y534" s="1232"/>
      <c r="Z534" s="1069"/>
      <c r="AA534" s="911"/>
      <c r="AB534" s="747"/>
      <c r="AC534" s="912"/>
      <c r="AD534" s="912"/>
      <c r="AE534" s="912"/>
      <c r="AF534" s="913"/>
      <c r="AG534" s="370"/>
      <c r="AH534" s="521"/>
      <c r="AI534" s="824"/>
      <c r="AJ534" s="483">
        <f t="shared" si="582"/>
        <v>0</v>
      </c>
      <c r="AK534" s="522"/>
      <c r="AL534" s="401">
        <f t="shared" si="583"/>
        <v>0</v>
      </c>
      <c r="AM534" s="523"/>
      <c r="AN534" s="370"/>
      <c r="AO534" s="721"/>
      <c r="AP534" s="824"/>
      <c r="AQ534" s="1155" t="str">
        <f>+B534</f>
        <v>- Cable, Compressor: NYY 4C</v>
      </c>
      <c r="AR534" s="1070" t="s">
        <v>1743</v>
      </c>
      <c r="AS534" s="916" t="s">
        <v>732</v>
      </c>
      <c r="AT534" s="917" t="s">
        <v>1345</v>
      </c>
      <c r="AU534" s="370"/>
      <c r="AV534" s="830"/>
      <c r="AW534" s="370"/>
      <c r="AX534" s="918" t="s">
        <v>1494</v>
      </c>
      <c r="AY534" s="919" t="s">
        <v>1128</v>
      </c>
      <c r="AZ534" s="919" t="s">
        <v>1434</v>
      </c>
      <c r="BA534" s="919" t="s">
        <v>1347</v>
      </c>
      <c r="BB534" s="919" t="s">
        <v>1643</v>
      </c>
      <c r="BC534" s="1192"/>
      <c r="BD534" s="1193"/>
      <c r="BE534" s="370"/>
      <c r="BF534" s="524"/>
      <c r="BG534" s="370"/>
      <c r="BH534" s="918" t="s">
        <v>1745</v>
      </c>
      <c r="BI534" s="919" t="s">
        <v>1128</v>
      </c>
      <c r="BJ534" s="919" t="s">
        <v>164</v>
      </c>
      <c r="BK534" s="919" t="s">
        <v>1129</v>
      </c>
      <c r="BL534" s="919" t="s">
        <v>732</v>
      </c>
      <c r="BM534" s="1257">
        <v>14464</v>
      </c>
      <c r="BN534" s="1255" t="s">
        <v>733</v>
      </c>
      <c r="BO534" s="940"/>
      <c r="BP534" s="370"/>
      <c r="BQ534" s="918" t="s">
        <v>1746</v>
      </c>
      <c r="BR534" s="919" t="s">
        <v>1128</v>
      </c>
      <c r="BS534" s="919" t="s">
        <v>164</v>
      </c>
      <c r="BT534" s="919" t="s">
        <v>1129</v>
      </c>
      <c r="BU534" s="1256" t="s">
        <v>732</v>
      </c>
      <c r="BV534" s="1257">
        <v>14464</v>
      </c>
      <c r="BW534" s="1255" t="s">
        <v>733</v>
      </c>
      <c r="BX534" s="940"/>
      <c r="BY534" s="370"/>
      <c r="BZ534" s="918" t="s">
        <v>1747</v>
      </c>
      <c r="CA534" s="919" t="s">
        <v>1128</v>
      </c>
      <c r="CB534" s="919" t="s">
        <v>164</v>
      </c>
      <c r="CC534" s="919" t="s">
        <v>1129</v>
      </c>
      <c r="CD534" s="1256" t="s">
        <v>732</v>
      </c>
      <c r="CE534" s="1254">
        <v>14464</v>
      </c>
      <c r="CF534" s="1255" t="s">
        <v>733</v>
      </c>
      <c r="CG534" s="940"/>
      <c r="CH534" s="370"/>
      <c r="CI534" s="521"/>
    </row>
    <row r="535" spans="1:93" s="824" customFormat="1" ht="13.9" hidden="1" customHeight="1" outlineLevel="1">
      <c r="B535" s="921" t="str">
        <f t="shared" ref="B535:B538" si="584">"Cable, Compressor "&amp;AQ535&amp;": "&amp;AR535</f>
        <v>Cable, Compressor 7.5hp ZR94/H705: NYY 4C/1.50</v>
      </c>
      <c r="C535" s="922"/>
      <c r="D535" s="1239"/>
      <c r="E535" s="841"/>
      <c r="F535" s="809">
        <f t="shared" ref="F535:F538" si="585">+D$532+E$532/2+F$532/2</f>
        <v>1981.5</v>
      </c>
      <c r="G535" s="1233"/>
      <c r="H535" s="924" t="s">
        <v>1080</v>
      </c>
      <c r="I535" s="1234"/>
      <c r="J535" s="979"/>
      <c r="K535" s="1235"/>
      <c r="L535" s="1101">
        <f t="shared" ref="L535:L538" si="586">+F535</f>
        <v>1981.5</v>
      </c>
      <c r="M535" s="1236">
        <v>1</v>
      </c>
      <c r="N535" s="813">
        <f t="shared" ref="N535:N543" si="587">IF(I535&gt;0,22/28*((I535/1000)^2-(I535/1000-2*J535/1000)^2)*K535/1000,IF(J535&gt;0,J535/1000*K535/1000*L535/1000, IF(K535&gt;0,K535/1000*L535/1000, IF(L535=0,1,L535/1000))))</f>
        <v>1.9815</v>
      </c>
      <c r="O535" s="814">
        <v>1</v>
      </c>
      <c r="P535" s="811">
        <f t="shared" ref="P535:P543" si="588">M535*N535*O535</f>
        <v>1.9815</v>
      </c>
      <c r="Q535" s="815">
        <v>1</v>
      </c>
      <c r="R535" s="505">
        <f t="shared" ref="R535:R538" si="589">+R$532</f>
        <v>0</v>
      </c>
      <c r="S535" s="815">
        <f t="shared" si="563"/>
        <v>0</v>
      </c>
      <c r="T535" s="946" t="s">
        <v>115</v>
      </c>
      <c r="U535" s="946">
        <v>18900</v>
      </c>
      <c r="V535" s="927">
        <f t="shared" ref="V535:V543" si="590">1/VLOOKUP(T535,Y$12:Z$18,2,FALSE)</f>
        <v>6.8240753377917299E-5</v>
      </c>
      <c r="W535" s="935">
        <v>1</v>
      </c>
      <c r="X535" s="820">
        <v>0.27200000000000002</v>
      </c>
      <c r="Y535" s="1238">
        <f t="shared" ref="Y535:Y538" si="591">+P535*R535*AA535*X535</f>
        <v>0</v>
      </c>
      <c r="Z535" s="929">
        <f t="shared" ref="Z535:Z538" si="592">S535*U535*V535*W535</f>
        <v>0</v>
      </c>
      <c r="AA535" s="823">
        <v>1</v>
      </c>
      <c r="AB535" s="747"/>
      <c r="AC535" s="1103">
        <v>1</v>
      </c>
      <c r="AD535" s="1103"/>
      <c r="AE535" s="1103"/>
      <c r="AF535" s="825"/>
      <c r="AH535" s="827"/>
      <c r="AJ535" s="828">
        <f t="shared" si="582"/>
        <v>0</v>
      </c>
      <c r="AK535" s="862"/>
      <c r="AL535" s="828">
        <f t="shared" si="583"/>
        <v>0</v>
      </c>
      <c r="AM535" s="862"/>
      <c r="AO535" s="827"/>
      <c r="AQ535" s="930" t="s">
        <v>1748</v>
      </c>
      <c r="AR535" s="923" t="s">
        <v>1820</v>
      </c>
      <c r="AS535" s="1259">
        <v>2.1000000000000001E-2</v>
      </c>
      <c r="AT535" s="1194">
        <v>0.26963495575221241</v>
      </c>
      <c r="AU535" s="747"/>
      <c r="AV535" s="830"/>
      <c r="AW535" s="747"/>
      <c r="AX535" s="1195" t="s">
        <v>1821</v>
      </c>
      <c r="AY535" s="841">
        <v>14</v>
      </c>
      <c r="AZ535" s="841">
        <v>7.57</v>
      </c>
      <c r="BA535" s="841">
        <v>13.5</v>
      </c>
      <c r="BB535" s="1196">
        <v>10.9</v>
      </c>
      <c r="BC535" s="747"/>
      <c r="BD535" s="964"/>
      <c r="BF535" s="830"/>
      <c r="BH535" s="1260" t="s">
        <v>1751</v>
      </c>
      <c r="BI535" s="1090">
        <v>10.199999999999999</v>
      </c>
      <c r="BJ535" s="1261">
        <v>159</v>
      </c>
      <c r="BK535" s="1125">
        <v>360</v>
      </c>
      <c r="BL535" s="1091">
        <v>0.379</v>
      </c>
      <c r="BM535" s="1262">
        <f t="shared" ref="BM535" si="593">+BN535/BM$502</f>
        <v>0</v>
      </c>
      <c r="BN535" s="1263"/>
      <c r="BO535" s="1126"/>
      <c r="BQ535" s="1260" t="s">
        <v>1751</v>
      </c>
      <c r="BR535" s="1090">
        <v>13</v>
      </c>
      <c r="BS535" s="1261">
        <v>170</v>
      </c>
      <c r="BT535" s="1125">
        <v>160</v>
      </c>
      <c r="BU535" s="1091">
        <v>0.44500000000000001</v>
      </c>
      <c r="BV535" s="1262">
        <f t="shared" ref="BV535:BV538" si="594">+BW535/BV$502</f>
        <v>0</v>
      </c>
      <c r="BW535" s="1125"/>
      <c r="BX535" s="1126"/>
      <c r="BZ535" s="1260" t="s">
        <v>1751</v>
      </c>
      <c r="CA535" s="1090">
        <v>28</v>
      </c>
      <c r="CB535" s="1261">
        <v>130</v>
      </c>
      <c r="CC535" s="1125">
        <v>340</v>
      </c>
      <c r="CD535" s="1091">
        <v>1.6879999999999999</v>
      </c>
      <c r="CE535" s="1262">
        <f t="shared" ref="CE535:CE538" si="595">+CF535/CE$502</f>
        <v>0</v>
      </c>
      <c r="CF535" s="1263"/>
      <c r="CG535" s="1126"/>
      <c r="CI535" s="827"/>
    </row>
    <row r="536" spans="1:93" s="824" customFormat="1" ht="13.9" hidden="1" customHeight="1" outlineLevel="1">
      <c r="B536" s="921" t="str">
        <f t="shared" si="584"/>
        <v>Cable, Compressor 10.0hp ZR125/H1002: NYY 4C/2.50</v>
      </c>
      <c r="C536" s="922"/>
      <c r="D536" s="923"/>
      <c r="E536" s="841"/>
      <c r="F536" s="809">
        <f t="shared" si="585"/>
        <v>1981.5</v>
      </c>
      <c r="G536" s="1233"/>
      <c r="H536" s="924" t="s">
        <v>1080</v>
      </c>
      <c r="I536" s="1234"/>
      <c r="J536" s="979"/>
      <c r="K536" s="1235"/>
      <c r="L536" s="1101">
        <f t="shared" si="586"/>
        <v>1981.5</v>
      </c>
      <c r="M536" s="1236">
        <v>1</v>
      </c>
      <c r="N536" s="813">
        <f t="shared" si="587"/>
        <v>1.9815</v>
      </c>
      <c r="O536" s="814">
        <v>1</v>
      </c>
      <c r="P536" s="811">
        <f t="shared" si="588"/>
        <v>1.9815</v>
      </c>
      <c r="Q536" s="815">
        <v>1</v>
      </c>
      <c r="R536" s="505">
        <f t="shared" si="589"/>
        <v>0</v>
      </c>
      <c r="S536" s="815">
        <f t="shared" si="563"/>
        <v>0</v>
      </c>
      <c r="T536" s="946" t="s">
        <v>115</v>
      </c>
      <c r="U536" s="946">
        <v>18900</v>
      </c>
      <c r="V536" s="927">
        <f t="shared" si="590"/>
        <v>6.8240753377917299E-5</v>
      </c>
      <c r="W536" s="935">
        <v>1</v>
      </c>
      <c r="X536" s="820">
        <v>0.27200000000000002</v>
      </c>
      <c r="Y536" s="1238">
        <f t="shared" si="591"/>
        <v>0</v>
      </c>
      <c r="Z536" s="929">
        <f t="shared" si="592"/>
        <v>0</v>
      </c>
      <c r="AA536" s="823"/>
      <c r="AB536" s="747"/>
      <c r="AC536" s="1103"/>
      <c r="AD536" s="1103">
        <v>1</v>
      </c>
      <c r="AE536" s="1103"/>
      <c r="AF536" s="825"/>
      <c r="AH536" s="827"/>
      <c r="AJ536" s="828">
        <f t="shared" si="582"/>
        <v>0</v>
      </c>
      <c r="AK536" s="862"/>
      <c r="AL536" s="828">
        <f t="shared" si="583"/>
        <v>0</v>
      </c>
      <c r="AM536" s="862"/>
      <c r="AO536" s="827"/>
      <c r="AQ536" s="930" t="s">
        <v>1752</v>
      </c>
      <c r="AR536" s="923" t="s">
        <v>1822</v>
      </c>
      <c r="AS536" s="1259">
        <v>3.4000000000000002E-2</v>
      </c>
      <c r="AT536" s="1194">
        <v>0.46321902654867259</v>
      </c>
      <c r="AU536" s="747"/>
      <c r="AV536" s="830"/>
      <c r="AW536" s="747"/>
      <c r="AX536" s="1195" t="s">
        <v>1823</v>
      </c>
      <c r="AY536" s="841">
        <v>15</v>
      </c>
      <c r="AZ536" s="841">
        <v>11.31</v>
      </c>
      <c r="BA536" s="841">
        <v>19</v>
      </c>
      <c r="BB536" s="1196">
        <v>16.3</v>
      </c>
      <c r="BC536" s="747"/>
      <c r="BD536" s="964"/>
      <c r="BF536" s="830"/>
      <c r="BH536" s="1264"/>
      <c r="BI536" s="1265"/>
      <c r="BJ536" s="1266"/>
      <c r="BK536" s="1166"/>
      <c r="BL536" s="1163"/>
      <c r="BM536" s="1267"/>
      <c r="BN536" s="1268"/>
      <c r="BO536" s="1269"/>
      <c r="BQ536" s="1264" t="s">
        <v>1755</v>
      </c>
      <c r="BR536" s="1265"/>
      <c r="BS536" s="1265"/>
      <c r="BT536" s="1166"/>
      <c r="BU536" s="1163"/>
      <c r="BV536" s="1268">
        <f t="shared" si="594"/>
        <v>0</v>
      </c>
      <c r="BW536" s="1270"/>
      <c r="BX536" s="1269"/>
      <c r="BZ536" s="1264" t="s">
        <v>1755</v>
      </c>
      <c r="CA536" s="1265"/>
      <c r="CB536" s="1266"/>
      <c r="CC536" s="1166"/>
      <c r="CD536" s="1163"/>
      <c r="CE536" s="1268">
        <f t="shared" si="595"/>
        <v>0</v>
      </c>
      <c r="CF536" s="1270"/>
      <c r="CG536" s="1269"/>
      <c r="CI536" s="827"/>
    </row>
    <row r="537" spans="1:93" s="824" customFormat="1" ht="13.9" hidden="1" customHeight="1" outlineLevel="1">
      <c r="B537" s="921" t="str">
        <f t="shared" si="584"/>
        <v>Cable, Compressor 12.5hp ZR144H1201: NYY 4C/2.50</v>
      </c>
      <c r="C537" s="922"/>
      <c r="D537" s="923"/>
      <c r="E537" s="841"/>
      <c r="F537" s="809">
        <f t="shared" si="585"/>
        <v>1981.5</v>
      </c>
      <c r="G537" s="1233"/>
      <c r="H537" s="924" t="s">
        <v>1080</v>
      </c>
      <c r="I537" s="1234"/>
      <c r="J537" s="979"/>
      <c r="K537" s="1235"/>
      <c r="L537" s="1101">
        <f t="shared" si="586"/>
        <v>1981.5</v>
      </c>
      <c r="M537" s="1236">
        <v>1</v>
      </c>
      <c r="N537" s="813">
        <f t="shared" si="587"/>
        <v>1.9815</v>
      </c>
      <c r="O537" s="814">
        <v>1</v>
      </c>
      <c r="P537" s="811">
        <f t="shared" si="588"/>
        <v>1.9815</v>
      </c>
      <c r="Q537" s="815">
        <v>1</v>
      </c>
      <c r="R537" s="505">
        <f t="shared" si="589"/>
        <v>0</v>
      </c>
      <c r="S537" s="815">
        <f t="shared" si="563"/>
        <v>0</v>
      </c>
      <c r="T537" s="946" t="s">
        <v>115</v>
      </c>
      <c r="U537" s="946">
        <v>18900</v>
      </c>
      <c r="V537" s="927">
        <f t="shared" si="590"/>
        <v>6.8240753377917299E-5</v>
      </c>
      <c r="W537" s="935">
        <v>1</v>
      </c>
      <c r="X537" s="820">
        <v>0.27200000000000002</v>
      </c>
      <c r="Y537" s="1238">
        <f t="shared" si="591"/>
        <v>0</v>
      </c>
      <c r="Z537" s="929">
        <f t="shared" si="592"/>
        <v>0</v>
      </c>
      <c r="AA537" s="823"/>
      <c r="AB537" s="747"/>
      <c r="AC537" s="1103"/>
      <c r="AD537" s="1103"/>
      <c r="AE537" s="1103">
        <v>1</v>
      </c>
      <c r="AF537" s="825"/>
      <c r="AH537" s="827"/>
      <c r="AJ537" s="828">
        <f t="shared" si="582"/>
        <v>0</v>
      </c>
      <c r="AK537" s="862"/>
      <c r="AL537" s="828">
        <f t="shared" si="583"/>
        <v>0</v>
      </c>
      <c r="AM537" s="862"/>
      <c r="AO537" s="827"/>
      <c r="AQ537" s="930" t="s">
        <v>1756</v>
      </c>
      <c r="AR537" s="923" t="s">
        <v>1822</v>
      </c>
      <c r="AS537" s="1259">
        <v>3.4000000000000002E-2</v>
      </c>
      <c r="AT537" s="1194">
        <v>0.46321902654867259</v>
      </c>
      <c r="AU537" s="747"/>
      <c r="AV537" s="830"/>
      <c r="AW537" s="747"/>
      <c r="AX537" s="1195" t="s">
        <v>1823</v>
      </c>
      <c r="AY537" s="841">
        <v>15</v>
      </c>
      <c r="AZ537" s="841">
        <v>11.86</v>
      </c>
      <c r="BA537" s="841">
        <v>20.399999999999999</v>
      </c>
      <c r="BB537" s="1196">
        <v>17.100000000000001</v>
      </c>
      <c r="BC537" s="747"/>
      <c r="BD537" s="964"/>
      <c r="BF537" s="830"/>
      <c r="BH537" s="1129"/>
      <c r="BI537" s="1095"/>
      <c r="BJ537" s="1271"/>
      <c r="BK537" s="1109"/>
      <c r="BL537" s="1096"/>
      <c r="BM537" s="1197"/>
      <c r="BN537" s="1272"/>
      <c r="BO537" s="1152"/>
      <c r="BQ537" s="1129" t="s">
        <v>1757</v>
      </c>
      <c r="BR537" s="1095"/>
      <c r="BS537" s="1095"/>
      <c r="BT537" s="1109"/>
      <c r="BU537" s="1096"/>
      <c r="BV537" s="1272">
        <f t="shared" si="594"/>
        <v>0</v>
      </c>
      <c r="BW537" s="1273"/>
      <c r="BX537" s="1152"/>
      <c r="BZ537" s="1129" t="s">
        <v>1757</v>
      </c>
      <c r="CA537" s="1095"/>
      <c r="CB537" s="1271"/>
      <c r="CC537" s="1109"/>
      <c r="CD537" s="1096"/>
      <c r="CE537" s="1272">
        <f t="shared" si="595"/>
        <v>0</v>
      </c>
      <c r="CF537" s="1273"/>
      <c r="CG537" s="1152"/>
      <c r="CI537" s="827"/>
    </row>
    <row r="538" spans="1:93" s="824" customFormat="1" ht="13.9" hidden="1" customHeight="1" outlineLevel="1">
      <c r="B538" s="921" t="str">
        <f t="shared" si="584"/>
        <v>Cable, Compressor 15.0hp ZR190/H2001: NYY 4C/4.00</v>
      </c>
      <c r="C538" s="922"/>
      <c r="D538" s="923"/>
      <c r="E538" s="841"/>
      <c r="F538" s="809">
        <f t="shared" si="585"/>
        <v>1981.5</v>
      </c>
      <c r="G538" s="1233"/>
      <c r="H538" s="924" t="s">
        <v>1080</v>
      </c>
      <c r="I538" s="1234"/>
      <c r="J538" s="979"/>
      <c r="K538" s="1235"/>
      <c r="L538" s="1101">
        <f t="shared" si="586"/>
        <v>1981.5</v>
      </c>
      <c r="M538" s="1236">
        <v>1</v>
      </c>
      <c r="N538" s="813">
        <f>IF(I538&gt;0,22/28*((I538/1000)^2-(I538/1000-2*J538/1000)^2)*K538/1000,IF(J538&gt;0,J538/1000*K538/1000*L538/1000, IF(K538&gt;0,K538/1000*L538/1000, IF(L538=0,1,L538/1000))))</f>
        <v>1.9815</v>
      </c>
      <c r="O538" s="814">
        <v>1</v>
      </c>
      <c r="P538" s="811">
        <f t="shared" si="588"/>
        <v>1.9815</v>
      </c>
      <c r="Q538" s="815">
        <v>1</v>
      </c>
      <c r="R538" s="505">
        <f t="shared" si="589"/>
        <v>0</v>
      </c>
      <c r="S538" s="815">
        <f t="shared" si="563"/>
        <v>0</v>
      </c>
      <c r="T538" s="946" t="s">
        <v>115</v>
      </c>
      <c r="U538" s="946">
        <v>18900</v>
      </c>
      <c r="V538" s="927">
        <f>1/VLOOKUP(T538,Y$12:Z$18,2,FALSE)</f>
        <v>6.8240753377917299E-5</v>
      </c>
      <c r="W538" s="935">
        <v>1</v>
      </c>
      <c r="X538" s="820">
        <v>0.27200000000000002</v>
      </c>
      <c r="Y538" s="1238">
        <f t="shared" si="591"/>
        <v>0</v>
      </c>
      <c r="Z538" s="929">
        <f t="shared" si="592"/>
        <v>0</v>
      </c>
      <c r="AA538" s="823"/>
      <c r="AB538" s="747"/>
      <c r="AC538" s="1103"/>
      <c r="AD538" s="1103"/>
      <c r="AE538" s="1103"/>
      <c r="AF538" s="825">
        <v>1</v>
      </c>
      <c r="AH538" s="827"/>
      <c r="AJ538" s="828">
        <f t="shared" si="582"/>
        <v>0</v>
      </c>
      <c r="AK538" s="862"/>
      <c r="AL538" s="828">
        <f t="shared" si="583"/>
        <v>0</v>
      </c>
      <c r="AM538" s="862"/>
      <c r="AO538" s="827"/>
      <c r="AQ538" s="930" t="s">
        <v>1758</v>
      </c>
      <c r="AR538" s="923" t="s">
        <v>1824</v>
      </c>
      <c r="AS538" s="1259">
        <v>5.0999999999999997E-2</v>
      </c>
      <c r="AT538" s="1194">
        <v>0.72594026548672563</v>
      </c>
      <c r="AU538" s="747"/>
      <c r="AV538" s="830"/>
      <c r="AW538" s="747"/>
      <c r="AX538" s="1195" t="s">
        <v>1825</v>
      </c>
      <c r="AY538" s="841">
        <v>18</v>
      </c>
      <c r="AZ538" s="841">
        <v>15.93</v>
      </c>
      <c r="BA538" s="841">
        <v>28.3</v>
      </c>
      <c r="BB538" s="1196">
        <v>23</v>
      </c>
      <c r="BC538" s="747"/>
      <c r="BD538" s="964"/>
      <c r="BF538" s="830"/>
      <c r="BH538" s="1129"/>
      <c r="BI538" s="1095"/>
      <c r="BJ538" s="1271"/>
      <c r="BK538" s="1109"/>
      <c r="BL538" s="1096"/>
      <c r="BM538" s="1197"/>
      <c r="BN538" s="1272"/>
      <c r="BO538" s="1112"/>
      <c r="BQ538" s="1129" t="s">
        <v>1761</v>
      </c>
      <c r="BR538" s="1095">
        <v>14</v>
      </c>
      <c r="BS538" s="1271">
        <v>36</v>
      </c>
      <c r="BT538" s="1109">
        <v>170</v>
      </c>
      <c r="BU538" s="1096">
        <v>0.25900000000000001</v>
      </c>
      <c r="BV538" s="1272">
        <f t="shared" si="594"/>
        <v>0</v>
      </c>
      <c r="BW538" s="1273"/>
      <c r="BX538" s="1112"/>
      <c r="BZ538" s="1129" t="s">
        <v>1761</v>
      </c>
      <c r="CA538" s="1095">
        <v>15</v>
      </c>
      <c r="CB538" s="1271">
        <v>25</v>
      </c>
      <c r="CC538" s="1109">
        <v>180</v>
      </c>
      <c r="CD538" s="1096">
        <v>0.34300000000000003</v>
      </c>
      <c r="CE538" s="1262">
        <f t="shared" si="595"/>
        <v>2.0326327433628317</v>
      </c>
      <c r="CF538" s="1273">
        <v>29400</v>
      </c>
      <c r="CG538" s="1112"/>
      <c r="CI538" s="827"/>
    </row>
    <row r="539" spans="1:93" s="479" customFormat="1" ht="15" collapsed="1">
      <c r="A539" s="370"/>
      <c r="B539" s="895" t="s">
        <v>1826</v>
      </c>
      <c r="C539" s="896"/>
      <c r="D539" s="897"/>
      <c r="E539" s="898"/>
      <c r="F539" s="899"/>
      <c r="G539" s="899"/>
      <c r="H539" s="900"/>
      <c r="I539" s="901"/>
      <c r="J539" s="902"/>
      <c r="K539" s="898"/>
      <c r="L539" s="899"/>
      <c r="M539" s="903"/>
      <c r="N539" s="904"/>
      <c r="O539" s="898"/>
      <c r="P539" s="902"/>
      <c r="Q539" s="905"/>
      <c r="R539" s="903"/>
      <c r="S539" s="905"/>
      <c r="T539" s="906"/>
      <c r="U539" s="906"/>
      <c r="V539" s="907"/>
      <c r="W539" s="908"/>
      <c r="X539" s="909"/>
      <c r="Y539" s="1232"/>
      <c r="Z539" s="1069"/>
      <c r="AA539" s="911"/>
      <c r="AB539" s="747"/>
      <c r="AC539" s="912"/>
      <c r="AD539" s="912"/>
      <c r="AE539" s="912"/>
      <c r="AF539" s="913"/>
      <c r="AG539" s="370"/>
      <c r="AH539" s="521"/>
      <c r="AI539" s="824"/>
      <c r="AJ539" s="483">
        <f t="shared" si="582"/>
        <v>0</v>
      </c>
      <c r="AK539" s="522"/>
      <c r="AL539" s="401">
        <f t="shared" si="583"/>
        <v>0</v>
      </c>
      <c r="AM539" s="523"/>
      <c r="AN539" s="370"/>
      <c r="AO539" s="721"/>
      <c r="AP539" s="824"/>
      <c r="AQ539" s="1155" t="str">
        <f>+B539</f>
        <v>- Cable Gland, Compressor: NYY 4C</v>
      </c>
      <c r="AR539" s="1070" t="s">
        <v>1827</v>
      </c>
      <c r="AS539" s="916" t="s">
        <v>97</v>
      </c>
      <c r="AT539" s="917" t="s">
        <v>1345</v>
      </c>
      <c r="AU539" s="370"/>
      <c r="AV539" s="830"/>
      <c r="AW539" s="370"/>
      <c r="AX539" s="918" t="s">
        <v>1494</v>
      </c>
      <c r="AY539" s="919" t="s">
        <v>1128</v>
      </c>
      <c r="AZ539" s="919" t="s">
        <v>1434</v>
      </c>
      <c r="BA539" s="919" t="s">
        <v>1347</v>
      </c>
      <c r="BB539" s="919" t="s">
        <v>1643</v>
      </c>
      <c r="BC539" s="1192"/>
      <c r="BD539" s="1193"/>
      <c r="BE539" s="370"/>
      <c r="BF539" s="524"/>
      <c r="BG539" s="370"/>
      <c r="BH539" s="918" t="s">
        <v>1827</v>
      </c>
      <c r="BI539" s="919" t="s">
        <v>1128</v>
      </c>
      <c r="BJ539" s="919" t="s">
        <v>1651</v>
      </c>
      <c r="BK539" s="919" t="s">
        <v>164</v>
      </c>
      <c r="BL539" s="919" t="s">
        <v>732</v>
      </c>
      <c r="BM539" s="1254">
        <v>14464</v>
      </c>
      <c r="BN539" s="1255" t="s">
        <v>733</v>
      </c>
      <c r="BO539" s="940"/>
      <c r="BP539" s="370"/>
      <c r="BQ539" s="918" t="s">
        <v>1746</v>
      </c>
      <c r="BR539" s="919" t="s">
        <v>1128</v>
      </c>
      <c r="BS539" s="919" t="s">
        <v>164</v>
      </c>
      <c r="BT539" s="919" t="s">
        <v>1129</v>
      </c>
      <c r="BU539" s="1256" t="s">
        <v>732</v>
      </c>
      <c r="BV539" s="1257">
        <v>14464</v>
      </c>
      <c r="BW539" s="1255" t="s">
        <v>733</v>
      </c>
      <c r="BX539" s="940"/>
      <c r="BY539" s="370"/>
      <c r="BZ539" s="918" t="s">
        <v>1747</v>
      </c>
      <c r="CA539" s="919" t="s">
        <v>1128</v>
      </c>
      <c r="CB539" s="919" t="s">
        <v>164</v>
      </c>
      <c r="CC539" s="919" t="s">
        <v>1129</v>
      </c>
      <c r="CD539" s="1256" t="s">
        <v>732</v>
      </c>
      <c r="CE539" s="1254">
        <v>14464</v>
      </c>
      <c r="CF539" s="1255" t="s">
        <v>733</v>
      </c>
      <c r="CG539" s="940"/>
      <c r="CH539" s="370"/>
      <c r="CI539" s="521"/>
      <c r="CK539" s="936"/>
      <c r="CL539" s="936"/>
    </row>
    <row r="540" spans="1:93" s="824" customFormat="1" ht="13.9" hidden="1" customHeight="1" outlineLevel="1">
      <c r="B540" s="1231" t="str">
        <f t="shared" ref="B540:B543" si="596">"Cable Gland "&amp;AQ540&amp;": "&amp;AR540</f>
        <v>Cable Gland 7.5hp ZR94/H705 NYY 4C/1.50: EG-16</v>
      </c>
      <c r="C540" s="922"/>
      <c r="D540" s="1239"/>
      <c r="E540" s="1235"/>
      <c r="F540" s="1233"/>
      <c r="G540" s="1233"/>
      <c r="H540" s="924" t="s">
        <v>100</v>
      </c>
      <c r="I540" s="1234"/>
      <c r="J540" s="979"/>
      <c r="K540" s="1235"/>
      <c r="L540" s="1233"/>
      <c r="M540" s="1236">
        <v>1</v>
      </c>
      <c r="N540" s="813">
        <f t="shared" si="587"/>
        <v>1</v>
      </c>
      <c r="O540" s="814">
        <v>2</v>
      </c>
      <c r="P540" s="811">
        <f t="shared" si="588"/>
        <v>2</v>
      </c>
      <c r="Q540" s="815">
        <v>1</v>
      </c>
      <c r="R540" s="505">
        <f t="shared" ref="R540:R543" si="597">+R$532</f>
        <v>0</v>
      </c>
      <c r="S540" s="815">
        <f t="shared" ref="S540:S603" si="598">P540*AA540*Q540*R540</f>
        <v>0</v>
      </c>
      <c r="T540" s="946" t="s">
        <v>115</v>
      </c>
      <c r="U540" s="946">
        <v>5300</v>
      </c>
      <c r="V540" s="927">
        <f t="shared" si="590"/>
        <v>6.8240753377917299E-5</v>
      </c>
      <c r="W540" s="935">
        <v>1</v>
      </c>
      <c r="X540" s="820">
        <v>0.15</v>
      </c>
      <c r="Y540" s="1238">
        <f t="shared" ref="Y540:Y543" si="599">+P540*R540*AA540*X540</f>
        <v>0</v>
      </c>
      <c r="Z540" s="929">
        <f t="shared" ref="Z540:Z543" si="600">S540*U540*V540*W540</f>
        <v>0</v>
      </c>
      <c r="AA540" s="823">
        <v>1</v>
      </c>
      <c r="AB540" s="747"/>
      <c r="AC540" s="1103">
        <v>1</v>
      </c>
      <c r="AD540" s="1103"/>
      <c r="AE540" s="1103"/>
      <c r="AF540" s="825"/>
      <c r="AH540" s="827"/>
      <c r="AJ540" s="828">
        <f t="shared" si="582"/>
        <v>0</v>
      </c>
      <c r="AK540" s="862"/>
      <c r="AL540" s="828">
        <f t="shared" si="583"/>
        <v>0</v>
      </c>
      <c r="AM540" s="862"/>
      <c r="AO540" s="827"/>
      <c r="AP540" s="747"/>
      <c r="AQ540" s="930" t="s">
        <v>1828</v>
      </c>
      <c r="AR540" s="923" t="s">
        <v>1829</v>
      </c>
      <c r="AS540" s="932"/>
      <c r="AT540" s="1303">
        <v>2000</v>
      </c>
      <c r="AU540" s="747"/>
      <c r="AV540" s="827"/>
      <c r="AW540" s="747"/>
      <c r="AX540" s="1195" t="s">
        <v>1821</v>
      </c>
      <c r="AY540" s="841">
        <v>14</v>
      </c>
      <c r="AZ540" s="841">
        <v>7.57</v>
      </c>
      <c r="BA540" s="841">
        <v>13.5</v>
      </c>
      <c r="BB540" s="1196">
        <v>10.9</v>
      </c>
      <c r="BC540" s="747"/>
      <c r="BD540" s="964"/>
      <c r="BF540" s="830"/>
      <c r="BH540" s="1129" t="s">
        <v>1830</v>
      </c>
      <c r="BI540" s="1095">
        <v>35.5</v>
      </c>
      <c r="BJ540" s="1095" t="s">
        <v>1831</v>
      </c>
      <c r="BK540" s="1095">
        <v>47</v>
      </c>
      <c r="BL540" s="1109"/>
      <c r="BM540" s="1272">
        <f t="shared" ref="BM540:BM541" si="601">+BN540/BM$539</f>
        <v>0.64988938053097345</v>
      </c>
      <c r="BN540" s="1304">
        <v>9400</v>
      </c>
      <c r="BO540" s="1294"/>
      <c r="BQ540" s="1305" t="s">
        <v>1832</v>
      </c>
      <c r="BR540" s="1064">
        <v>25</v>
      </c>
      <c r="BS540" s="1064">
        <v>15</v>
      </c>
      <c r="BT540" s="1306" t="s">
        <v>1833</v>
      </c>
      <c r="BU540" s="747"/>
      <c r="BV540" s="1307">
        <v>2600</v>
      </c>
      <c r="CI540" s="827"/>
    </row>
    <row r="541" spans="1:93" s="824" customFormat="1" ht="13.9" hidden="1" customHeight="1" outlineLevel="1">
      <c r="B541" s="1231" t="str">
        <f t="shared" si="596"/>
        <v>Cable Gland 10.0hp ZR125/H1002 NYY 4C/2.50: EG-19</v>
      </c>
      <c r="C541" s="922"/>
      <c r="D541" s="1239"/>
      <c r="E541" s="1235"/>
      <c r="F541" s="1233"/>
      <c r="G541" s="1233"/>
      <c r="H541" s="924" t="s">
        <v>100</v>
      </c>
      <c r="I541" s="1234"/>
      <c r="J541" s="979"/>
      <c r="K541" s="1235"/>
      <c r="L541" s="1233"/>
      <c r="M541" s="1236">
        <v>1</v>
      </c>
      <c r="N541" s="813">
        <f t="shared" si="587"/>
        <v>1</v>
      </c>
      <c r="O541" s="814">
        <v>2</v>
      </c>
      <c r="P541" s="811">
        <f t="shared" si="588"/>
        <v>2</v>
      </c>
      <c r="Q541" s="815">
        <v>1</v>
      </c>
      <c r="R541" s="505">
        <f t="shared" si="597"/>
        <v>0</v>
      </c>
      <c r="S541" s="815">
        <f t="shared" si="598"/>
        <v>0</v>
      </c>
      <c r="T541" s="946" t="s">
        <v>115</v>
      </c>
      <c r="U541" s="946">
        <v>3800</v>
      </c>
      <c r="V541" s="927">
        <f t="shared" si="590"/>
        <v>6.8240753377917299E-5</v>
      </c>
      <c r="W541" s="935">
        <v>1</v>
      </c>
      <c r="X541" s="820">
        <v>0.15</v>
      </c>
      <c r="Y541" s="1238">
        <f t="shared" si="599"/>
        <v>0</v>
      </c>
      <c r="Z541" s="929">
        <f t="shared" si="600"/>
        <v>0</v>
      </c>
      <c r="AA541" s="823"/>
      <c r="AB541" s="747"/>
      <c r="AC541" s="1103"/>
      <c r="AD541" s="1103">
        <v>1</v>
      </c>
      <c r="AE541" s="1103"/>
      <c r="AF541" s="825"/>
      <c r="AH541" s="827"/>
      <c r="AJ541" s="828">
        <f t="shared" si="582"/>
        <v>0</v>
      </c>
      <c r="AK541" s="862"/>
      <c r="AL541" s="828">
        <f t="shared" si="583"/>
        <v>0</v>
      </c>
      <c r="AM541" s="862"/>
      <c r="AO541" s="827"/>
      <c r="AP541" s="747"/>
      <c r="AQ541" s="930" t="s">
        <v>1834</v>
      </c>
      <c r="AR541" s="923" t="s">
        <v>1832</v>
      </c>
      <c r="AS541" s="932"/>
      <c r="AT541" s="1303">
        <v>2600</v>
      </c>
      <c r="AU541" s="747"/>
      <c r="AV541" s="827"/>
      <c r="AW541" s="747"/>
      <c r="AX541" s="1195" t="s">
        <v>1823</v>
      </c>
      <c r="AY541" s="841">
        <v>15</v>
      </c>
      <c r="AZ541" s="841">
        <v>11.31</v>
      </c>
      <c r="BA541" s="841">
        <v>19</v>
      </c>
      <c r="BB541" s="1196">
        <v>16.3</v>
      </c>
      <c r="BC541" s="747"/>
      <c r="BD541" s="964"/>
      <c r="BF541" s="830"/>
      <c r="BH541" s="1129" t="s">
        <v>1835</v>
      </c>
      <c r="BI541" s="1095">
        <v>46</v>
      </c>
      <c r="BJ541" s="1095" t="s">
        <v>1836</v>
      </c>
      <c r="BK541" s="1095">
        <v>59.3</v>
      </c>
      <c r="BL541" s="1109"/>
      <c r="BM541" s="1272">
        <f t="shared" si="601"/>
        <v>1.1753318584070795</v>
      </c>
      <c r="BN541" s="1304">
        <v>17000</v>
      </c>
      <c r="BO541" s="1294"/>
      <c r="BQ541" s="1308" t="s">
        <v>1837</v>
      </c>
      <c r="BR541" s="1309">
        <v>12.5</v>
      </c>
      <c r="BS541" s="1309">
        <v>6.9</v>
      </c>
      <c r="BT541" s="1310" t="s">
        <v>1838</v>
      </c>
      <c r="BU541" s="966"/>
      <c r="BV541" s="1307">
        <v>1200</v>
      </c>
      <c r="CI541" s="827"/>
    </row>
    <row r="542" spans="1:93" s="824" customFormat="1" ht="13.9" hidden="1" customHeight="1" outlineLevel="1">
      <c r="B542" s="1231" t="str">
        <f t="shared" si="596"/>
        <v>Cable Gland 12.5hp ZR144H1201 NYY 4C/2.50: EG-19</v>
      </c>
      <c r="C542" s="922"/>
      <c r="D542" s="1239"/>
      <c r="E542" s="1235"/>
      <c r="F542" s="1233"/>
      <c r="G542" s="1233"/>
      <c r="H542" s="924" t="s">
        <v>100</v>
      </c>
      <c r="I542" s="1234"/>
      <c r="J542" s="979"/>
      <c r="K542" s="1235"/>
      <c r="L542" s="1233"/>
      <c r="M542" s="1236">
        <v>1</v>
      </c>
      <c r="N542" s="813">
        <f t="shared" si="587"/>
        <v>1</v>
      </c>
      <c r="O542" s="814">
        <v>2</v>
      </c>
      <c r="P542" s="811">
        <f t="shared" si="588"/>
        <v>2</v>
      </c>
      <c r="Q542" s="815">
        <v>1</v>
      </c>
      <c r="R542" s="505">
        <f t="shared" si="597"/>
        <v>0</v>
      </c>
      <c r="S542" s="815">
        <f t="shared" si="598"/>
        <v>0</v>
      </c>
      <c r="T542" s="946" t="s">
        <v>115</v>
      </c>
      <c r="U542" s="946">
        <v>3800</v>
      </c>
      <c r="V542" s="927">
        <f t="shared" si="590"/>
        <v>6.8240753377917299E-5</v>
      </c>
      <c r="W542" s="935">
        <v>1</v>
      </c>
      <c r="X542" s="820">
        <v>0.15</v>
      </c>
      <c r="Y542" s="1238">
        <f t="shared" si="599"/>
        <v>0</v>
      </c>
      <c r="Z542" s="929">
        <f t="shared" si="600"/>
        <v>0</v>
      </c>
      <c r="AA542" s="823"/>
      <c r="AB542" s="747"/>
      <c r="AC542" s="1103"/>
      <c r="AD542" s="1103"/>
      <c r="AE542" s="1103">
        <v>1</v>
      </c>
      <c r="AF542" s="825"/>
      <c r="AH542" s="827"/>
      <c r="AJ542" s="828">
        <f t="shared" si="582"/>
        <v>0</v>
      </c>
      <c r="AK542" s="862"/>
      <c r="AL542" s="828">
        <f t="shared" si="583"/>
        <v>0</v>
      </c>
      <c r="AM542" s="862"/>
      <c r="AO542" s="827"/>
      <c r="AP542" s="747"/>
      <c r="AQ542" s="930" t="s">
        <v>1839</v>
      </c>
      <c r="AR542" s="923" t="s">
        <v>1832</v>
      </c>
      <c r="AS542" s="932"/>
      <c r="AT542" s="1303">
        <v>2600</v>
      </c>
      <c r="AU542" s="747"/>
      <c r="AV542" s="827"/>
      <c r="AW542" s="747"/>
      <c r="AX542" s="1195" t="s">
        <v>1823</v>
      </c>
      <c r="AY542" s="841">
        <v>15</v>
      </c>
      <c r="AZ542" s="841">
        <v>11.86</v>
      </c>
      <c r="BA542" s="841">
        <v>20.399999999999999</v>
      </c>
      <c r="BB542" s="1196">
        <v>17.100000000000001</v>
      </c>
      <c r="BC542" s="747"/>
      <c r="BD542" s="964"/>
      <c r="BF542" s="830"/>
      <c r="BH542" s="1154"/>
      <c r="BI542" s="1198"/>
      <c r="BJ542" s="1109"/>
      <c r="BK542" s="1109"/>
      <c r="BL542" s="1109"/>
      <c r="BM542" s="1109"/>
      <c r="BN542" s="1293"/>
      <c r="BO542" s="1294"/>
      <c r="BQ542" s="1305" t="s">
        <v>1840</v>
      </c>
      <c r="BR542" s="1064">
        <v>15.2</v>
      </c>
      <c r="BS542" s="1064">
        <v>8</v>
      </c>
      <c r="BT542" s="1064" t="s">
        <v>1841</v>
      </c>
      <c r="BU542" s="747"/>
      <c r="BV542" s="1307">
        <v>1300</v>
      </c>
      <c r="CI542" s="827"/>
    </row>
    <row r="543" spans="1:93" s="824" customFormat="1" ht="13.9" hidden="1" customHeight="1" outlineLevel="1">
      <c r="B543" s="1231" t="str">
        <f t="shared" si="596"/>
        <v>Cable Gland 15.0hp ZR190/H2001 NYY 4C/4.0: EG-21</v>
      </c>
      <c r="C543" s="922"/>
      <c r="D543" s="1239"/>
      <c r="E543" s="1235"/>
      <c r="F543" s="1233"/>
      <c r="G543" s="1233"/>
      <c r="H543" s="924" t="s">
        <v>100</v>
      </c>
      <c r="I543" s="1234"/>
      <c r="J543" s="979"/>
      <c r="K543" s="1235"/>
      <c r="L543" s="1233"/>
      <c r="M543" s="1236">
        <v>1</v>
      </c>
      <c r="N543" s="813">
        <f t="shared" si="587"/>
        <v>1</v>
      </c>
      <c r="O543" s="814">
        <v>2</v>
      </c>
      <c r="P543" s="811">
        <f t="shared" si="588"/>
        <v>2</v>
      </c>
      <c r="Q543" s="815">
        <v>1</v>
      </c>
      <c r="R543" s="505">
        <f t="shared" si="597"/>
        <v>0</v>
      </c>
      <c r="S543" s="815">
        <f t="shared" si="598"/>
        <v>0</v>
      </c>
      <c r="T543" s="946" t="s">
        <v>115</v>
      </c>
      <c r="U543" s="946">
        <v>3800</v>
      </c>
      <c r="V543" s="927">
        <f t="shared" si="590"/>
        <v>6.8240753377917299E-5</v>
      </c>
      <c r="W543" s="935">
        <v>1</v>
      </c>
      <c r="X543" s="820">
        <v>0.15</v>
      </c>
      <c r="Y543" s="1238">
        <f t="shared" si="599"/>
        <v>0</v>
      </c>
      <c r="Z543" s="929">
        <f t="shared" si="600"/>
        <v>0</v>
      </c>
      <c r="AA543" s="823"/>
      <c r="AB543" s="747"/>
      <c r="AC543" s="1103"/>
      <c r="AD543" s="1103"/>
      <c r="AE543" s="1103"/>
      <c r="AF543" s="825">
        <v>1</v>
      </c>
      <c r="AH543" s="827"/>
      <c r="AJ543" s="828">
        <f t="shared" si="582"/>
        <v>0</v>
      </c>
      <c r="AK543" s="862"/>
      <c r="AL543" s="828">
        <f t="shared" si="583"/>
        <v>0</v>
      </c>
      <c r="AM543" s="862"/>
      <c r="AO543" s="827"/>
      <c r="AP543" s="747"/>
      <c r="AQ543" s="930" t="s">
        <v>1842</v>
      </c>
      <c r="AR543" s="923" t="s">
        <v>1843</v>
      </c>
      <c r="AS543" s="932"/>
      <c r="AT543" s="1303">
        <v>3800</v>
      </c>
      <c r="AU543" s="747"/>
      <c r="AV543" s="827"/>
      <c r="AW543" s="747"/>
      <c r="AX543" s="1195" t="s">
        <v>1825</v>
      </c>
      <c r="AY543" s="841">
        <v>18</v>
      </c>
      <c r="AZ543" s="841">
        <v>15.93</v>
      </c>
      <c r="BA543" s="841">
        <v>28.3</v>
      </c>
      <c r="BB543" s="1196">
        <v>23</v>
      </c>
      <c r="BC543" s="747"/>
      <c r="BD543" s="964"/>
      <c r="BF543" s="830"/>
      <c r="BH543" s="1154"/>
      <c r="BI543" s="1198"/>
      <c r="BJ543" s="1109"/>
      <c r="BK543" s="1109"/>
      <c r="BL543" s="1109"/>
      <c r="BM543" s="1109"/>
      <c r="BN543" s="1293"/>
      <c r="BO543" s="1294"/>
      <c r="BQ543" s="1305" t="s">
        <v>1844</v>
      </c>
      <c r="BR543" s="1064">
        <v>20.399999999999999</v>
      </c>
      <c r="BS543" s="1064">
        <v>12</v>
      </c>
      <c r="BT543" s="1306" t="s">
        <v>1845</v>
      </c>
      <c r="BU543" s="747"/>
      <c r="BV543" s="1307">
        <v>1600</v>
      </c>
      <c r="CI543" s="827"/>
    </row>
    <row r="544" spans="1:93" s="370" customFormat="1" ht="15" collapsed="1">
      <c r="B544" s="895" t="s">
        <v>1846</v>
      </c>
      <c r="C544" s="896"/>
      <c r="D544" s="897"/>
      <c r="E544" s="898"/>
      <c r="F544" s="899"/>
      <c r="G544" s="899"/>
      <c r="H544" s="900"/>
      <c r="I544" s="901"/>
      <c r="J544" s="902"/>
      <c r="K544" s="898"/>
      <c r="L544" s="899"/>
      <c r="M544" s="1311"/>
      <c r="N544" s="1312"/>
      <c r="O544" s="1313"/>
      <c r="P544" s="1314"/>
      <c r="Q544" s="1315"/>
      <c r="R544" s="903"/>
      <c r="S544" s="905"/>
      <c r="T544" s="906"/>
      <c r="U544" s="901"/>
      <c r="V544" s="907"/>
      <c r="W544" s="908"/>
      <c r="X544" s="909"/>
      <c r="Y544" s="1232"/>
      <c r="Z544" s="1069"/>
      <c r="AA544" s="911"/>
      <c r="AB544" s="369"/>
      <c r="AC544" s="912"/>
      <c r="AD544" s="912"/>
      <c r="AE544" s="912"/>
      <c r="AF544" s="913"/>
      <c r="AH544" s="521"/>
      <c r="AJ544" s="483">
        <f t="shared" si="582"/>
        <v>0</v>
      </c>
      <c r="AK544" s="522"/>
      <c r="AL544" s="401">
        <f t="shared" si="583"/>
        <v>0</v>
      </c>
      <c r="AM544" s="523"/>
      <c r="AO544" s="521"/>
      <c r="AQ544" s="1155" t="str">
        <f>+B544</f>
        <v>- Cable, Fan Motor: NYY 3C</v>
      </c>
      <c r="AR544" s="1070" t="s">
        <v>1743</v>
      </c>
      <c r="AS544" s="916" t="s">
        <v>732</v>
      </c>
      <c r="AT544" s="917" t="s">
        <v>1345</v>
      </c>
      <c r="AU544" s="369"/>
      <c r="AV544" s="521"/>
      <c r="AW544" s="369"/>
      <c r="AX544" s="918" t="s">
        <v>1494</v>
      </c>
      <c r="AY544" s="919" t="s">
        <v>1128</v>
      </c>
      <c r="AZ544" s="919" t="s">
        <v>1434</v>
      </c>
      <c r="BA544" s="919" t="s">
        <v>1347</v>
      </c>
      <c r="BB544" s="919" t="s">
        <v>1643</v>
      </c>
      <c r="BC544" s="1058"/>
      <c r="BD544" s="940"/>
      <c r="BF544" s="524"/>
      <c r="BH544" s="369"/>
      <c r="BI544" s="369"/>
      <c r="BJ544" s="395"/>
      <c r="BK544" s="395"/>
      <c r="BL544" s="394"/>
      <c r="BN544" s="369"/>
      <c r="BO544" s="369"/>
      <c r="BP544" s="369"/>
      <c r="BQ544" s="1316"/>
      <c r="BR544" s="1317"/>
      <c r="BS544" s="1317"/>
      <c r="BT544" s="1317"/>
      <c r="BU544" s="506"/>
      <c r="BV544" s="1318"/>
      <c r="BY544" s="395"/>
      <c r="CH544" s="369"/>
      <c r="CI544" s="524"/>
    </row>
    <row r="545" spans="1:88" s="747" customFormat="1" ht="13.9" hidden="1" customHeight="1" outlineLevel="1">
      <c r="A545" s="824"/>
      <c r="B545" s="921" t="str">
        <f t="shared" ref="B545:B546" si="602">"Cable, "&amp;AQ545&amp;": "&amp;AR545</f>
        <v>Cable, Axial Fan 630: NYY 3C/0.75</v>
      </c>
      <c r="C545" s="922"/>
      <c r="D545" s="1239"/>
      <c r="E545" s="1235"/>
      <c r="F545" s="809"/>
      <c r="G545" s="1233"/>
      <c r="H545" s="924" t="s">
        <v>100</v>
      </c>
      <c r="I545" s="1234"/>
      <c r="J545" s="979"/>
      <c r="K545" s="1235"/>
      <c r="L545" s="1233"/>
      <c r="M545" s="1236">
        <v>1</v>
      </c>
      <c r="N545" s="813">
        <f t="shared" ref="N545:N548" si="603">IF(I545&gt;0,22/28*((I545/1000)^2-(I545/1000-2*J545/1000)^2)*K545/1000,IF(J545&gt;0,J545/1000*K545/1000*L545/1000, IF(K545&gt;0,K545/1000*L545/1000, IF(L545=0,1,L545/1000))))</f>
        <v>1</v>
      </c>
      <c r="O545" s="814">
        <v>2</v>
      </c>
      <c r="P545" s="811">
        <f t="shared" ref="P545:P548" si="604">M545*N545*O545</f>
        <v>2</v>
      </c>
      <c r="Q545" s="815">
        <v>1</v>
      </c>
      <c r="R545" s="505">
        <f t="shared" ref="R545:R546" si="605">+R$532</f>
        <v>0</v>
      </c>
      <c r="S545" s="815">
        <f t="shared" si="598"/>
        <v>0</v>
      </c>
      <c r="T545" s="946" t="s">
        <v>115</v>
      </c>
      <c r="U545" s="946">
        <v>14700</v>
      </c>
      <c r="V545" s="927">
        <f t="shared" ref="V545:V548" si="606">1/VLOOKUP(T545,Y$12:Z$18,2,FALSE)</f>
        <v>6.8240753377917299E-5</v>
      </c>
      <c r="W545" s="935">
        <v>1</v>
      </c>
      <c r="X545" s="820">
        <v>0.27200000000000002</v>
      </c>
      <c r="Y545" s="1238">
        <f t="shared" ref="Y545:Y546" si="607">+P545*R545*AA545*X545</f>
        <v>0</v>
      </c>
      <c r="Z545" s="929">
        <f t="shared" ref="Z545:Z546" si="608">S545*U545*V545*W545</f>
        <v>0</v>
      </c>
      <c r="AA545" s="823">
        <v>1</v>
      </c>
      <c r="AC545" s="1103">
        <v>1</v>
      </c>
      <c r="AD545" s="1103">
        <v>1</v>
      </c>
      <c r="AE545" s="1103"/>
      <c r="AF545" s="825"/>
      <c r="AG545" s="824"/>
      <c r="AH545" s="827"/>
      <c r="AI545" s="824"/>
      <c r="AJ545" s="828">
        <f t="shared" si="582"/>
        <v>0</v>
      </c>
      <c r="AK545" s="862"/>
      <c r="AL545" s="828">
        <f t="shared" si="583"/>
        <v>0</v>
      </c>
      <c r="AM545" s="862"/>
      <c r="AN545" s="824"/>
      <c r="AO545" s="827"/>
      <c r="AP545" s="824"/>
      <c r="AQ545" s="930" t="s">
        <v>1765</v>
      </c>
      <c r="AR545" s="1274" t="s">
        <v>1847</v>
      </c>
      <c r="AS545" s="1259">
        <v>0.27200000000000002</v>
      </c>
      <c r="AT545" s="1303">
        <v>14700</v>
      </c>
      <c r="AU545" s="824"/>
      <c r="AV545" s="827"/>
      <c r="AW545" s="824"/>
      <c r="AX545" s="1275" t="s">
        <v>1848</v>
      </c>
      <c r="AY545" s="841">
        <v>13</v>
      </c>
      <c r="AZ545" s="935">
        <v>0.8</v>
      </c>
      <c r="BA545" s="935">
        <v>1.6</v>
      </c>
      <c r="BD545" s="964"/>
      <c r="BF545" s="830"/>
      <c r="BG545" s="936"/>
      <c r="BH545" s="936"/>
      <c r="BI545" s="936"/>
      <c r="BJ545" s="824"/>
      <c r="BK545" s="824"/>
      <c r="BO545" s="936"/>
      <c r="CI545" s="830"/>
    </row>
    <row r="546" spans="1:88" s="747" customFormat="1" ht="13.9" hidden="1" customHeight="1" outlineLevel="1">
      <c r="A546" s="824"/>
      <c r="B546" s="921" t="str">
        <f t="shared" si="602"/>
        <v>Cable, Axial Fan 710: NYY 3C/0.75</v>
      </c>
      <c r="C546" s="922"/>
      <c r="D546" s="1239"/>
      <c r="E546" s="1235"/>
      <c r="F546" s="809"/>
      <c r="G546" s="1233"/>
      <c r="H546" s="924" t="s">
        <v>100</v>
      </c>
      <c r="I546" s="1234"/>
      <c r="J546" s="979"/>
      <c r="K546" s="1235"/>
      <c r="L546" s="1233"/>
      <c r="M546" s="1236">
        <v>1</v>
      </c>
      <c r="N546" s="813">
        <f t="shared" si="603"/>
        <v>1</v>
      </c>
      <c r="O546" s="814">
        <v>2</v>
      </c>
      <c r="P546" s="811">
        <f t="shared" si="604"/>
        <v>2</v>
      </c>
      <c r="Q546" s="815">
        <v>1</v>
      </c>
      <c r="R546" s="505">
        <f t="shared" si="605"/>
        <v>0</v>
      </c>
      <c r="S546" s="815">
        <f t="shared" si="598"/>
        <v>0</v>
      </c>
      <c r="T546" s="946" t="s">
        <v>115</v>
      </c>
      <c r="U546" s="946">
        <v>14700</v>
      </c>
      <c r="V546" s="927">
        <f t="shared" si="606"/>
        <v>6.8240753377917299E-5</v>
      </c>
      <c r="W546" s="935">
        <v>1</v>
      </c>
      <c r="X546" s="820">
        <v>0.27200000000000002</v>
      </c>
      <c r="Y546" s="1238">
        <f t="shared" si="607"/>
        <v>0</v>
      </c>
      <c r="Z546" s="929">
        <f t="shared" si="608"/>
        <v>0</v>
      </c>
      <c r="AA546" s="823"/>
      <c r="AC546" s="1103"/>
      <c r="AD546" s="1103"/>
      <c r="AE546" s="1103">
        <v>1</v>
      </c>
      <c r="AF546" s="825">
        <v>1</v>
      </c>
      <c r="AG546" s="824"/>
      <c r="AH546" s="827"/>
      <c r="AI546" s="824"/>
      <c r="AJ546" s="828">
        <f t="shared" si="582"/>
        <v>0</v>
      </c>
      <c r="AK546" s="862"/>
      <c r="AL546" s="828">
        <f t="shared" si="583"/>
        <v>0</v>
      </c>
      <c r="AM546" s="862"/>
      <c r="AN546" s="824"/>
      <c r="AO546" s="827"/>
      <c r="AP546" s="824"/>
      <c r="AQ546" s="930" t="s">
        <v>1767</v>
      </c>
      <c r="AR546" s="1274" t="s">
        <v>1847</v>
      </c>
      <c r="AS546" s="1259">
        <v>0.27200000000000002</v>
      </c>
      <c r="AT546" s="1303">
        <v>14700</v>
      </c>
      <c r="AU546" s="824"/>
      <c r="AV546" s="827"/>
      <c r="AW546" s="824"/>
      <c r="AX546" s="1275" t="s">
        <v>1848</v>
      </c>
      <c r="AY546" s="841">
        <v>13</v>
      </c>
      <c r="AZ546" s="935">
        <v>0.9</v>
      </c>
      <c r="BA546" s="935">
        <v>1.9</v>
      </c>
      <c r="BD546" s="964"/>
      <c r="BF546" s="830"/>
      <c r="BG546" s="936"/>
      <c r="BH546" s="936"/>
      <c r="BI546" s="936"/>
      <c r="BJ546" s="824"/>
      <c r="BK546" s="824"/>
      <c r="BO546" s="936"/>
      <c r="CI546" s="830"/>
    </row>
    <row r="547" spans="1:88" s="370" customFormat="1" ht="15" collapsed="1">
      <c r="B547" s="895" t="s">
        <v>1849</v>
      </c>
      <c r="C547" s="896"/>
      <c r="D547" s="897"/>
      <c r="E547" s="898"/>
      <c r="F547" s="899"/>
      <c r="G547" s="899"/>
      <c r="H547" s="900"/>
      <c r="I547" s="901"/>
      <c r="J547" s="902"/>
      <c r="K547" s="898"/>
      <c r="L547" s="899"/>
      <c r="M547" s="1311"/>
      <c r="N547" s="1312"/>
      <c r="O547" s="1313"/>
      <c r="P547" s="1314"/>
      <c r="Q547" s="1315"/>
      <c r="R547" s="903"/>
      <c r="S547" s="905"/>
      <c r="T547" s="906"/>
      <c r="U547" s="901"/>
      <c r="V547" s="907"/>
      <c r="W547" s="908"/>
      <c r="X547" s="909"/>
      <c r="Y547" s="1232"/>
      <c r="Z547" s="1069"/>
      <c r="AA547" s="911"/>
      <c r="AB547" s="369"/>
      <c r="AC547" s="912"/>
      <c r="AD547" s="912"/>
      <c r="AE547" s="912"/>
      <c r="AF547" s="913"/>
      <c r="AH547" s="521"/>
      <c r="AJ547" s="483">
        <f t="shared" si="582"/>
        <v>0</v>
      </c>
      <c r="AK547" s="522"/>
      <c r="AL547" s="401">
        <f t="shared" si="583"/>
        <v>0</v>
      </c>
      <c r="AM547" s="523"/>
      <c r="AO547" s="521"/>
      <c r="AQ547" s="1155" t="str">
        <f>+B547</f>
        <v>- Cable Gland, Fan Motor: NYY 3C</v>
      </c>
      <c r="AR547" s="1070" t="s">
        <v>1827</v>
      </c>
      <c r="AS547" s="1319" t="s">
        <v>97</v>
      </c>
      <c r="AT547" s="1320" t="s">
        <v>1781</v>
      </c>
      <c r="AV547" s="521"/>
      <c r="AX547" s="918" t="s">
        <v>1494</v>
      </c>
      <c r="AY547" s="919" t="s">
        <v>1128</v>
      </c>
      <c r="AZ547" s="919" t="s">
        <v>1434</v>
      </c>
      <c r="BA547" s="919" t="s">
        <v>1347</v>
      </c>
      <c r="BB547" s="919" t="s">
        <v>1643</v>
      </c>
      <c r="BC547" s="1058"/>
      <c r="BD547" s="940"/>
      <c r="BE547" s="369"/>
      <c r="BF547" s="524"/>
      <c r="BG547" s="395"/>
      <c r="BH547" s="395"/>
      <c r="BI547" s="395"/>
      <c r="BL547" s="369"/>
      <c r="BM547" s="369"/>
      <c r="BN547" s="369"/>
      <c r="BO547" s="395"/>
      <c r="BP547" s="369"/>
      <c r="BQ547" s="369"/>
      <c r="BR547" s="369"/>
      <c r="BS547" s="369"/>
      <c r="BT547" s="369"/>
      <c r="BU547" s="369"/>
      <c r="BV547" s="369"/>
      <c r="BW547" s="369"/>
      <c r="BX547" s="369"/>
      <c r="BY547" s="369"/>
      <c r="BZ547" s="369"/>
      <c r="CA547" s="369"/>
      <c r="CB547" s="369"/>
      <c r="CC547" s="369"/>
      <c r="CD547" s="369"/>
      <c r="CE547" s="369"/>
      <c r="CF547" s="369"/>
      <c r="CG547" s="369"/>
      <c r="CH547" s="369"/>
      <c r="CI547" s="524"/>
      <c r="CJ547" s="369"/>
    </row>
    <row r="548" spans="1:88" s="747" customFormat="1" ht="13.9" hidden="1" customHeight="1" outlineLevel="1">
      <c r="A548" s="824"/>
      <c r="B548" s="1231" t="str">
        <f>"Cable Gland, "&amp;AQ548&amp;": "&amp;AR548</f>
        <v>Cable Gland, Axial Fan 400_800 NYY 3C/0.75: EG-21</v>
      </c>
      <c r="C548" s="922"/>
      <c r="D548" s="1239"/>
      <c r="E548" s="1235"/>
      <c r="F548" s="1233"/>
      <c r="G548" s="1233"/>
      <c r="H548" s="924" t="s">
        <v>100</v>
      </c>
      <c r="I548" s="1234"/>
      <c r="J548" s="979"/>
      <c r="K548" s="1235"/>
      <c r="L548" s="1233"/>
      <c r="M548" s="1236">
        <v>1</v>
      </c>
      <c r="N548" s="813">
        <f t="shared" si="603"/>
        <v>1</v>
      </c>
      <c r="O548" s="814">
        <v>2</v>
      </c>
      <c r="P548" s="811">
        <f t="shared" si="604"/>
        <v>2</v>
      </c>
      <c r="Q548" s="815">
        <v>1</v>
      </c>
      <c r="R548" s="505">
        <f>+R$532</f>
        <v>0</v>
      </c>
      <c r="S548" s="815">
        <f t="shared" si="598"/>
        <v>0</v>
      </c>
      <c r="T548" s="946" t="s">
        <v>115</v>
      </c>
      <c r="U548" s="946">
        <v>3800</v>
      </c>
      <c r="V548" s="927">
        <f t="shared" si="606"/>
        <v>6.8240753377917299E-5</v>
      </c>
      <c r="W548" s="935">
        <v>1</v>
      </c>
      <c r="X548" s="820">
        <v>0.15</v>
      </c>
      <c r="Y548" s="1238">
        <f>+P548*R548*AA548*X548</f>
        <v>0</v>
      </c>
      <c r="Z548" s="929">
        <f>S548*U548*V548*W548</f>
        <v>0</v>
      </c>
      <c r="AA548" s="823">
        <v>1</v>
      </c>
      <c r="AC548" s="1103">
        <v>1</v>
      </c>
      <c r="AD548" s="1103">
        <v>1</v>
      </c>
      <c r="AE548" s="1103">
        <v>1</v>
      </c>
      <c r="AF548" s="825">
        <v>1</v>
      </c>
      <c r="AG548" s="824"/>
      <c r="AH548" s="827"/>
      <c r="AI548" s="824"/>
      <c r="AJ548" s="828">
        <f t="shared" si="582"/>
        <v>0</v>
      </c>
      <c r="AK548" s="862"/>
      <c r="AL548" s="828">
        <f t="shared" si="583"/>
        <v>0</v>
      </c>
      <c r="AM548" s="862"/>
      <c r="AN548" s="824"/>
      <c r="AO548" s="827"/>
      <c r="AP548" s="824"/>
      <c r="AQ548" s="985" t="s">
        <v>1850</v>
      </c>
      <c r="AR548" s="1282" t="s">
        <v>1843</v>
      </c>
      <c r="AS548" s="1283"/>
      <c r="AT548" s="1321">
        <v>3800</v>
      </c>
      <c r="AU548" s="824"/>
      <c r="AV548" s="827"/>
      <c r="AW548" s="824"/>
      <c r="AX548" s="1322" t="s">
        <v>1848</v>
      </c>
      <c r="AY548" s="1323">
        <v>13</v>
      </c>
      <c r="AZ548" s="1324">
        <v>1.2</v>
      </c>
      <c r="BA548" s="1324">
        <v>2.85</v>
      </c>
      <c r="BB548" s="1325"/>
      <c r="BC548" s="1326"/>
      <c r="BD548" s="1327"/>
      <c r="BF548" s="830"/>
      <c r="BG548" s="936"/>
      <c r="BH548" s="936"/>
      <c r="BI548" s="1248"/>
      <c r="BJ548" s="824"/>
      <c r="BO548" s="936"/>
      <c r="BT548" s="824"/>
      <c r="BU548" s="824"/>
      <c r="BV548" s="824"/>
      <c r="BW548" s="824"/>
      <c r="BX548" s="824"/>
      <c r="BZ548" s="824"/>
      <c r="CA548" s="824"/>
      <c r="CB548" s="824"/>
      <c r="CC548" s="824"/>
      <c r="CD548" s="824"/>
      <c r="CE548" s="824"/>
      <c r="CF548" s="824"/>
      <c r="CG548" s="824"/>
      <c r="CI548" s="830"/>
      <c r="CJ548" s="824"/>
    </row>
    <row r="549" spans="1:88" s="369" customFormat="1" ht="15" collapsed="1">
      <c r="A549" s="370"/>
      <c r="B549" s="895" t="s">
        <v>1851</v>
      </c>
      <c r="C549" s="896"/>
      <c r="D549" s="897"/>
      <c r="E549" s="898"/>
      <c r="F549" s="899"/>
      <c r="G549" s="899"/>
      <c r="H549" s="900"/>
      <c r="I549" s="901"/>
      <c r="J549" s="902"/>
      <c r="K549" s="898"/>
      <c r="L549" s="899"/>
      <c r="M549" s="1311"/>
      <c r="N549" s="1312"/>
      <c r="O549" s="1313"/>
      <c r="P549" s="1314"/>
      <c r="Q549" s="1315"/>
      <c r="R549" s="903"/>
      <c r="S549" s="905"/>
      <c r="T549" s="906"/>
      <c r="U549" s="906"/>
      <c r="V549" s="907"/>
      <c r="W549" s="908"/>
      <c r="X549" s="909"/>
      <c r="Y549" s="1232"/>
      <c r="Z549" s="1069"/>
      <c r="AA549" s="911"/>
      <c r="AC549" s="912"/>
      <c r="AD549" s="912"/>
      <c r="AE549" s="912"/>
      <c r="AF549" s="913"/>
      <c r="AG549" s="370"/>
      <c r="AH549" s="521"/>
      <c r="AI549" s="370"/>
      <c r="AJ549" s="483">
        <f t="shared" si="582"/>
        <v>0</v>
      </c>
      <c r="AK549" s="522"/>
      <c r="AL549" s="401">
        <f t="shared" si="583"/>
        <v>0</v>
      </c>
      <c r="AM549" s="523"/>
      <c r="AN549" s="370"/>
      <c r="AO549" s="521"/>
      <c r="AP549" s="370"/>
      <c r="AQ549" s="1155" t="str">
        <f>+B549</f>
        <v>- Cable, CC Heater: NYY 2C</v>
      </c>
      <c r="AR549" s="1070" t="s">
        <v>1743</v>
      </c>
      <c r="AS549" s="1071" t="s">
        <v>732</v>
      </c>
      <c r="AT549" s="915" t="s">
        <v>1345</v>
      </c>
      <c r="AU549" s="370"/>
      <c r="AV549" s="521"/>
      <c r="AW549" s="370"/>
      <c r="AX549" s="918" t="s">
        <v>1494</v>
      </c>
      <c r="AY549" s="919" t="s">
        <v>1128</v>
      </c>
      <c r="AZ549" s="919" t="s">
        <v>1434</v>
      </c>
      <c r="BA549" s="919" t="s">
        <v>1347</v>
      </c>
      <c r="BB549" s="919" t="s">
        <v>1643</v>
      </c>
      <c r="BC549" s="1058"/>
      <c r="BD549" s="940"/>
      <c r="BE549" s="395"/>
      <c r="BF549" s="524"/>
      <c r="BG549" s="395"/>
      <c r="BH549" s="395"/>
      <c r="BI549" s="395"/>
      <c r="BJ549" s="395"/>
      <c r="BK549" s="395"/>
      <c r="BL549" s="395"/>
      <c r="BM549" s="395"/>
      <c r="BN549" s="370"/>
      <c r="BY549" s="395"/>
      <c r="CI549" s="524"/>
    </row>
    <row r="550" spans="1:88" s="747" customFormat="1" ht="13.9" hidden="1" customHeight="1" outlineLevel="1">
      <c r="A550" s="824"/>
      <c r="B550" s="1231" t="str">
        <f t="shared" ref="B550" si="609">"Cable, "&amp;AQ550&amp;": "&amp;AR550</f>
        <v>Cable, CC Heater Compressor 7.5-15hp: NYY 2C/0.75</v>
      </c>
      <c r="C550" s="922"/>
      <c r="D550" s="1239"/>
      <c r="E550" s="1235"/>
      <c r="F550" s="809"/>
      <c r="G550" s="1233"/>
      <c r="H550" s="924" t="s">
        <v>1080</v>
      </c>
      <c r="I550" s="1234"/>
      <c r="J550" s="979"/>
      <c r="K550" s="1235"/>
      <c r="L550" s="809">
        <f>+F550</f>
        <v>0</v>
      </c>
      <c r="M550" s="1236">
        <v>1</v>
      </c>
      <c r="N550" s="813">
        <f>IF(I550&gt;0,22/28*((I550/1000)^2-(I550/1000-2*J550/1000)^2)*K550/1000,IF(J550&gt;0,J550/1000*K550/1000*L550/1000, IF(K550&gt;0,K550/1000*L550/1000, IF(L550=0,1,L550/1000))))</f>
        <v>1</v>
      </c>
      <c r="O550" s="814">
        <v>1</v>
      </c>
      <c r="P550" s="811">
        <f>M550*N550*O550</f>
        <v>1</v>
      </c>
      <c r="Q550" s="815">
        <v>1</v>
      </c>
      <c r="R550" s="505">
        <f>+R$532</f>
        <v>0</v>
      </c>
      <c r="S550" s="815">
        <f t="shared" si="598"/>
        <v>0</v>
      </c>
      <c r="T550" s="946" t="s">
        <v>46</v>
      </c>
      <c r="U550" s="926">
        <v>2.94</v>
      </c>
      <c r="V550" s="927">
        <f>1/VLOOKUP(T550,Y$12:Z$18,2,FALSE)</f>
        <v>1</v>
      </c>
      <c r="W550" s="935">
        <v>1</v>
      </c>
      <c r="X550" s="820">
        <v>5.5E-2</v>
      </c>
      <c r="Y550" s="1238">
        <f>+P550*R550*AA550*X550</f>
        <v>0</v>
      </c>
      <c r="Z550" s="929">
        <f>S550*U550*V550*W550</f>
        <v>0</v>
      </c>
      <c r="AA550" s="823">
        <v>1</v>
      </c>
      <c r="AC550" s="1103">
        <v>1</v>
      </c>
      <c r="AD550" s="1103">
        <v>1</v>
      </c>
      <c r="AE550" s="1103">
        <v>1</v>
      </c>
      <c r="AF550" s="825">
        <v>1</v>
      </c>
      <c r="AG550" s="824"/>
      <c r="AH550" s="827"/>
      <c r="AI550" s="824"/>
      <c r="AJ550" s="828">
        <f t="shared" si="582"/>
        <v>0</v>
      </c>
      <c r="AK550" s="862"/>
      <c r="AL550" s="828">
        <f t="shared" si="583"/>
        <v>0</v>
      </c>
      <c r="AM550" s="862"/>
      <c r="AN550" s="824"/>
      <c r="AO550" s="827"/>
      <c r="AP550" s="824"/>
      <c r="AQ550" s="930" t="s">
        <v>1771</v>
      </c>
      <c r="AR550" s="931" t="s">
        <v>1852</v>
      </c>
      <c r="AS550" s="828"/>
      <c r="AT550" s="931"/>
      <c r="AU550" s="824"/>
      <c r="AV550" s="827"/>
      <c r="AW550" s="824"/>
      <c r="AX550" s="934" t="s">
        <v>1773</v>
      </c>
      <c r="AY550" s="841">
        <v>13</v>
      </c>
      <c r="AZ550" s="936"/>
      <c r="BA550" s="936"/>
      <c r="BB550" s="936"/>
      <c r="BD550" s="924"/>
      <c r="BE550" s="936"/>
      <c r="BF550" s="830"/>
      <c r="BG550" s="936"/>
      <c r="BH550" s="936"/>
      <c r="BJ550" s="936"/>
      <c r="BK550" s="936"/>
      <c r="BL550" s="936"/>
      <c r="BM550" s="936"/>
      <c r="BN550" s="936"/>
      <c r="BO550" s="936"/>
      <c r="BP550" s="936"/>
      <c r="BS550" s="936"/>
      <c r="CH550" s="936"/>
      <c r="CI550" s="827"/>
    </row>
    <row r="551" spans="1:88" s="370" customFormat="1" ht="15" collapsed="1">
      <c r="B551" s="895" t="s">
        <v>1853</v>
      </c>
      <c r="C551" s="896"/>
      <c r="D551" s="897"/>
      <c r="E551" s="898"/>
      <c r="F551" s="899"/>
      <c r="G551" s="899"/>
      <c r="H551" s="900"/>
      <c r="I551" s="901"/>
      <c r="J551" s="902"/>
      <c r="K551" s="898"/>
      <c r="L551" s="899"/>
      <c r="M551" s="1311"/>
      <c r="N551" s="1312"/>
      <c r="O551" s="1313"/>
      <c r="P551" s="1314"/>
      <c r="Q551" s="1315"/>
      <c r="R551" s="903"/>
      <c r="S551" s="905"/>
      <c r="T551" s="906"/>
      <c r="U551" s="901"/>
      <c r="V551" s="907"/>
      <c r="W551" s="908"/>
      <c r="X551" s="909"/>
      <c r="Y551" s="1232"/>
      <c r="Z551" s="1069"/>
      <c r="AA551" s="911"/>
      <c r="AB551" s="369"/>
      <c r="AC551" s="912"/>
      <c r="AD551" s="912"/>
      <c r="AE551" s="912"/>
      <c r="AF551" s="913"/>
      <c r="AH551" s="521"/>
      <c r="AJ551" s="483">
        <f t="shared" si="582"/>
        <v>0</v>
      </c>
      <c r="AK551" s="522"/>
      <c r="AL551" s="401">
        <f t="shared" si="583"/>
        <v>0</v>
      </c>
      <c r="AM551" s="523"/>
      <c r="AO551" s="521"/>
      <c r="AQ551" s="1155" t="str">
        <f>+B551</f>
        <v>- Cable Gland, CC Heater: NYY 2C</v>
      </c>
      <c r="AR551" s="1070" t="s">
        <v>1827</v>
      </c>
      <c r="AS551" s="1319" t="s">
        <v>97</v>
      </c>
      <c r="AT551" s="1320" t="s">
        <v>1781</v>
      </c>
      <c r="AV551" s="521"/>
      <c r="AX551" s="918" t="s">
        <v>1494</v>
      </c>
      <c r="AY551" s="919" t="s">
        <v>1128</v>
      </c>
      <c r="AZ551" s="919" t="s">
        <v>1434</v>
      </c>
      <c r="BA551" s="919" t="s">
        <v>1347</v>
      </c>
      <c r="BB551" s="919" t="s">
        <v>1643</v>
      </c>
      <c r="BC551" s="1058"/>
      <c r="BD551" s="940"/>
      <c r="BE551" s="395"/>
      <c r="BF551" s="524"/>
      <c r="BG551" s="395"/>
      <c r="BH551" s="395"/>
      <c r="BI551" s="369"/>
      <c r="BJ551" s="395"/>
      <c r="BK551" s="395"/>
      <c r="BL551" s="395"/>
      <c r="BM551" s="395"/>
      <c r="BN551" s="395"/>
      <c r="BO551" s="395"/>
      <c r="BP551" s="395"/>
      <c r="BQ551" s="369"/>
      <c r="BR551" s="369"/>
      <c r="BS551" s="395"/>
      <c r="BT551" s="369"/>
      <c r="BU551" s="369"/>
      <c r="BV551" s="369"/>
      <c r="BW551" s="369"/>
      <c r="BX551" s="369"/>
      <c r="BY551" s="369"/>
      <c r="BZ551" s="369"/>
      <c r="CA551" s="369"/>
      <c r="CB551" s="369"/>
      <c r="CC551" s="369"/>
      <c r="CD551" s="369"/>
      <c r="CE551" s="369"/>
      <c r="CF551" s="369"/>
      <c r="CG551" s="369"/>
      <c r="CH551" s="395"/>
      <c r="CI551" s="524"/>
      <c r="CJ551" s="369"/>
    </row>
    <row r="552" spans="1:88" s="747" customFormat="1" ht="13.9" hidden="1" customHeight="1" outlineLevel="1">
      <c r="A552" s="824"/>
      <c r="B552" s="1231" t="str">
        <f>"Cable Gland, "&amp;AQ552&amp;": "&amp;AR552</f>
        <v>Cable Gland, CC Heater Compressor 1.8-30hp NYY 2C/0.75: EG-21</v>
      </c>
      <c r="C552" s="922"/>
      <c r="D552" s="1239"/>
      <c r="E552" s="1235"/>
      <c r="F552" s="1233"/>
      <c r="G552" s="1233"/>
      <c r="H552" s="924" t="s">
        <v>100</v>
      </c>
      <c r="I552" s="1234"/>
      <c r="J552" s="979"/>
      <c r="K552" s="1235"/>
      <c r="L552" s="1233"/>
      <c r="M552" s="1236">
        <v>1</v>
      </c>
      <c r="N552" s="813">
        <f>IF(I552&gt;0,22/28*((I552/1000)^2-(I552/1000-2*J552/1000)^2)*K552/1000,IF(J552&gt;0,J552/1000*K552/1000*L552/1000, IF(K552&gt;0,K552/1000*L552/1000, IF(L552=0,1,L552/1000))))</f>
        <v>1</v>
      </c>
      <c r="O552" s="814">
        <v>2</v>
      </c>
      <c r="P552" s="811">
        <f>M552*N552*O552</f>
        <v>2</v>
      </c>
      <c r="Q552" s="815">
        <v>1</v>
      </c>
      <c r="R552" s="505">
        <f>+R$532</f>
        <v>0</v>
      </c>
      <c r="S552" s="815">
        <f t="shared" ref="S552" si="610">P552*AA552*Q552*R552</f>
        <v>0</v>
      </c>
      <c r="T552" s="946" t="s">
        <v>115</v>
      </c>
      <c r="U552" s="946">
        <v>3800</v>
      </c>
      <c r="V552" s="927">
        <f>1/VLOOKUP(T552,Y$12:Z$18,2,FALSE)</f>
        <v>6.8240753377917299E-5</v>
      </c>
      <c r="W552" s="935">
        <v>1</v>
      </c>
      <c r="X552" s="820">
        <v>0.15</v>
      </c>
      <c r="Y552" s="1238">
        <f>+P552*R552*AA552*X552</f>
        <v>0</v>
      </c>
      <c r="Z552" s="929">
        <f>S552*U552*V552*W552</f>
        <v>0</v>
      </c>
      <c r="AA552" s="823">
        <v>1</v>
      </c>
      <c r="AC552" s="1103">
        <v>1</v>
      </c>
      <c r="AD552" s="1103">
        <v>1</v>
      </c>
      <c r="AE552" s="1103">
        <v>1</v>
      </c>
      <c r="AF552" s="825">
        <v>1</v>
      </c>
      <c r="AG552" s="824"/>
      <c r="AH552" s="827"/>
      <c r="AI552" s="824"/>
      <c r="AJ552" s="828">
        <f t="shared" si="582"/>
        <v>0</v>
      </c>
      <c r="AK552" s="862"/>
      <c r="AL552" s="828">
        <f t="shared" si="583"/>
        <v>0</v>
      </c>
      <c r="AM552" s="862"/>
      <c r="AN552" s="824"/>
      <c r="AO552" s="827"/>
      <c r="AP552" s="824"/>
      <c r="AQ552" s="985" t="s">
        <v>1854</v>
      </c>
      <c r="AR552" s="1282" t="s">
        <v>1843</v>
      </c>
      <c r="AS552" s="1283"/>
      <c r="AT552" s="1321">
        <v>3800</v>
      </c>
      <c r="AU552" s="824"/>
      <c r="AV552" s="827"/>
      <c r="AW552" s="824"/>
      <c r="AX552" s="1085" t="s">
        <v>1773</v>
      </c>
      <c r="AY552" s="1328">
        <v>13</v>
      </c>
      <c r="AZ552" s="1324">
        <v>1.2</v>
      </c>
      <c r="BA552" s="1324">
        <v>2.85</v>
      </c>
      <c r="BB552" s="1325"/>
      <c r="BC552" s="1326"/>
      <c r="BD552" s="1327"/>
      <c r="BF552" s="830"/>
      <c r="BG552" s="936"/>
      <c r="BH552" s="936"/>
      <c r="BI552" s="1248"/>
      <c r="BJ552" s="824"/>
      <c r="BO552" s="936"/>
      <c r="BT552" s="824"/>
      <c r="BU552" s="824"/>
      <c r="BV552" s="824"/>
      <c r="BW552" s="824"/>
      <c r="BX552" s="824"/>
      <c r="BZ552" s="824"/>
      <c r="CA552" s="824"/>
      <c r="CB552" s="824"/>
      <c r="CC552" s="824"/>
      <c r="CD552" s="824"/>
      <c r="CE552" s="824"/>
      <c r="CF552" s="824"/>
      <c r="CG552" s="824"/>
      <c r="CI552" s="830"/>
      <c r="CJ552" s="824"/>
    </row>
    <row r="553" spans="1:88" s="479" customFormat="1" ht="15" collapsed="1">
      <c r="A553" s="370"/>
      <c r="B553" s="895" t="s">
        <v>1855</v>
      </c>
      <c r="C553" s="896"/>
      <c r="D553" s="897"/>
      <c r="E553" s="898"/>
      <c r="F553" s="899"/>
      <c r="G553" s="899"/>
      <c r="H553" s="900"/>
      <c r="I553" s="901"/>
      <c r="J553" s="902"/>
      <c r="K553" s="898"/>
      <c r="L553" s="899"/>
      <c r="M553" s="903"/>
      <c r="N553" s="907"/>
      <c r="O553" s="898"/>
      <c r="P553" s="902"/>
      <c r="Q553" s="905"/>
      <c r="R553" s="903"/>
      <c r="S553" s="905"/>
      <c r="T553" s="906"/>
      <c r="U553" s="906"/>
      <c r="V553" s="907"/>
      <c r="W553" s="908"/>
      <c r="X553" s="909"/>
      <c r="Y553" s="1232"/>
      <c r="Z553" s="1069"/>
      <c r="AA553" s="911"/>
      <c r="AB553" s="370"/>
      <c r="AC553" s="912"/>
      <c r="AD553" s="912"/>
      <c r="AE553" s="912"/>
      <c r="AF553" s="913"/>
      <c r="AG553" s="370"/>
      <c r="AH553" s="521"/>
      <c r="AI553" s="370"/>
      <c r="AJ553" s="483">
        <f t="shared" si="582"/>
        <v>0</v>
      </c>
      <c r="AK553" s="522"/>
      <c r="AL553" s="401">
        <f t="shared" si="583"/>
        <v>0</v>
      </c>
      <c r="AM553" s="523"/>
      <c r="AN553" s="370"/>
      <c r="AO553" s="521"/>
      <c r="AP553" s="936"/>
      <c r="AQ553" s="1155" t="str">
        <f>+B553</f>
        <v>- Cable, HPLP Switch: NYY 2C</v>
      </c>
      <c r="AR553" s="1070" t="s">
        <v>1743</v>
      </c>
      <c r="AS553" s="916" t="s">
        <v>97</v>
      </c>
      <c r="AT553" s="917" t="s">
        <v>1345</v>
      </c>
      <c r="AU553" s="370"/>
      <c r="AV553" s="830"/>
      <c r="AW553" s="370"/>
      <c r="AX553" s="918" t="s">
        <v>1494</v>
      </c>
      <c r="AY553" s="919" t="s">
        <v>1128</v>
      </c>
      <c r="AZ553" s="919"/>
      <c r="BA553" s="919"/>
      <c r="BB553" s="919"/>
      <c r="BC553" s="919"/>
      <c r="BD553" s="1193"/>
      <c r="BE553" s="370"/>
      <c r="BF553" s="524"/>
      <c r="BG553" s="370"/>
      <c r="BH553" s="370"/>
      <c r="BI553" s="370"/>
      <c r="BJ553" s="370"/>
      <c r="BK553" s="370"/>
      <c r="BL553" s="370"/>
      <c r="BM553" s="370"/>
      <c r="BN553" s="370"/>
      <c r="BO553" s="370"/>
      <c r="BP553" s="370"/>
      <c r="BQ553" s="370"/>
      <c r="BR553" s="370"/>
      <c r="BS553" s="370"/>
      <c r="BT553" s="370"/>
      <c r="BU553" s="370"/>
      <c r="BV553" s="370"/>
      <c r="BW553" s="370"/>
      <c r="BX553" s="370"/>
      <c r="BY553" s="370"/>
      <c r="BZ553" s="370"/>
      <c r="CA553" s="370"/>
      <c r="CB553" s="370"/>
      <c r="CC553" s="370"/>
      <c r="CD553" s="370"/>
      <c r="CE553" s="370"/>
      <c r="CF553" s="370"/>
      <c r="CG553" s="370"/>
      <c r="CH553" s="370"/>
      <c r="CI553" s="521"/>
    </row>
    <row r="554" spans="1:88" s="824" customFormat="1" ht="13.9" hidden="1" customHeight="1" outlineLevel="1">
      <c r="B554" s="921" t="str">
        <f t="shared" ref="B554:B556" si="611">"Cable, "&amp;AQ554&amp;": "&amp;AR554</f>
        <v>Cable, HPLP Switch: NYY 2C/0.75</v>
      </c>
      <c r="C554" s="922"/>
      <c r="D554" s="923"/>
      <c r="E554" s="841"/>
      <c r="F554" s="809"/>
      <c r="G554" s="1233"/>
      <c r="H554" s="924" t="s">
        <v>1080</v>
      </c>
      <c r="I554" s="1234"/>
      <c r="J554" s="979"/>
      <c r="K554" s="1235"/>
      <c r="L554" s="809"/>
      <c r="M554" s="1236">
        <v>1</v>
      </c>
      <c r="N554" s="927">
        <f t="shared" ref="N554:N556" si="612">IF(I554&gt;0,22/28*((I554/1000)^2-(I554/1000-2*J554/1000)^2)*K554/1000,IF(J554&gt;0,J554/1000*K554/1000*L554/1000, IF(K554&gt;0,K554/1000*L554/1000, IF(L554=0,1,L554/1000))))</f>
        <v>1</v>
      </c>
      <c r="O554" s="814">
        <v>1</v>
      </c>
      <c r="P554" s="811">
        <f t="shared" ref="P554:P556" si="613">M554*N554*O554</f>
        <v>1</v>
      </c>
      <c r="Q554" s="815">
        <v>1</v>
      </c>
      <c r="R554" s="505">
        <f t="shared" ref="R554:R556" si="614">+R$532</f>
        <v>0</v>
      </c>
      <c r="S554" s="815">
        <f t="shared" ref="S554:S556" si="615">P554*AA554*Q554*R554</f>
        <v>0</v>
      </c>
      <c r="T554" s="946" t="s">
        <v>46</v>
      </c>
      <c r="U554" s="926">
        <v>0.26963495575221241</v>
      </c>
      <c r="V554" s="927">
        <f t="shared" ref="V554:V556" si="616">1/VLOOKUP(T554,Y$12:Z$18,2,FALSE)</f>
        <v>1</v>
      </c>
      <c r="W554" s="935">
        <v>1</v>
      </c>
      <c r="X554" s="820">
        <v>2.1000000000000001E-2</v>
      </c>
      <c r="Y554" s="1238">
        <f t="shared" ref="Y554:Y556" si="617">+P554*R554*AA554*X554</f>
        <v>0</v>
      </c>
      <c r="Z554" s="929">
        <f t="shared" ref="Z554:Z556" si="618">S554*U554*V554*W554</f>
        <v>0</v>
      </c>
      <c r="AA554" s="1258">
        <v>1</v>
      </c>
      <c r="AC554" s="1103">
        <v>1</v>
      </c>
      <c r="AD554" s="1103">
        <v>1</v>
      </c>
      <c r="AE554" s="1103">
        <v>1</v>
      </c>
      <c r="AF554" s="825">
        <v>1</v>
      </c>
      <c r="AH554" s="827"/>
      <c r="AJ554" s="828">
        <f t="shared" si="582"/>
        <v>0</v>
      </c>
      <c r="AK554" s="862"/>
      <c r="AL554" s="828">
        <f t="shared" si="583"/>
        <v>0</v>
      </c>
      <c r="AM554" s="862"/>
      <c r="AO554" s="827"/>
      <c r="AQ554" s="965" t="s">
        <v>1775</v>
      </c>
      <c r="AR554" s="1276" t="s">
        <v>1852</v>
      </c>
      <c r="AS554" s="1277">
        <v>2.1000000000000001E-2</v>
      </c>
      <c r="AT554" s="1278">
        <v>0.26963495575221241</v>
      </c>
      <c r="AV554" s="827"/>
      <c r="AX554" s="1279" t="s">
        <v>1773</v>
      </c>
      <c r="AY554" s="1280">
        <v>13</v>
      </c>
      <c r="AZ554" s="1280"/>
      <c r="BA554" s="1280"/>
      <c r="BB554" s="1281"/>
      <c r="BC554" s="966"/>
      <c r="BD554" s="943"/>
      <c r="BF554" s="830"/>
      <c r="CI554" s="827"/>
    </row>
    <row r="555" spans="1:88" s="824" customFormat="1" ht="13.9" hidden="1" customHeight="1" outlineLevel="1">
      <c r="B555" s="921" t="str">
        <f t="shared" si="611"/>
        <v>Cable, HP Switch: NYY 2C/0.75</v>
      </c>
      <c r="C555" s="922"/>
      <c r="D555" s="923"/>
      <c r="E555" s="841"/>
      <c r="F555" s="809"/>
      <c r="G555" s="1233"/>
      <c r="H555" s="924" t="s">
        <v>1080</v>
      </c>
      <c r="I555" s="1234"/>
      <c r="J555" s="979"/>
      <c r="K555" s="1235"/>
      <c r="L555" s="809"/>
      <c r="M555" s="1236">
        <v>1</v>
      </c>
      <c r="N555" s="927">
        <f t="shared" si="612"/>
        <v>1</v>
      </c>
      <c r="O555" s="814">
        <v>1</v>
      </c>
      <c r="P555" s="811">
        <f t="shared" si="613"/>
        <v>1</v>
      </c>
      <c r="Q555" s="815">
        <v>1</v>
      </c>
      <c r="R555" s="505">
        <f t="shared" si="614"/>
        <v>0</v>
      </c>
      <c r="S555" s="815">
        <f t="shared" si="615"/>
        <v>0</v>
      </c>
      <c r="T555" s="946" t="s">
        <v>46</v>
      </c>
      <c r="U555" s="926">
        <v>0.26963495575221241</v>
      </c>
      <c r="V555" s="927">
        <f t="shared" si="616"/>
        <v>1</v>
      </c>
      <c r="W555" s="935">
        <v>1</v>
      </c>
      <c r="X555" s="820">
        <v>2.1000000000000001E-2</v>
      </c>
      <c r="Y555" s="1238">
        <f t="shared" si="617"/>
        <v>0</v>
      </c>
      <c r="Z555" s="929">
        <f t="shared" si="618"/>
        <v>0</v>
      </c>
      <c r="AA555" s="1258"/>
      <c r="AC555" s="1103"/>
      <c r="AD555" s="1103"/>
      <c r="AE555" s="1103"/>
      <c r="AF555" s="825"/>
      <c r="AH555" s="827"/>
      <c r="AJ555" s="828">
        <f t="shared" si="582"/>
        <v>0</v>
      </c>
      <c r="AK555" s="862"/>
      <c r="AL555" s="828">
        <f t="shared" si="583"/>
        <v>0</v>
      </c>
      <c r="AM555" s="862"/>
      <c r="AO555" s="827"/>
      <c r="AQ555" s="930" t="s">
        <v>1776</v>
      </c>
      <c r="AR555" s="1274" t="s">
        <v>1852</v>
      </c>
      <c r="AS555" s="1259">
        <v>2.1000000000000001E-2</v>
      </c>
      <c r="AT555" s="1194">
        <v>0.26963495575221241</v>
      </c>
      <c r="AV555" s="827"/>
      <c r="AX555" s="1275" t="s">
        <v>1773</v>
      </c>
      <c r="AY555" s="841">
        <v>13</v>
      </c>
      <c r="AZ555" s="841"/>
      <c r="BA555" s="841"/>
      <c r="BB555" s="935"/>
      <c r="BC555" s="747"/>
      <c r="BD555" s="964"/>
      <c r="BF555" s="830"/>
      <c r="CI555" s="827"/>
    </row>
    <row r="556" spans="1:88" s="824" customFormat="1" ht="13.9" hidden="1" customHeight="1" outlineLevel="1">
      <c r="B556" s="921" t="str">
        <f t="shared" si="611"/>
        <v>Cable, LP Switch: NYY 2C/0.75</v>
      </c>
      <c r="C556" s="922"/>
      <c r="D556" s="923"/>
      <c r="E556" s="841"/>
      <c r="F556" s="809"/>
      <c r="G556" s="1233"/>
      <c r="H556" s="924" t="s">
        <v>1080</v>
      </c>
      <c r="I556" s="1234"/>
      <c r="J556" s="979"/>
      <c r="K556" s="1235"/>
      <c r="L556" s="809"/>
      <c r="M556" s="1236">
        <v>1</v>
      </c>
      <c r="N556" s="927">
        <f t="shared" si="612"/>
        <v>1</v>
      </c>
      <c r="O556" s="814">
        <v>1</v>
      </c>
      <c r="P556" s="811">
        <f t="shared" si="613"/>
        <v>1</v>
      </c>
      <c r="Q556" s="815">
        <v>1</v>
      </c>
      <c r="R556" s="505">
        <f t="shared" si="614"/>
        <v>0</v>
      </c>
      <c r="S556" s="815">
        <f t="shared" si="615"/>
        <v>0</v>
      </c>
      <c r="T556" s="946" t="s">
        <v>46</v>
      </c>
      <c r="U556" s="926">
        <v>0.26963495575221241</v>
      </c>
      <c r="V556" s="927">
        <f t="shared" si="616"/>
        <v>1</v>
      </c>
      <c r="W556" s="935">
        <v>1</v>
      </c>
      <c r="X556" s="820">
        <v>2.1000000000000001E-2</v>
      </c>
      <c r="Y556" s="1238">
        <f t="shared" si="617"/>
        <v>0</v>
      </c>
      <c r="Z556" s="929">
        <f t="shared" si="618"/>
        <v>0</v>
      </c>
      <c r="AA556" s="1258"/>
      <c r="AC556" s="1103"/>
      <c r="AD556" s="1103"/>
      <c r="AE556" s="1103"/>
      <c r="AF556" s="825"/>
      <c r="AH556" s="827"/>
      <c r="AJ556" s="828">
        <f t="shared" si="582"/>
        <v>0</v>
      </c>
      <c r="AK556" s="862"/>
      <c r="AL556" s="828">
        <f t="shared" si="583"/>
        <v>0</v>
      </c>
      <c r="AM556" s="862"/>
      <c r="AO556" s="827"/>
      <c r="AQ556" s="985" t="s">
        <v>1777</v>
      </c>
      <c r="AR556" s="1274" t="s">
        <v>1852</v>
      </c>
      <c r="AS556" s="1283">
        <v>2.1000000000000001E-2</v>
      </c>
      <c r="AT556" s="1284">
        <v>0.26963495575221241</v>
      </c>
      <c r="AV556" s="827"/>
      <c r="AX556" s="1285" t="s">
        <v>1773</v>
      </c>
      <c r="AY556" s="1010">
        <v>13</v>
      </c>
      <c r="AZ556" s="1010"/>
      <c r="BA556" s="1010"/>
      <c r="BB556" s="986"/>
      <c r="BC556" s="1076"/>
      <c r="BD556" s="991"/>
      <c r="BF556" s="830"/>
      <c r="CI556" s="827"/>
    </row>
    <row r="557" spans="1:88" s="370" customFormat="1" ht="15" collapsed="1">
      <c r="B557" s="895" t="s">
        <v>1856</v>
      </c>
      <c r="C557" s="896"/>
      <c r="D557" s="897"/>
      <c r="E557" s="898"/>
      <c r="F557" s="899"/>
      <c r="G557" s="899"/>
      <c r="H557" s="900"/>
      <c r="I557" s="901"/>
      <c r="J557" s="902"/>
      <c r="K557" s="898"/>
      <c r="L557" s="899"/>
      <c r="M557" s="1311"/>
      <c r="N557" s="1312"/>
      <c r="O557" s="1313"/>
      <c r="P557" s="1314"/>
      <c r="Q557" s="1315"/>
      <c r="R557" s="903"/>
      <c r="S557" s="905"/>
      <c r="T557" s="906"/>
      <c r="U557" s="901"/>
      <c r="V557" s="907"/>
      <c r="W557" s="908"/>
      <c r="X557" s="909"/>
      <c r="Y557" s="1232"/>
      <c r="Z557" s="1069"/>
      <c r="AA557" s="911"/>
      <c r="AB557" s="369"/>
      <c r="AC557" s="912"/>
      <c r="AD557" s="912"/>
      <c r="AE557" s="912"/>
      <c r="AF557" s="913"/>
      <c r="AH557" s="521"/>
      <c r="AJ557" s="483">
        <f t="shared" si="582"/>
        <v>0</v>
      </c>
      <c r="AK557" s="522"/>
      <c r="AL557" s="401">
        <f t="shared" si="583"/>
        <v>0</v>
      </c>
      <c r="AM557" s="523"/>
      <c r="AO557" s="521"/>
      <c r="AQ557" s="1155" t="str">
        <f>+B557</f>
        <v>- Cable Gland, HPLP Switchd: NYY 2C</v>
      </c>
      <c r="AR557" s="1070" t="s">
        <v>1827</v>
      </c>
      <c r="AS557" s="1319" t="s">
        <v>97</v>
      </c>
      <c r="AT557" s="1320" t="s">
        <v>1781</v>
      </c>
      <c r="AV557" s="521"/>
      <c r="AX557" s="918" t="s">
        <v>1494</v>
      </c>
      <c r="AY557" s="919" t="s">
        <v>1128</v>
      </c>
      <c r="AZ557" s="919" t="s">
        <v>1434</v>
      </c>
      <c r="BA557" s="919" t="s">
        <v>1347</v>
      </c>
      <c r="BB557" s="919" t="s">
        <v>1643</v>
      </c>
      <c r="BC557" s="1058"/>
      <c r="BD557" s="940"/>
      <c r="BE557" s="395"/>
      <c r="BF557" s="524"/>
      <c r="BG557" s="395"/>
      <c r="BH557" s="395"/>
      <c r="BI557" s="369"/>
      <c r="BJ557" s="395"/>
      <c r="BK557" s="395"/>
      <c r="BL557" s="395"/>
      <c r="BM557" s="395"/>
      <c r="BN557" s="395"/>
      <c r="BO557" s="395"/>
      <c r="BP557" s="395"/>
      <c r="BQ557" s="369"/>
      <c r="BR557" s="369"/>
      <c r="BS557" s="395"/>
      <c r="BT557" s="369"/>
      <c r="BU557" s="369"/>
      <c r="BV557" s="369"/>
      <c r="BW557" s="369"/>
      <c r="BX557" s="369"/>
      <c r="BY557" s="369"/>
      <c r="BZ557" s="369"/>
      <c r="CA557" s="369"/>
      <c r="CB557" s="369"/>
      <c r="CC557" s="369"/>
      <c r="CD557" s="369"/>
      <c r="CE557" s="369"/>
      <c r="CF557" s="369"/>
      <c r="CG557" s="369"/>
      <c r="CH557" s="395"/>
      <c r="CI557" s="524"/>
      <c r="CJ557" s="369"/>
    </row>
    <row r="558" spans="1:88" s="747" customFormat="1" ht="13.9" hidden="1" customHeight="1" outlineLevel="1">
      <c r="A558" s="824"/>
      <c r="B558" s="1231" t="str">
        <f>"Cable Gland, "&amp;AQ558&amp;": "&amp;AR558</f>
        <v>Cable Gland, HPLP Compressor 1.8-30hp NYY 2C/0.75: EG-21</v>
      </c>
      <c r="C558" s="922"/>
      <c r="D558" s="1239"/>
      <c r="E558" s="1235"/>
      <c r="F558" s="1233"/>
      <c r="G558" s="1233"/>
      <c r="H558" s="924" t="s">
        <v>100</v>
      </c>
      <c r="I558" s="1234"/>
      <c r="J558" s="979"/>
      <c r="K558" s="1235"/>
      <c r="L558" s="1233"/>
      <c r="M558" s="1236">
        <v>1</v>
      </c>
      <c r="N558" s="813">
        <f>IF(I558&gt;0,22/28*((I558/1000)^2-(I558/1000-2*J558/1000)^2)*K558/1000,IF(J558&gt;0,J558/1000*K558/1000*L558/1000, IF(K558&gt;0,K558/1000*L558/1000, IF(L558=0,1,L558/1000))))</f>
        <v>1</v>
      </c>
      <c r="O558" s="814">
        <v>2</v>
      </c>
      <c r="P558" s="811">
        <f>M558*N558*O558</f>
        <v>2</v>
      </c>
      <c r="Q558" s="815">
        <v>1</v>
      </c>
      <c r="R558" s="505">
        <f>+R$532</f>
        <v>0</v>
      </c>
      <c r="S558" s="815">
        <f t="shared" ref="S558" si="619">P558*AA558*Q558*R558</f>
        <v>0</v>
      </c>
      <c r="T558" s="946" t="s">
        <v>115</v>
      </c>
      <c r="U558" s="946">
        <v>3800</v>
      </c>
      <c r="V558" s="927">
        <f>1/VLOOKUP(T558,Y$12:Z$18,2,FALSE)</f>
        <v>6.8240753377917299E-5</v>
      </c>
      <c r="W558" s="935">
        <v>1</v>
      </c>
      <c r="X558" s="820">
        <v>0.15</v>
      </c>
      <c r="Y558" s="1238">
        <f>+P558*R558*AA558*X558</f>
        <v>0</v>
      </c>
      <c r="Z558" s="929">
        <f>S558*U558*V558*W558</f>
        <v>0</v>
      </c>
      <c r="AA558" s="823">
        <v>1</v>
      </c>
      <c r="AC558" s="1103">
        <v>1</v>
      </c>
      <c r="AD558" s="1103">
        <v>1</v>
      </c>
      <c r="AE558" s="1103">
        <v>1</v>
      </c>
      <c r="AF558" s="825">
        <v>1</v>
      </c>
      <c r="AG558" s="824"/>
      <c r="AH558" s="827"/>
      <c r="AI558" s="824"/>
      <c r="AJ558" s="828">
        <f t="shared" si="582"/>
        <v>0</v>
      </c>
      <c r="AK558" s="862"/>
      <c r="AL558" s="828">
        <f t="shared" si="583"/>
        <v>0</v>
      </c>
      <c r="AM558" s="862"/>
      <c r="AN558" s="824"/>
      <c r="AO558" s="827"/>
      <c r="AP558" s="824"/>
      <c r="AQ558" s="985" t="s">
        <v>1857</v>
      </c>
      <c r="AR558" s="1282" t="s">
        <v>1843</v>
      </c>
      <c r="AS558" s="1283"/>
      <c r="AT558" s="1321">
        <v>3800</v>
      </c>
      <c r="AU558" s="824"/>
      <c r="AV558" s="827"/>
      <c r="AW558" s="824"/>
      <c r="AX558" s="1085" t="s">
        <v>1773</v>
      </c>
      <c r="AY558" s="1328">
        <v>13</v>
      </c>
      <c r="AZ558" s="1324">
        <v>1.2</v>
      </c>
      <c r="BA558" s="1324">
        <v>2.85</v>
      </c>
      <c r="BB558" s="1325"/>
      <c r="BC558" s="1326"/>
      <c r="BD558" s="1327"/>
      <c r="BF558" s="830"/>
      <c r="BG558" s="936"/>
      <c r="BH558" s="936"/>
      <c r="BI558" s="1248"/>
      <c r="BJ558" s="824"/>
      <c r="BO558" s="936"/>
      <c r="BT558" s="824"/>
      <c r="BU558" s="824"/>
      <c r="BV558" s="824"/>
      <c r="BW558" s="824"/>
      <c r="BX558" s="824"/>
      <c r="BZ558" s="824"/>
      <c r="CA558" s="824"/>
      <c r="CB558" s="824"/>
      <c r="CC558" s="824"/>
      <c r="CD558" s="824"/>
      <c r="CE558" s="824"/>
      <c r="CF558" s="824"/>
      <c r="CG558" s="824"/>
      <c r="CI558" s="830"/>
      <c r="CJ558" s="824"/>
    </row>
    <row r="559" spans="1:88" s="370" customFormat="1" ht="15" collapsed="1">
      <c r="B559" s="783" t="s">
        <v>1858</v>
      </c>
      <c r="C559" s="784"/>
      <c r="D559" s="785"/>
      <c r="E559" s="786"/>
      <c r="F559" s="787"/>
      <c r="G559" s="787"/>
      <c r="H559" s="788" t="s">
        <v>30</v>
      </c>
      <c r="I559" s="789" t="s">
        <v>1162</v>
      </c>
      <c r="J559" s="790" t="s">
        <v>1071</v>
      </c>
      <c r="K559" s="786" t="s">
        <v>1072</v>
      </c>
      <c r="L559" s="787" t="s">
        <v>21</v>
      </c>
      <c r="M559" s="791" t="s">
        <v>82</v>
      </c>
      <c r="N559" s="1329" t="s">
        <v>1163</v>
      </c>
      <c r="O559" s="786" t="s">
        <v>1154</v>
      </c>
      <c r="P559" s="790" t="s">
        <v>1164</v>
      </c>
      <c r="Q559" s="793" t="s">
        <v>34</v>
      </c>
      <c r="R559" s="791">
        <v>1</v>
      </c>
      <c r="S559" s="793" t="s">
        <v>13</v>
      </c>
      <c r="T559" s="794" t="s">
        <v>128</v>
      </c>
      <c r="U559" s="794" t="s">
        <v>111</v>
      </c>
      <c r="V559" s="795" t="s">
        <v>32</v>
      </c>
      <c r="W559" s="796" t="s">
        <v>33</v>
      </c>
      <c r="X559" s="797"/>
      <c r="Y559" s="798">
        <f>SUM(Y560:Y587)</f>
        <v>0.47509999999999997</v>
      </c>
      <c r="Z559" s="799">
        <f>SUM(Z560:Z587)</f>
        <v>5.3383717756244033</v>
      </c>
      <c r="AA559" s="800" t="str">
        <f>+AA$2</f>
        <v>SCU75M1</v>
      </c>
      <c r="AC559" s="801" t="str">
        <f>+AC$2</f>
        <v>SCU75M1</v>
      </c>
      <c r="AD559" s="801" t="str">
        <f>+AD$2</f>
        <v>SCU100M1</v>
      </c>
      <c r="AE559" s="801" t="str">
        <f>+AE$2</f>
        <v>SCU125M1</v>
      </c>
      <c r="AF559" s="802" t="str">
        <f>+AF$2</f>
        <v>SCU150M1</v>
      </c>
      <c r="AH559" s="521"/>
      <c r="AJ559" s="483"/>
      <c r="AK559" s="522">
        <f>SUM(AJ560:AJ587)</f>
        <v>0.47509999999999997</v>
      </c>
      <c r="AL559" s="401"/>
      <c r="AM559" s="523">
        <f>SUM(AL560:AL587)</f>
        <v>5.3383717756244033</v>
      </c>
      <c r="AO559" s="521"/>
      <c r="AP559" s="395"/>
      <c r="AQ559" s="395"/>
      <c r="AR559" s="893"/>
      <c r="AS559" s="893"/>
      <c r="AT559" s="893"/>
      <c r="AV559" s="521"/>
      <c r="AX559" s="395"/>
      <c r="AY559" s="395"/>
      <c r="AZ559" s="395"/>
      <c r="BA559" s="395"/>
      <c r="BB559" s="395"/>
      <c r="BC559" s="395"/>
      <c r="CI559" s="521"/>
    </row>
    <row r="560" spans="1:88" s="824" customFormat="1" ht="13.9" hidden="1" customHeight="1" outlineLevel="1">
      <c r="B560" s="921" t="s">
        <v>1859</v>
      </c>
      <c r="C560" s="922"/>
      <c r="D560" s="923"/>
      <c r="E560" s="841"/>
      <c r="F560" s="809"/>
      <c r="G560" s="1233"/>
      <c r="H560" s="924" t="s">
        <v>100</v>
      </c>
      <c r="I560" s="1234"/>
      <c r="J560" s="979"/>
      <c r="K560" s="1235"/>
      <c r="L560" s="809"/>
      <c r="M560" s="1236">
        <v>1</v>
      </c>
      <c r="N560" s="927">
        <f t="shared" ref="N560:N583" si="620">IF(I560&gt;0,22/28*((I560/1000)^2-(I560/1000-2*J560/1000)^2)*K560/1000,IF(J560&gt;0,J560/1000*K560/1000*L560/1000, IF(K560&gt;0,K560/1000*L560/1000, IF(L560=0,1,L560/1000))))</f>
        <v>1</v>
      </c>
      <c r="O560" s="814">
        <v>1</v>
      </c>
      <c r="P560" s="811">
        <f t="shared" ref="P560:P587" si="621">M560*N560*O560</f>
        <v>1</v>
      </c>
      <c r="Q560" s="815">
        <v>1</v>
      </c>
      <c r="R560" s="505">
        <f>+R$559</f>
        <v>1</v>
      </c>
      <c r="S560" s="815">
        <f t="shared" si="598"/>
        <v>4</v>
      </c>
      <c r="T560" s="946" t="s">
        <v>115</v>
      </c>
      <c r="U560" s="946">
        <v>295</v>
      </c>
      <c r="V560" s="927">
        <f t="shared" ref="V560:V583" si="622">1/VLOOKUP(T560,Y$12:Z$18,2,FALSE)</f>
        <v>6.8240753377917299E-5</v>
      </c>
      <c r="W560" s="935">
        <v>1</v>
      </c>
      <c r="X560" s="820">
        <v>1.7999999999999999E-2</v>
      </c>
      <c r="Y560" s="1238">
        <f t="shared" ref="Y560:Y587" si="623">+P560*R560*AA560*X560</f>
        <v>7.1999999999999995E-2</v>
      </c>
      <c r="Z560" s="929">
        <f t="shared" ref="Z560:Z587" si="624">S560*U560*V560*W560</f>
        <v>8.0524088985942419E-2</v>
      </c>
      <c r="AA560" s="823">
        <v>4</v>
      </c>
      <c r="AC560" s="1103">
        <v>4</v>
      </c>
      <c r="AD560" s="1103">
        <v>4</v>
      </c>
      <c r="AE560" s="1103">
        <v>4</v>
      </c>
      <c r="AF560" s="825">
        <v>4</v>
      </c>
      <c r="AH560" s="827"/>
      <c r="AJ560" s="828">
        <f t="shared" ref="AJ560:AJ583" si="625">+Y560</f>
        <v>7.1999999999999995E-2</v>
      </c>
      <c r="AK560" s="862"/>
      <c r="AL560" s="828">
        <f t="shared" ref="AL560:AL583" si="626">+Z560</f>
        <v>8.0524088985942419E-2</v>
      </c>
      <c r="AM560" s="862"/>
      <c r="AO560" s="827"/>
      <c r="AU560" s="936"/>
      <c r="AV560" s="827"/>
      <c r="AW560" s="936"/>
      <c r="CI560" s="827"/>
    </row>
    <row r="561" spans="2:87" s="824" customFormat="1" ht="13.9" hidden="1" customHeight="1" outlineLevel="1">
      <c r="B561" s="921" t="s">
        <v>1860</v>
      </c>
      <c r="C561" s="922"/>
      <c r="D561" s="1239"/>
      <c r="E561" s="841"/>
      <c r="F561" s="809"/>
      <c r="G561" s="1233"/>
      <c r="H561" s="924" t="s">
        <v>100</v>
      </c>
      <c r="I561" s="1234"/>
      <c r="J561" s="979"/>
      <c r="K561" s="1235"/>
      <c r="L561" s="1233"/>
      <c r="M561" s="1236">
        <v>1</v>
      </c>
      <c r="N561" s="927">
        <f t="shared" si="620"/>
        <v>1</v>
      </c>
      <c r="O561" s="814">
        <v>1</v>
      </c>
      <c r="P561" s="811">
        <f t="shared" si="621"/>
        <v>1</v>
      </c>
      <c r="Q561" s="815">
        <v>1</v>
      </c>
      <c r="R561" s="505">
        <f t="shared" ref="R561:R587" si="627">+R$559</f>
        <v>1</v>
      </c>
      <c r="S561" s="815">
        <f t="shared" si="598"/>
        <v>4</v>
      </c>
      <c r="T561" s="946" t="s">
        <v>115</v>
      </c>
      <c r="U561" s="946">
        <v>40</v>
      </c>
      <c r="V561" s="927">
        <f t="shared" si="622"/>
        <v>6.8240753377917299E-5</v>
      </c>
      <c r="W561" s="935">
        <v>1</v>
      </c>
      <c r="X561" s="820">
        <v>7.0000000000000001E-3</v>
      </c>
      <c r="Y561" s="1238">
        <f t="shared" si="623"/>
        <v>2.8000000000000001E-2</v>
      </c>
      <c r="Z561" s="929">
        <f t="shared" si="624"/>
        <v>1.0918520540466768E-2</v>
      </c>
      <c r="AA561" s="823">
        <v>4</v>
      </c>
      <c r="AC561" s="1103">
        <v>4</v>
      </c>
      <c r="AD561" s="1103">
        <v>4</v>
      </c>
      <c r="AE561" s="1103">
        <v>4</v>
      </c>
      <c r="AF561" s="825">
        <v>4</v>
      </c>
      <c r="AH561" s="827"/>
      <c r="AJ561" s="828">
        <f t="shared" si="625"/>
        <v>2.8000000000000001E-2</v>
      </c>
      <c r="AK561" s="862"/>
      <c r="AL561" s="828">
        <f t="shared" si="626"/>
        <v>1.0918520540466768E-2</v>
      </c>
      <c r="AM561" s="862"/>
      <c r="AO561" s="827"/>
      <c r="AV561" s="827"/>
      <c r="CI561" s="827"/>
    </row>
    <row r="562" spans="2:87" s="824" customFormat="1" ht="13.9" hidden="1" customHeight="1" outlineLevel="1">
      <c r="B562" s="921" t="s">
        <v>1861</v>
      </c>
      <c r="C562" s="922"/>
      <c r="D562" s="1239"/>
      <c r="E562" s="841"/>
      <c r="F562" s="809"/>
      <c r="G562" s="1233"/>
      <c r="H562" s="924" t="s">
        <v>100</v>
      </c>
      <c r="I562" s="1234"/>
      <c r="J562" s="979"/>
      <c r="K562" s="1235"/>
      <c r="L562" s="1233"/>
      <c r="M562" s="1236">
        <v>1</v>
      </c>
      <c r="N562" s="927">
        <f t="shared" si="620"/>
        <v>1</v>
      </c>
      <c r="O562" s="814">
        <v>1</v>
      </c>
      <c r="P562" s="811">
        <f t="shared" si="621"/>
        <v>1</v>
      </c>
      <c r="Q562" s="815">
        <v>1</v>
      </c>
      <c r="R562" s="505">
        <f t="shared" si="627"/>
        <v>1</v>
      </c>
      <c r="S562" s="815">
        <f t="shared" si="598"/>
        <v>4</v>
      </c>
      <c r="T562" s="946" t="s">
        <v>115</v>
      </c>
      <c r="U562" s="946">
        <v>35</v>
      </c>
      <c r="V562" s="927">
        <f t="shared" si="622"/>
        <v>6.8240753377917299E-5</v>
      </c>
      <c r="W562" s="935">
        <v>1</v>
      </c>
      <c r="X562" s="820">
        <v>1.4E-3</v>
      </c>
      <c r="Y562" s="1238">
        <f t="shared" si="623"/>
        <v>5.5999999999999999E-3</v>
      </c>
      <c r="Z562" s="929">
        <f t="shared" si="624"/>
        <v>9.5537054729084216E-3</v>
      </c>
      <c r="AA562" s="823">
        <v>4</v>
      </c>
      <c r="AC562" s="1103">
        <v>4</v>
      </c>
      <c r="AD562" s="1103">
        <v>4</v>
      </c>
      <c r="AE562" s="1103">
        <v>4</v>
      </c>
      <c r="AF562" s="825">
        <v>4</v>
      </c>
      <c r="AH562" s="827"/>
      <c r="AJ562" s="828">
        <f t="shared" si="625"/>
        <v>5.5999999999999999E-3</v>
      </c>
      <c r="AK562" s="862"/>
      <c r="AL562" s="828">
        <f t="shared" si="626"/>
        <v>9.5537054729084216E-3</v>
      </c>
      <c r="AM562" s="862"/>
      <c r="AO562" s="827"/>
      <c r="AV562" s="827"/>
      <c r="CI562" s="827"/>
    </row>
    <row r="563" spans="2:87" s="824" customFormat="1" ht="13.9" hidden="1" customHeight="1" outlineLevel="1">
      <c r="B563" s="1072" t="s">
        <v>1862</v>
      </c>
      <c r="C563" s="1073"/>
      <c r="D563" s="1240"/>
      <c r="E563" s="1010"/>
      <c r="F563" s="987"/>
      <c r="G563" s="1241"/>
      <c r="H563" s="1075" t="s">
        <v>100</v>
      </c>
      <c r="I563" s="1242"/>
      <c r="J563" s="1006"/>
      <c r="K563" s="1243"/>
      <c r="L563" s="1241"/>
      <c r="M563" s="1244">
        <v>1</v>
      </c>
      <c r="N563" s="1000">
        <f t="shared" si="620"/>
        <v>1</v>
      </c>
      <c r="O563" s="994">
        <v>1</v>
      </c>
      <c r="P563" s="989">
        <f t="shared" si="621"/>
        <v>1</v>
      </c>
      <c r="Q563" s="1007">
        <v>1</v>
      </c>
      <c r="R563" s="996">
        <f t="shared" si="627"/>
        <v>1</v>
      </c>
      <c r="S563" s="1007">
        <f t="shared" si="598"/>
        <v>4</v>
      </c>
      <c r="T563" s="999" t="s">
        <v>115</v>
      </c>
      <c r="U563" s="999">
        <v>35</v>
      </c>
      <c r="V563" s="1000">
        <f t="shared" si="622"/>
        <v>6.8240753377917299E-5</v>
      </c>
      <c r="W563" s="986">
        <v>1</v>
      </c>
      <c r="X563" s="1008">
        <v>5.4000000000000003E-3</v>
      </c>
      <c r="Y563" s="1246">
        <f t="shared" si="623"/>
        <v>2.1600000000000001E-2</v>
      </c>
      <c r="Z563" s="1080">
        <f t="shared" si="624"/>
        <v>9.5537054729084216E-3</v>
      </c>
      <c r="AA563" s="1004">
        <v>4</v>
      </c>
      <c r="AC563" s="1247">
        <v>4</v>
      </c>
      <c r="AD563" s="1247">
        <v>4</v>
      </c>
      <c r="AE563" s="1247">
        <v>4</v>
      </c>
      <c r="AF563" s="1005">
        <v>4</v>
      </c>
      <c r="AH563" s="827"/>
      <c r="AJ563" s="828">
        <f t="shared" si="625"/>
        <v>2.1600000000000001E-2</v>
      </c>
      <c r="AK563" s="862"/>
      <c r="AL563" s="828">
        <f t="shared" si="626"/>
        <v>9.5537054729084216E-3</v>
      </c>
      <c r="AM563" s="862"/>
      <c r="AO563" s="827"/>
      <c r="AV563" s="827"/>
      <c r="CI563" s="827"/>
    </row>
    <row r="564" spans="2:87" s="824" customFormat="1" ht="13.9" hidden="1" customHeight="1" outlineLevel="1">
      <c r="B564" s="1330" t="s">
        <v>1863</v>
      </c>
      <c r="C564" s="1331"/>
      <c r="D564" s="1332"/>
      <c r="E564" s="1280"/>
      <c r="F564" s="1333"/>
      <c r="G564" s="1334"/>
      <c r="H564" s="1083" t="s">
        <v>100</v>
      </c>
      <c r="I564" s="1335"/>
      <c r="J564" s="1336"/>
      <c r="K564" s="1337"/>
      <c r="L564" s="1333"/>
      <c r="M564" s="1338">
        <v>1</v>
      </c>
      <c r="N564" s="1339">
        <f t="shared" si="620"/>
        <v>1</v>
      </c>
      <c r="O564" s="1340">
        <v>1</v>
      </c>
      <c r="P564" s="1341">
        <f t="shared" si="621"/>
        <v>1</v>
      </c>
      <c r="Q564" s="1342">
        <v>1</v>
      </c>
      <c r="R564" s="1343">
        <f t="shared" si="627"/>
        <v>1</v>
      </c>
      <c r="S564" s="1342">
        <f t="shared" si="598"/>
        <v>2</v>
      </c>
      <c r="T564" s="1344" t="s">
        <v>115</v>
      </c>
      <c r="U564" s="1344">
        <v>160</v>
      </c>
      <c r="V564" s="1339">
        <f t="shared" si="622"/>
        <v>6.8240753377917299E-5</v>
      </c>
      <c r="W564" s="1281">
        <v>1</v>
      </c>
      <c r="X564" s="1345">
        <v>1.0999999999999999E-2</v>
      </c>
      <c r="Y564" s="1346">
        <f t="shared" si="623"/>
        <v>2.1999999999999999E-2</v>
      </c>
      <c r="Z564" s="1347">
        <f t="shared" si="624"/>
        <v>2.1837041080933536E-2</v>
      </c>
      <c r="AA564" s="1348">
        <v>2</v>
      </c>
      <c r="AC564" s="1349">
        <v>2</v>
      </c>
      <c r="AD564" s="1349">
        <v>2</v>
      </c>
      <c r="AE564" s="1349">
        <v>2</v>
      </c>
      <c r="AF564" s="1350">
        <v>2</v>
      </c>
      <c r="AH564" s="827"/>
      <c r="AJ564" s="828">
        <f t="shared" si="625"/>
        <v>2.1999999999999999E-2</v>
      </c>
      <c r="AK564" s="862"/>
      <c r="AL564" s="828">
        <f t="shared" si="626"/>
        <v>2.1837041080933536E-2</v>
      </c>
      <c r="AM564" s="862"/>
      <c r="AO564" s="827"/>
      <c r="AV564" s="827"/>
      <c r="CI564" s="827"/>
    </row>
    <row r="565" spans="2:87" s="824" customFormat="1" ht="13.9" hidden="1" customHeight="1" outlineLevel="1">
      <c r="B565" s="921" t="s">
        <v>1860</v>
      </c>
      <c r="C565" s="922"/>
      <c r="D565" s="1239"/>
      <c r="E565" s="841"/>
      <c r="F565" s="809"/>
      <c r="G565" s="1233"/>
      <c r="H565" s="924" t="s">
        <v>100</v>
      </c>
      <c r="I565" s="1234"/>
      <c r="J565" s="979"/>
      <c r="K565" s="1235"/>
      <c r="L565" s="1233"/>
      <c r="M565" s="1236">
        <v>1</v>
      </c>
      <c r="N565" s="927">
        <f t="shared" si="620"/>
        <v>1</v>
      </c>
      <c r="O565" s="814">
        <v>1</v>
      </c>
      <c r="P565" s="811">
        <f t="shared" si="621"/>
        <v>1</v>
      </c>
      <c r="Q565" s="815">
        <v>1</v>
      </c>
      <c r="R565" s="505">
        <f t="shared" si="627"/>
        <v>1</v>
      </c>
      <c r="S565" s="815">
        <f t="shared" si="598"/>
        <v>2</v>
      </c>
      <c r="T565" s="946" t="s">
        <v>115</v>
      </c>
      <c r="U565" s="946">
        <v>40</v>
      </c>
      <c r="V565" s="927">
        <f t="shared" si="622"/>
        <v>6.8240753377917299E-5</v>
      </c>
      <c r="W565" s="935">
        <v>1</v>
      </c>
      <c r="X565" s="820">
        <v>7.0000000000000001E-3</v>
      </c>
      <c r="Y565" s="1238">
        <f t="shared" si="623"/>
        <v>1.4E-2</v>
      </c>
      <c r="Z565" s="929">
        <f t="shared" si="624"/>
        <v>5.4592602702333839E-3</v>
      </c>
      <c r="AA565" s="823">
        <v>2</v>
      </c>
      <c r="AC565" s="1103">
        <v>2</v>
      </c>
      <c r="AD565" s="1103">
        <v>2</v>
      </c>
      <c r="AE565" s="1103">
        <v>2</v>
      </c>
      <c r="AF565" s="825">
        <v>2</v>
      </c>
      <c r="AH565" s="827"/>
      <c r="AJ565" s="828">
        <f t="shared" si="625"/>
        <v>1.4E-2</v>
      </c>
      <c r="AK565" s="862"/>
      <c r="AL565" s="828">
        <f t="shared" si="626"/>
        <v>5.4592602702333839E-3</v>
      </c>
      <c r="AM565" s="862"/>
      <c r="AO565" s="827"/>
      <c r="AV565" s="827"/>
      <c r="CI565" s="827"/>
    </row>
    <row r="566" spans="2:87" s="824" customFormat="1" ht="13.9" hidden="1" customHeight="1" outlineLevel="1">
      <c r="B566" s="921" t="s">
        <v>1861</v>
      </c>
      <c r="C566" s="922"/>
      <c r="D566" s="1239"/>
      <c r="E566" s="841"/>
      <c r="F566" s="809"/>
      <c r="G566" s="1233"/>
      <c r="H566" s="924" t="s">
        <v>100</v>
      </c>
      <c r="I566" s="1234"/>
      <c r="J566" s="979"/>
      <c r="K566" s="1235"/>
      <c r="L566" s="1233"/>
      <c r="M566" s="1236">
        <v>1</v>
      </c>
      <c r="N566" s="927">
        <f t="shared" si="620"/>
        <v>1</v>
      </c>
      <c r="O566" s="814">
        <v>1</v>
      </c>
      <c r="P566" s="811">
        <f t="shared" si="621"/>
        <v>1</v>
      </c>
      <c r="Q566" s="815">
        <v>1</v>
      </c>
      <c r="R566" s="505">
        <f t="shared" si="627"/>
        <v>1</v>
      </c>
      <c r="S566" s="815">
        <f t="shared" si="598"/>
        <v>2</v>
      </c>
      <c r="T566" s="946" t="s">
        <v>115</v>
      </c>
      <c r="U566" s="946">
        <v>35</v>
      </c>
      <c r="V566" s="927">
        <f t="shared" si="622"/>
        <v>6.8240753377917299E-5</v>
      </c>
      <c r="W566" s="935">
        <v>1</v>
      </c>
      <c r="X566" s="820">
        <v>1.4E-3</v>
      </c>
      <c r="Y566" s="1238">
        <f t="shared" si="623"/>
        <v>2.8E-3</v>
      </c>
      <c r="Z566" s="929">
        <f t="shared" si="624"/>
        <v>4.7768527364542108E-3</v>
      </c>
      <c r="AA566" s="823">
        <v>2</v>
      </c>
      <c r="AC566" s="1103">
        <v>2</v>
      </c>
      <c r="AD566" s="1103">
        <v>2</v>
      </c>
      <c r="AE566" s="1103">
        <v>2</v>
      </c>
      <c r="AF566" s="825">
        <v>2</v>
      </c>
      <c r="AH566" s="827"/>
      <c r="AJ566" s="828">
        <f t="shared" si="625"/>
        <v>2.8E-3</v>
      </c>
      <c r="AK566" s="862"/>
      <c r="AL566" s="828">
        <f t="shared" si="626"/>
        <v>4.7768527364542108E-3</v>
      </c>
      <c r="AM566" s="862"/>
      <c r="AO566" s="827"/>
      <c r="AV566" s="827"/>
      <c r="CI566" s="827"/>
    </row>
    <row r="567" spans="2:87" s="824" customFormat="1" ht="13.9" hidden="1" customHeight="1" outlineLevel="1">
      <c r="B567" s="1072" t="s">
        <v>1862</v>
      </c>
      <c r="C567" s="1073"/>
      <c r="D567" s="1240"/>
      <c r="E567" s="1010"/>
      <c r="F567" s="987"/>
      <c r="G567" s="1241"/>
      <c r="H567" s="1075" t="s">
        <v>100</v>
      </c>
      <c r="I567" s="1242"/>
      <c r="J567" s="1006"/>
      <c r="K567" s="1243"/>
      <c r="L567" s="1241"/>
      <c r="M567" s="1244">
        <v>1</v>
      </c>
      <c r="N567" s="1000">
        <f t="shared" si="620"/>
        <v>1</v>
      </c>
      <c r="O567" s="994">
        <v>1</v>
      </c>
      <c r="P567" s="989">
        <f t="shared" si="621"/>
        <v>1</v>
      </c>
      <c r="Q567" s="1007">
        <v>1</v>
      </c>
      <c r="R567" s="996">
        <f t="shared" si="627"/>
        <v>1</v>
      </c>
      <c r="S567" s="1007">
        <f t="shared" si="598"/>
        <v>2</v>
      </c>
      <c r="T567" s="999" t="s">
        <v>115</v>
      </c>
      <c r="U567" s="999">
        <v>35</v>
      </c>
      <c r="V567" s="1000">
        <f t="shared" si="622"/>
        <v>6.8240753377917299E-5</v>
      </c>
      <c r="W567" s="986">
        <v>1</v>
      </c>
      <c r="X567" s="1008">
        <v>5.4000000000000003E-3</v>
      </c>
      <c r="Y567" s="1246">
        <f t="shared" si="623"/>
        <v>1.0800000000000001E-2</v>
      </c>
      <c r="Z567" s="1080">
        <f t="shared" si="624"/>
        <v>4.7768527364542108E-3</v>
      </c>
      <c r="AA567" s="1004">
        <v>2</v>
      </c>
      <c r="AC567" s="1247">
        <v>2</v>
      </c>
      <c r="AD567" s="1247">
        <v>2</v>
      </c>
      <c r="AE567" s="1247">
        <v>2</v>
      </c>
      <c r="AF567" s="1005">
        <v>2</v>
      </c>
      <c r="AH567" s="827"/>
      <c r="AJ567" s="828">
        <f t="shared" si="625"/>
        <v>1.0800000000000001E-2</v>
      </c>
      <c r="AK567" s="862"/>
      <c r="AL567" s="828">
        <f t="shared" si="626"/>
        <v>4.7768527364542108E-3</v>
      </c>
      <c r="AM567" s="862"/>
      <c r="AO567" s="827"/>
      <c r="AV567" s="827"/>
      <c r="CI567" s="827"/>
    </row>
    <row r="568" spans="2:87" s="824" customFormat="1" ht="13.9" hidden="1" customHeight="1" outlineLevel="1">
      <c r="B568" s="1330" t="s">
        <v>1864</v>
      </c>
      <c r="C568" s="1331"/>
      <c r="D568" s="1332"/>
      <c r="E568" s="1280"/>
      <c r="F568" s="1333"/>
      <c r="G568" s="1334"/>
      <c r="H568" s="1083" t="s">
        <v>100</v>
      </c>
      <c r="I568" s="1335"/>
      <c r="J568" s="1336"/>
      <c r="K568" s="1337"/>
      <c r="L568" s="1333"/>
      <c r="M568" s="1338">
        <v>1</v>
      </c>
      <c r="N568" s="1339">
        <f t="shared" si="620"/>
        <v>1</v>
      </c>
      <c r="O568" s="1340">
        <v>1</v>
      </c>
      <c r="P568" s="1341">
        <f t="shared" si="621"/>
        <v>1</v>
      </c>
      <c r="Q568" s="1342">
        <v>1</v>
      </c>
      <c r="R568" s="1343">
        <f t="shared" si="627"/>
        <v>1</v>
      </c>
      <c r="S568" s="1342">
        <f t="shared" si="598"/>
        <v>0</v>
      </c>
      <c r="T568" s="1344" t="s">
        <v>115</v>
      </c>
      <c r="U568" s="1344">
        <v>125</v>
      </c>
      <c r="V568" s="1339">
        <f t="shared" si="622"/>
        <v>6.8240753377917299E-5</v>
      </c>
      <c r="W568" s="1281">
        <v>1</v>
      </c>
      <c r="X568" s="1345">
        <v>2E-3</v>
      </c>
      <c r="Y568" s="1346">
        <f t="shared" si="623"/>
        <v>0</v>
      </c>
      <c r="Z568" s="1347">
        <f t="shared" si="624"/>
        <v>0</v>
      </c>
      <c r="AA568" s="1348"/>
      <c r="AC568" s="1349"/>
      <c r="AD568" s="1349"/>
      <c r="AE568" s="1349"/>
      <c r="AF568" s="1350"/>
      <c r="AH568" s="827"/>
      <c r="AJ568" s="828">
        <f t="shared" si="625"/>
        <v>0</v>
      </c>
      <c r="AK568" s="862"/>
      <c r="AL568" s="828">
        <f t="shared" si="626"/>
        <v>0</v>
      </c>
      <c r="AM568" s="862"/>
      <c r="AO568" s="827"/>
      <c r="AV568" s="827"/>
      <c r="CI568" s="827"/>
    </row>
    <row r="569" spans="2:87" s="824" customFormat="1" ht="13.9" hidden="1" customHeight="1" outlineLevel="1">
      <c r="B569" s="921" t="s">
        <v>1865</v>
      </c>
      <c r="C569" s="922"/>
      <c r="D569" s="1239"/>
      <c r="E569" s="841"/>
      <c r="F569" s="809"/>
      <c r="G569" s="1233"/>
      <c r="H569" s="924" t="s">
        <v>100</v>
      </c>
      <c r="I569" s="1234"/>
      <c r="J569" s="979"/>
      <c r="K569" s="1235"/>
      <c r="L569" s="1233"/>
      <c r="M569" s="1236">
        <v>1</v>
      </c>
      <c r="N569" s="927">
        <f t="shared" si="620"/>
        <v>1</v>
      </c>
      <c r="O569" s="814">
        <v>1</v>
      </c>
      <c r="P569" s="811">
        <f t="shared" si="621"/>
        <v>1</v>
      </c>
      <c r="Q569" s="815">
        <v>1</v>
      </c>
      <c r="R569" s="505">
        <f t="shared" si="627"/>
        <v>1</v>
      </c>
      <c r="S569" s="815">
        <f t="shared" si="598"/>
        <v>0</v>
      </c>
      <c r="T569" s="946" t="s">
        <v>115</v>
      </c>
      <c r="U569" s="946">
        <v>27</v>
      </c>
      <c r="V569" s="927">
        <f t="shared" si="622"/>
        <v>6.8240753377917299E-5</v>
      </c>
      <c r="W569" s="935">
        <v>1</v>
      </c>
      <c r="X569" s="820">
        <v>4.0000000000000001E-3</v>
      </c>
      <c r="Y569" s="1238">
        <f t="shared" si="623"/>
        <v>0</v>
      </c>
      <c r="Z569" s="929">
        <f t="shared" si="624"/>
        <v>0</v>
      </c>
      <c r="AA569" s="823"/>
      <c r="AC569" s="1103"/>
      <c r="AD569" s="1103"/>
      <c r="AE569" s="1103"/>
      <c r="AF569" s="825"/>
      <c r="AH569" s="827"/>
      <c r="AJ569" s="828">
        <f t="shared" si="625"/>
        <v>0</v>
      </c>
      <c r="AK569" s="862"/>
      <c r="AL569" s="828">
        <f t="shared" si="626"/>
        <v>0</v>
      </c>
      <c r="AM569" s="862"/>
      <c r="AO569" s="827"/>
      <c r="AV569" s="827"/>
      <c r="CI569" s="827"/>
    </row>
    <row r="570" spans="2:87" s="824" customFormat="1" ht="13.9" hidden="1" customHeight="1" outlineLevel="1">
      <c r="B570" s="921" t="s">
        <v>1866</v>
      </c>
      <c r="C570" s="922"/>
      <c r="D570" s="1239"/>
      <c r="E570" s="841"/>
      <c r="F570" s="809"/>
      <c r="G570" s="1233"/>
      <c r="H570" s="924" t="s">
        <v>100</v>
      </c>
      <c r="I570" s="1234"/>
      <c r="J570" s="979"/>
      <c r="K570" s="1235"/>
      <c r="L570" s="1233"/>
      <c r="M570" s="1236">
        <v>1</v>
      </c>
      <c r="N570" s="927">
        <f t="shared" si="620"/>
        <v>1</v>
      </c>
      <c r="O570" s="814">
        <v>1</v>
      </c>
      <c r="P570" s="811">
        <f t="shared" si="621"/>
        <v>1</v>
      </c>
      <c r="Q570" s="815">
        <v>1</v>
      </c>
      <c r="R570" s="505">
        <f t="shared" si="627"/>
        <v>1</v>
      </c>
      <c r="S570" s="815">
        <f t="shared" si="598"/>
        <v>0</v>
      </c>
      <c r="T570" s="946" t="s">
        <v>115</v>
      </c>
      <c r="U570" s="946">
        <v>15</v>
      </c>
      <c r="V570" s="927">
        <f t="shared" si="622"/>
        <v>6.8240753377917299E-5</v>
      </c>
      <c r="W570" s="935">
        <v>1</v>
      </c>
      <c r="X570" s="820">
        <v>1E-3</v>
      </c>
      <c r="Y570" s="1238">
        <f t="shared" si="623"/>
        <v>0</v>
      </c>
      <c r="Z570" s="929">
        <f t="shared" si="624"/>
        <v>0</v>
      </c>
      <c r="AA570" s="823"/>
      <c r="AC570" s="1103"/>
      <c r="AD570" s="1103"/>
      <c r="AE570" s="1103"/>
      <c r="AF570" s="825"/>
      <c r="AH570" s="827"/>
      <c r="AJ570" s="828">
        <f t="shared" si="625"/>
        <v>0</v>
      </c>
      <c r="AK570" s="862"/>
      <c r="AL570" s="828">
        <f t="shared" si="626"/>
        <v>0</v>
      </c>
      <c r="AM570" s="862"/>
      <c r="AO570" s="827"/>
      <c r="AV570" s="827"/>
      <c r="CI570" s="827"/>
    </row>
    <row r="571" spans="2:87" s="824" customFormat="1" ht="13.9" hidden="1" customHeight="1" outlineLevel="1">
      <c r="B571" s="1072" t="s">
        <v>1867</v>
      </c>
      <c r="C571" s="1073"/>
      <c r="D571" s="1240"/>
      <c r="E571" s="1010"/>
      <c r="F571" s="987"/>
      <c r="G571" s="1241"/>
      <c r="H571" s="1075" t="s">
        <v>100</v>
      </c>
      <c r="I571" s="1242"/>
      <c r="J571" s="1006"/>
      <c r="K571" s="1243"/>
      <c r="L571" s="1241"/>
      <c r="M571" s="1244">
        <v>1</v>
      </c>
      <c r="N571" s="1000">
        <f t="shared" si="620"/>
        <v>1</v>
      </c>
      <c r="O571" s="994">
        <v>1</v>
      </c>
      <c r="P571" s="989">
        <f t="shared" si="621"/>
        <v>1</v>
      </c>
      <c r="Q571" s="1007">
        <v>1</v>
      </c>
      <c r="R571" s="996">
        <f t="shared" si="627"/>
        <v>1</v>
      </c>
      <c r="S571" s="1007">
        <f t="shared" si="598"/>
        <v>0</v>
      </c>
      <c r="T571" s="999" t="s">
        <v>115</v>
      </c>
      <c r="U571" s="999">
        <v>15</v>
      </c>
      <c r="V571" s="1000">
        <f t="shared" si="622"/>
        <v>6.8240753377917299E-5</v>
      </c>
      <c r="W571" s="986">
        <v>1</v>
      </c>
      <c r="X571" s="1008">
        <v>8.0000000000000004E-4</v>
      </c>
      <c r="Y571" s="1246">
        <f t="shared" si="623"/>
        <v>0</v>
      </c>
      <c r="Z571" s="1080">
        <f t="shared" si="624"/>
        <v>0</v>
      </c>
      <c r="AA571" s="1004"/>
      <c r="AC571" s="1247"/>
      <c r="AD571" s="1247"/>
      <c r="AE571" s="1247"/>
      <c r="AF571" s="1005"/>
      <c r="AH571" s="827"/>
      <c r="AJ571" s="828">
        <f t="shared" si="625"/>
        <v>0</v>
      </c>
      <c r="AK571" s="862"/>
      <c r="AL571" s="828">
        <f t="shared" si="626"/>
        <v>0</v>
      </c>
      <c r="AM571" s="862"/>
      <c r="AO571" s="827"/>
      <c r="AV571" s="827"/>
      <c r="CI571" s="827"/>
    </row>
    <row r="572" spans="2:87" s="824" customFormat="1" ht="13.9" hidden="1" customHeight="1" outlineLevel="1">
      <c r="B572" s="1330" t="s">
        <v>1868</v>
      </c>
      <c r="C572" s="1331"/>
      <c r="D572" s="1332"/>
      <c r="E572" s="1280"/>
      <c r="F572" s="1333"/>
      <c r="G572" s="1334"/>
      <c r="H572" s="1083" t="s">
        <v>100</v>
      </c>
      <c r="I572" s="1335"/>
      <c r="J572" s="1336"/>
      <c r="K572" s="1337"/>
      <c r="L572" s="1333"/>
      <c r="M572" s="1338">
        <v>1</v>
      </c>
      <c r="N572" s="1339">
        <f t="shared" si="620"/>
        <v>1</v>
      </c>
      <c r="O572" s="1340">
        <v>1</v>
      </c>
      <c r="P572" s="1341">
        <f t="shared" si="621"/>
        <v>1</v>
      </c>
      <c r="Q572" s="1342">
        <v>1</v>
      </c>
      <c r="R572" s="1343">
        <f t="shared" si="627"/>
        <v>1</v>
      </c>
      <c r="S572" s="1342">
        <f t="shared" si="598"/>
        <v>6</v>
      </c>
      <c r="T572" s="1344" t="s">
        <v>115</v>
      </c>
      <c r="U572" s="1344">
        <v>80</v>
      </c>
      <c r="V572" s="1339">
        <f t="shared" si="622"/>
        <v>6.8240753377917299E-5</v>
      </c>
      <c r="W572" s="1281">
        <v>1</v>
      </c>
      <c r="X572" s="1345">
        <v>1.0999999999999999E-2</v>
      </c>
      <c r="Y572" s="1346">
        <f t="shared" si="623"/>
        <v>6.6000000000000003E-2</v>
      </c>
      <c r="Z572" s="1347">
        <f t="shared" si="624"/>
        <v>3.2755561621400302E-2</v>
      </c>
      <c r="AA572" s="1348">
        <v>6</v>
      </c>
      <c r="AC572" s="1349">
        <v>6</v>
      </c>
      <c r="AD572" s="1349">
        <v>6</v>
      </c>
      <c r="AE572" s="1349">
        <v>6</v>
      </c>
      <c r="AF572" s="1350">
        <v>6</v>
      </c>
      <c r="AH572" s="827"/>
      <c r="AJ572" s="828">
        <f t="shared" si="625"/>
        <v>6.6000000000000003E-2</v>
      </c>
      <c r="AK572" s="862"/>
      <c r="AL572" s="828">
        <f t="shared" si="626"/>
        <v>3.2755561621400302E-2</v>
      </c>
      <c r="AM572" s="862"/>
      <c r="AO572" s="827"/>
      <c r="AV572" s="827"/>
      <c r="CI572" s="827"/>
    </row>
    <row r="573" spans="2:87" s="824" customFormat="1" ht="13.9" hidden="1" customHeight="1" outlineLevel="1">
      <c r="B573" s="1072" t="s">
        <v>1869</v>
      </c>
      <c r="C573" s="1073"/>
      <c r="D573" s="1240"/>
      <c r="E573" s="1010"/>
      <c r="F573" s="987"/>
      <c r="G573" s="1241"/>
      <c r="H573" s="1075" t="s">
        <v>100</v>
      </c>
      <c r="I573" s="1242"/>
      <c r="J573" s="1006"/>
      <c r="K573" s="1243"/>
      <c r="L573" s="1241"/>
      <c r="M573" s="1244">
        <v>1</v>
      </c>
      <c r="N573" s="1000">
        <f t="shared" si="620"/>
        <v>1</v>
      </c>
      <c r="O573" s="994">
        <v>1</v>
      </c>
      <c r="P573" s="989">
        <f t="shared" si="621"/>
        <v>1</v>
      </c>
      <c r="Q573" s="1007">
        <v>1</v>
      </c>
      <c r="R573" s="996">
        <f t="shared" si="627"/>
        <v>1</v>
      </c>
      <c r="S573" s="1007">
        <f t="shared" si="598"/>
        <v>6</v>
      </c>
      <c r="T573" s="999" t="s">
        <v>115</v>
      </c>
      <c r="U573" s="999">
        <v>930</v>
      </c>
      <c r="V573" s="1000">
        <f t="shared" si="622"/>
        <v>6.8240753377917299E-5</v>
      </c>
      <c r="W573" s="986">
        <v>1</v>
      </c>
      <c r="X573" s="1008">
        <v>2E-3</v>
      </c>
      <c r="Y573" s="1246">
        <f t="shared" si="623"/>
        <v>1.2E-2</v>
      </c>
      <c r="Z573" s="1080">
        <f t="shared" si="624"/>
        <v>0.38078340384877851</v>
      </c>
      <c r="AA573" s="1004">
        <v>6</v>
      </c>
      <c r="AC573" s="1247">
        <v>6</v>
      </c>
      <c r="AD573" s="1247">
        <v>6</v>
      </c>
      <c r="AE573" s="1247">
        <v>6</v>
      </c>
      <c r="AF573" s="1005">
        <v>6</v>
      </c>
      <c r="AH573" s="827"/>
      <c r="AJ573" s="828">
        <f t="shared" si="625"/>
        <v>1.2E-2</v>
      </c>
      <c r="AK573" s="862"/>
      <c r="AL573" s="828">
        <f t="shared" si="626"/>
        <v>0.38078340384877851</v>
      </c>
      <c r="AM573" s="862"/>
      <c r="AO573" s="827"/>
      <c r="AV573" s="827"/>
      <c r="CI573" s="827"/>
    </row>
    <row r="574" spans="2:87" s="824" customFormat="1" ht="13.9" hidden="1" customHeight="1" outlineLevel="1">
      <c r="B574" s="921" t="s">
        <v>1870</v>
      </c>
      <c r="C574" s="922"/>
      <c r="D574" s="1239"/>
      <c r="E574" s="841"/>
      <c r="F574" s="809"/>
      <c r="G574" s="1233"/>
      <c r="H574" s="924" t="s">
        <v>100</v>
      </c>
      <c r="I574" s="1234"/>
      <c r="J574" s="979"/>
      <c r="K574" s="1235"/>
      <c r="L574" s="1233"/>
      <c r="M574" s="1236">
        <v>1</v>
      </c>
      <c r="N574" s="927">
        <f t="shared" si="620"/>
        <v>1</v>
      </c>
      <c r="O574" s="814">
        <v>1</v>
      </c>
      <c r="P574" s="811">
        <f t="shared" si="621"/>
        <v>1</v>
      </c>
      <c r="Q574" s="815">
        <v>1</v>
      </c>
      <c r="R574" s="505">
        <f t="shared" si="627"/>
        <v>1</v>
      </c>
      <c r="S574" s="815">
        <f t="shared" si="598"/>
        <v>12</v>
      </c>
      <c r="T574" s="946" t="s">
        <v>115</v>
      </c>
      <c r="U574" s="946">
        <v>63</v>
      </c>
      <c r="V574" s="927">
        <f t="shared" si="622"/>
        <v>6.8240753377917299E-5</v>
      </c>
      <c r="W574" s="935">
        <v>1</v>
      </c>
      <c r="X574" s="820">
        <v>1.4000000000000002E-3</v>
      </c>
      <c r="Y574" s="1238">
        <f t="shared" si="623"/>
        <v>1.6800000000000002E-2</v>
      </c>
      <c r="Z574" s="929">
        <f t="shared" si="624"/>
        <v>5.1590009553705476E-2</v>
      </c>
      <c r="AA574" s="823">
        <v>12</v>
      </c>
      <c r="AC574" s="1103">
        <v>12</v>
      </c>
      <c r="AD574" s="1103">
        <v>12</v>
      </c>
      <c r="AE574" s="1103">
        <v>12</v>
      </c>
      <c r="AF574" s="825">
        <v>12</v>
      </c>
      <c r="AH574" s="827"/>
      <c r="AJ574" s="828">
        <f t="shared" si="625"/>
        <v>1.6800000000000002E-2</v>
      </c>
      <c r="AK574" s="862"/>
      <c r="AL574" s="828">
        <f t="shared" si="626"/>
        <v>5.1590009553705476E-2</v>
      </c>
      <c r="AM574" s="862"/>
      <c r="AO574" s="827"/>
      <c r="AV574" s="827"/>
      <c r="CI574" s="827"/>
    </row>
    <row r="575" spans="2:87" s="824" customFormat="1" ht="13.9" hidden="1" customHeight="1" outlineLevel="1">
      <c r="B575" s="921" t="s">
        <v>1871</v>
      </c>
      <c r="C575" s="922"/>
      <c r="D575" s="1239"/>
      <c r="E575" s="841"/>
      <c r="F575" s="809"/>
      <c r="G575" s="1233"/>
      <c r="H575" s="924" t="s">
        <v>100</v>
      </c>
      <c r="I575" s="1234"/>
      <c r="J575" s="979"/>
      <c r="K575" s="1235"/>
      <c r="L575" s="1233"/>
      <c r="M575" s="1236">
        <v>1</v>
      </c>
      <c r="N575" s="927">
        <f t="shared" si="620"/>
        <v>1</v>
      </c>
      <c r="O575" s="814">
        <v>1</v>
      </c>
      <c r="P575" s="811">
        <f t="shared" si="621"/>
        <v>1</v>
      </c>
      <c r="Q575" s="815">
        <v>1</v>
      </c>
      <c r="R575" s="505">
        <f t="shared" si="627"/>
        <v>1</v>
      </c>
      <c r="S575" s="815">
        <f t="shared" si="598"/>
        <v>15</v>
      </c>
      <c r="T575" s="946" t="s">
        <v>115</v>
      </c>
      <c r="U575" s="946">
        <v>78</v>
      </c>
      <c r="V575" s="927">
        <f t="shared" si="622"/>
        <v>6.8240753377917299E-5</v>
      </c>
      <c r="W575" s="935">
        <v>1</v>
      </c>
      <c r="X575" s="820">
        <v>2E-3</v>
      </c>
      <c r="Y575" s="1238">
        <f t="shared" si="623"/>
        <v>0.03</v>
      </c>
      <c r="Z575" s="929">
        <f t="shared" si="624"/>
        <v>7.9841681452163235E-2</v>
      </c>
      <c r="AA575" s="823">
        <v>15</v>
      </c>
      <c r="AC575" s="1103">
        <v>15</v>
      </c>
      <c r="AD575" s="1103">
        <v>15</v>
      </c>
      <c r="AE575" s="1103">
        <v>15</v>
      </c>
      <c r="AF575" s="825">
        <v>15</v>
      </c>
      <c r="AH575" s="827"/>
      <c r="AJ575" s="828">
        <f t="shared" si="625"/>
        <v>0.03</v>
      </c>
      <c r="AK575" s="862"/>
      <c r="AL575" s="828">
        <f t="shared" si="626"/>
        <v>7.9841681452163235E-2</v>
      </c>
      <c r="AM575" s="862"/>
      <c r="AO575" s="827"/>
      <c r="AV575" s="827"/>
      <c r="CI575" s="827"/>
    </row>
    <row r="576" spans="2:87" s="824" customFormat="1" ht="13.9" hidden="1" customHeight="1" outlineLevel="1">
      <c r="B576" s="921" t="s">
        <v>1872</v>
      </c>
      <c r="C576" s="922"/>
      <c r="D576" s="923"/>
      <c r="E576" s="841"/>
      <c r="F576" s="809"/>
      <c r="G576" s="1233"/>
      <c r="H576" s="924" t="s">
        <v>100</v>
      </c>
      <c r="I576" s="1234"/>
      <c r="J576" s="979"/>
      <c r="K576" s="1235"/>
      <c r="L576" s="809"/>
      <c r="M576" s="1236">
        <v>1</v>
      </c>
      <c r="N576" s="927">
        <f t="shared" si="620"/>
        <v>1</v>
      </c>
      <c r="O576" s="814">
        <v>1</v>
      </c>
      <c r="P576" s="811">
        <f t="shared" si="621"/>
        <v>1</v>
      </c>
      <c r="Q576" s="815">
        <v>1</v>
      </c>
      <c r="R576" s="505">
        <f t="shared" si="627"/>
        <v>1</v>
      </c>
      <c r="S576" s="815">
        <f t="shared" si="598"/>
        <v>25</v>
      </c>
      <c r="T576" s="946" t="s">
        <v>115</v>
      </c>
      <c r="U576" s="946">
        <v>78</v>
      </c>
      <c r="V576" s="927">
        <f t="shared" si="622"/>
        <v>6.8240753377917299E-5</v>
      </c>
      <c r="W576" s="935">
        <v>1</v>
      </c>
      <c r="X576" s="820">
        <v>2E-3</v>
      </c>
      <c r="Y576" s="1238">
        <f t="shared" si="623"/>
        <v>0.05</v>
      </c>
      <c r="Z576" s="929">
        <f t="shared" si="624"/>
        <v>0.13306946908693873</v>
      </c>
      <c r="AA576" s="823">
        <v>25</v>
      </c>
      <c r="AC576" s="1103">
        <v>25</v>
      </c>
      <c r="AD576" s="1103">
        <v>25</v>
      </c>
      <c r="AE576" s="1103">
        <v>25</v>
      </c>
      <c r="AF576" s="825">
        <v>25</v>
      </c>
      <c r="AH576" s="827"/>
      <c r="AJ576" s="828">
        <f t="shared" si="625"/>
        <v>0.05</v>
      </c>
      <c r="AK576" s="862"/>
      <c r="AL576" s="828">
        <f t="shared" si="626"/>
        <v>0.13306946908693873</v>
      </c>
      <c r="AM576" s="862"/>
      <c r="AO576" s="827"/>
      <c r="AV576" s="827"/>
      <c r="CI576" s="827"/>
    </row>
    <row r="577" spans="1:88" s="824" customFormat="1" ht="13.9" hidden="1" customHeight="1" outlineLevel="1">
      <c r="B577" s="921" t="s">
        <v>1873</v>
      </c>
      <c r="C577" s="922"/>
      <c r="D577" s="1239"/>
      <c r="E577" s="841"/>
      <c r="F577" s="809"/>
      <c r="G577" s="1233"/>
      <c r="H577" s="924" t="s">
        <v>100</v>
      </c>
      <c r="I577" s="1234"/>
      <c r="J577" s="979"/>
      <c r="K577" s="1235"/>
      <c r="L577" s="1233"/>
      <c r="M577" s="1236">
        <v>1</v>
      </c>
      <c r="N577" s="927">
        <f t="shared" si="620"/>
        <v>1</v>
      </c>
      <c r="O577" s="814">
        <v>1</v>
      </c>
      <c r="P577" s="811">
        <f t="shared" si="621"/>
        <v>1</v>
      </c>
      <c r="Q577" s="815">
        <v>1</v>
      </c>
      <c r="R577" s="505">
        <f t="shared" si="627"/>
        <v>1</v>
      </c>
      <c r="S577" s="815">
        <f t="shared" si="598"/>
        <v>10</v>
      </c>
      <c r="T577" s="946" t="s">
        <v>115</v>
      </c>
      <c r="U577" s="946">
        <v>85</v>
      </c>
      <c r="V577" s="927">
        <f t="shared" si="622"/>
        <v>6.8240753377917299E-5</v>
      </c>
      <c r="W577" s="935">
        <v>1</v>
      </c>
      <c r="X577" s="820">
        <v>2.8000000000000004E-3</v>
      </c>
      <c r="Y577" s="1238">
        <f t="shared" si="623"/>
        <v>2.8000000000000004E-2</v>
      </c>
      <c r="Z577" s="929">
        <f t="shared" si="624"/>
        <v>5.8004640371229703E-2</v>
      </c>
      <c r="AA577" s="823">
        <v>10</v>
      </c>
      <c r="AC577" s="1103">
        <v>10</v>
      </c>
      <c r="AD577" s="1103">
        <v>10</v>
      </c>
      <c r="AE577" s="1103">
        <v>10</v>
      </c>
      <c r="AF577" s="825">
        <v>10</v>
      </c>
      <c r="AH577" s="827"/>
      <c r="AJ577" s="828">
        <f t="shared" si="625"/>
        <v>2.8000000000000004E-2</v>
      </c>
      <c r="AK577" s="862"/>
      <c r="AL577" s="828">
        <f t="shared" si="626"/>
        <v>5.8004640371229703E-2</v>
      </c>
      <c r="AM577" s="862"/>
      <c r="AO577" s="827"/>
      <c r="AV577" s="827"/>
      <c r="CI577" s="827"/>
    </row>
    <row r="578" spans="1:88" s="824" customFormat="1" ht="13.9" hidden="1" customHeight="1" outlineLevel="1">
      <c r="B578" s="921" t="s">
        <v>1874</v>
      </c>
      <c r="C578" s="922"/>
      <c r="D578" s="1239"/>
      <c r="E578" s="841"/>
      <c r="F578" s="809"/>
      <c r="G578" s="1233"/>
      <c r="H578" s="924" t="s">
        <v>100</v>
      </c>
      <c r="I578" s="1234"/>
      <c r="J578" s="979"/>
      <c r="K578" s="1235"/>
      <c r="L578" s="1233"/>
      <c r="M578" s="1236">
        <v>1</v>
      </c>
      <c r="N578" s="927">
        <f t="shared" si="620"/>
        <v>1</v>
      </c>
      <c r="O578" s="814">
        <v>1</v>
      </c>
      <c r="P578" s="811">
        <f t="shared" si="621"/>
        <v>1</v>
      </c>
      <c r="Q578" s="815">
        <v>1</v>
      </c>
      <c r="R578" s="505">
        <f t="shared" si="627"/>
        <v>1</v>
      </c>
      <c r="S578" s="815">
        <f t="shared" si="598"/>
        <v>15</v>
      </c>
      <c r="T578" s="946" t="s">
        <v>115</v>
      </c>
      <c r="U578" s="946">
        <v>85</v>
      </c>
      <c r="V578" s="927">
        <f t="shared" si="622"/>
        <v>6.8240753377917299E-5</v>
      </c>
      <c r="W578" s="935">
        <v>1</v>
      </c>
      <c r="X578" s="820">
        <v>2.8000000000000004E-3</v>
      </c>
      <c r="Y578" s="1238">
        <f t="shared" si="623"/>
        <v>4.200000000000001E-2</v>
      </c>
      <c r="Z578" s="929">
        <f t="shared" si="624"/>
        <v>8.7006960556844551E-2</v>
      </c>
      <c r="AA578" s="823">
        <v>15</v>
      </c>
      <c r="AC578" s="1103">
        <v>15</v>
      </c>
      <c r="AD578" s="1103">
        <v>15</v>
      </c>
      <c r="AE578" s="1103">
        <v>15</v>
      </c>
      <c r="AF578" s="825">
        <v>15</v>
      </c>
      <c r="AH578" s="827"/>
      <c r="AJ578" s="828">
        <f t="shared" si="625"/>
        <v>4.200000000000001E-2</v>
      </c>
      <c r="AK578" s="862"/>
      <c r="AL578" s="828">
        <f t="shared" si="626"/>
        <v>8.7006960556844551E-2</v>
      </c>
      <c r="AM578" s="862"/>
      <c r="AO578" s="827"/>
      <c r="AV578" s="827"/>
      <c r="CI578" s="827"/>
    </row>
    <row r="579" spans="1:88" s="824" customFormat="1" ht="13.9" hidden="1" customHeight="1" outlineLevel="1">
      <c r="B579" s="921" t="s">
        <v>1875</v>
      </c>
      <c r="C579" s="922"/>
      <c r="D579" s="1239"/>
      <c r="E579" s="841"/>
      <c r="F579" s="809"/>
      <c r="G579" s="1233"/>
      <c r="H579" s="924" t="s">
        <v>100</v>
      </c>
      <c r="I579" s="1234"/>
      <c r="J579" s="979"/>
      <c r="K579" s="1235"/>
      <c r="L579" s="1233"/>
      <c r="M579" s="1236">
        <v>1</v>
      </c>
      <c r="N579" s="927">
        <f t="shared" si="620"/>
        <v>1</v>
      </c>
      <c r="O579" s="814">
        <v>1</v>
      </c>
      <c r="P579" s="811">
        <f t="shared" si="621"/>
        <v>1</v>
      </c>
      <c r="Q579" s="815">
        <v>1</v>
      </c>
      <c r="R579" s="505">
        <f t="shared" si="627"/>
        <v>1</v>
      </c>
      <c r="S579" s="815">
        <f t="shared" si="598"/>
        <v>0</v>
      </c>
      <c r="T579" s="946" t="s">
        <v>115</v>
      </c>
      <c r="U579" s="946">
        <v>88</v>
      </c>
      <c r="V579" s="927">
        <f t="shared" si="622"/>
        <v>6.8240753377917299E-5</v>
      </c>
      <c r="W579" s="935">
        <v>1</v>
      </c>
      <c r="X579" s="820">
        <v>1.9E-3</v>
      </c>
      <c r="Y579" s="1238">
        <f t="shared" si="623"/>
        <v>0</v>
      </c>
      <c r="Z579" s="929">
        <f t="shared" si="624"/>
        <v>0</v>
      </c>
      <c r="AA579" s="823"/>
      <c r="AC579" s="1103"/>
      <c r="AD579" s="1103"/>
      <c r="AE579" s="1103"/>
      <c r="AF579" s="825"/>
      <c r="AH579" s="827"/>
      <c r="AJ579" s="828">
        <f t="shared" si="625"/>
        <v>0</v>
      </c>
      <c r="AK579" s="862"/>
      <c r="AL579" s="828">
        <f t="shared" si="626"/>
        <v>0</v>
      </c>
      <c r="AM579" s="862"/>
      <c r="AO579" s="827"/>
      <c r="AV579" s="827"/>
      <c r="CI579" s="827"/>
    </row>
    <row r="580" spans="1:88" s="824" customFormat="1" ht="13.9" hidden="1" customHeight="1" outlineLevel="1">
      <c r="B580" s="921" t="s">
        <v>1876</v>
      </c>
      <c r="C580" s="922"/>
      <c r="D580" s="923"/>
      <c r="E580" s="841"/>
      <c r="F580" s="809"/>
      <c r="G580" s="1233"/>
      <c r="H580" s="924" t="s">
        <v>100</v>
      </c>
      <c r="I580" s="1234"/>
      <c r="J580" s="979"/>
      <c r="K580" s="1235"/>
      <c r="L580" s="809"/>
      <c r="M580" s="1236">
        <v>1</v>
      </c>
      <c r="N580" s="927">
        <f t="shared" si="620"/>
        <v>1</v>
      </c>
      <c r="O580" s="814">
        <v>1</v>
      </c>
      <c r="P580" s="811">
        <f t="shared" si="621"/>
        <v>1</v>
      </c>
      <c r="Q580" s="815">
        <v>1</v>
      </c>
      <c r="R580" s="505">
        <f t="shared" si="627"/>
        <v>1</v>
      </c>
      <c r="S580" s="815">
        <f t="shared" si="598"/>
        <v>0</v>
      </c>
      <c r="T580" s="946" t="s">
        <v>115</v>
      </c>
      <c r="U580" s="946">
        <v>45</v>
      </c>
      <c r="V580" s="927">
        <f t="shared" si="622"/>
        <v>6.8240753377917299E-5</v>
      </c>
      <c r="W580" s="935">
        <v>1</v>
      </c>
      <c r="X580" s="820">
        <v>1.4000000000000002E-3</v>
      </c>
      <c r="Y580" s="1238">
        <f t="shared" si="623"/>
        <v>0</v>
      </c>
      <c r="Z580" s="929">
        <f t="shared" si="624"/>
        <v>0</v>
      </c>
      <c r="AA580" s="823"/>
      <c r="AC580" s="1103"/>
      <c r="AD580" s="1103"/>
      <c r="AE580" s="1103"/>
      <c r="AF580" s="825"/>
      <c r="AH580" s="827"/>
      <c r="AJ580" s="828">
        <f t="shared" si="625"/>
        <v>0</v>
      </c>
      <c r="AK580" s="862"/>
      <c r="AL580" s="828">
        <f t="shared" si="626"/>
        <v>0</v>
      </c>
      <c r="AM580" s="862"/>
      <c r="AO580" s="827"/>
      <c r="AV580" s="827"/>
      <c r="CI580" s="827"/>
    </row>
    <row r="581" spans="1:88" s="824" customFormat="1" ht="13.9" hidden="1" customHeight="1" outlineLevel="1">
      <c r="B581" s="921" t="s">
        <v>1877</v>
      </c>
      <c r="C581" s="922"/>
      <c r="D581" s="1239"/>
      <c r="E581" s="841"/>
      <c r="F581" s="809"/>
      <c r="G581" s="1233"/>
      <c r="H581" s="924" t="s">
        <v>100</v>
      </c>
      <c r="I581" s="1234"/>
      <c r="J581" s="979"/>
      <c r="K581" s="1235"/>
      <c r="L581" s="1233"/>
      <c r="M581" s="1236">
        <v>1</v>
      </c>
      <c r="N581" s="927">
        <f t="shared" si="620"/>
        <v>1</v>
      </c>
      <c r="O581" s="814">
        <v>1</v>
      </c>
      <c r="P581" s="811">
        <f t="shared" si="621"/>
        <v>1</v>
      </c>
      <c r="Q581" s="815">
        <v>1</v>
      </c>
      <c r="R581" s="505">
        <f t="shared" si="627"/>
        <v>1</v>
      </c>
      <c r="S581" s="815">
        <f t="shared" si="598"/>
        <v>0</v>
      </c>
      <c r="T581" s="946" t="s">
        <v>115</v>
      </c>
      <c r="U581" s="946">
        <v>75</v>
      </c>
      <c r="V581" s="927">
        <f t="shared" si="622"/>
        <v>6.8240753377917299E-5</v>
      </c>
      <c r="W581" s="935">
        <v>1</v>
      </c>
      <c r="X581" s="820">
        <v>2.8E-3</v>
      </c>
      <c r="Y581" s="1238">
        <f t="shared" si="623"/>
        <v>0</v>
      </c>
      <c r="Z581" s="929">
        <f t="shared" si="624"/>
        <v>0</v>
      </c>
      <c r="AA581" s="823"/>
      <c r="AC581" s="1103"/>
      <c r="AD581" s="1103"/>
      <c r="AE581" s="1103"/>
      <c r="AF581" s="825"/>
      <c r="AH581" s="827"/>
      <c r="AJ581" s="828">
        <f t="shared" si="625"/>
        <v>0</v>
      </c>
      <c r="AK581" s="862"/>
      <c r="AL581" s="828">
        <f t="shared" si="626"/>
        <v>0</v>
      </c>
      <c r="AM581" s="862"/>
      <c r="AO581" s="827"/>
      <c r="AV581" s="827"/>
      <c r="CI581" s="827"/>
    </row>
    <row r="582" spans="1:88" s="824" customFormat="1" ht="13.9" hidden="1" customHeight="1" outlineLevel="1">
      <c r="B582" s="921" t="s">
        <v>1878</v>
      </c>
      <c r="C582" s="922"/>
      <c r="D582" s="1239"/>
      <c r="E582" s="841"/>
      <c r="F582" s="809"/>
      <c r="G582" s="1233"/>
      <c r="H582" s="924" t="s">
        <v>100</v>
      </c>
      <c r="I582" s="1234"/>
      <c r="J582" s="979"/>
      <c r="K582" s="1235"/>
      <c r="L582" s="1233"/>
      <c r="M582" s="1236">
        <v>1</v>
      </c>
      <c r="N582" s="927">
        <f t="shared" si="620"/>
        <v>1</v>
      </c>
      <c r="O582" s="814">
        <v>1</v>
      </c>
      <c r="P582" s="811">
        <f t="shared" si="621"/>
        <v>1</v>
      </c>
      <c r="Q582" s="815">
        <v>1</v>
      </c>
      <c r="R582" s="505">
        <f t="shared" si="627"/>
        <v>1</v>
      </c>
      <c r="S582" s="815">
        <f t="shared" si="598"/>
        <v>0</v>
      </c>
      <c r="T582" s="946" t="s">
        <v>115</v>
      </c>
      <c r="U582" s="946">
        <v>100</v>
      </c>
      <c r="V582" s="927">
        <f t="shared" si="622"/>
        <v>6.8240753377917299E-5</v>
      </c>
      <c r="W582" s="935">
        <v>1</v>
      </c>
      <c r="X582" s="820">
        <v>4.0000000000000001E-3</v>
      </c>
      <c r="Y582" s="1238">
        <f t="shared" si="623"/>
        <v>0</v>
      </c>
      <c r="Z582" s="929">
        <f t="shared" si="624"/>
        <v>0</v>
      </c>
      <c r="AA582" s="823"/>
      <c r="AC582" s="1103"/>
      <c r="AD582" s="1103"/>
      <c r="AE582" s="1103"/>
      <c r="AF582" s="825"/>
      <c r="AH582" s="827"/>
      <c r="AJ582" s="828">
        <f t="shared" si="625"/>
        <v>0</v>
      </c>
      <c r="AK582" s="862"/>
      <c r="AL582" s="828">
        <f t="shared" si="626"/>
        <v>0</v>
      </c>
      <c r="AM582" s="862"/>
      <c r="AO582" s="827"/>
      <c r="AV582" s="827"/>
      <c r="CI582" s="827"/>
    </row>
    <row r="583" spans="1:88" s="824" customFormat="1" ht="13.9" hidden="1" customHeight="1" outlineLevel="1">
      <c r="B583" s="1072" t="s">
        <v>1879</v>
      </c>
      <c r="C583" s="1073"/>
      <c r="D583" s="1240"/>
      <c r="E583" s="1010"/>
      <c r="F583" s="987"/>
      <c r="G583" s="1241"/>
      <c r="H583" s="1075" t="s">
        <v>100</v>
      </c>
      <c r="I583" s="1242"/>
      <c r="J583" s="1006"/>
      <c r="K583" s="1243"/>
      <c r="L583" s="1241"/>
      <c r="M583" s="1244">
        <v>1</v>
      </c>
      <c r="N583" s="1000">
        <f t="shared" si="620"/>
        <v>1</v>
      </c>
      <c r="O583" s="994">
        <v>1</v>
      </c>
      <c r="P583" s="989">
        <f t="shared" si="621"/>
        <v>1</v>
      </c>
      <c r="Q583" s="1007">
        <v>1</v>
      </c>
      <c r="R583" s="996">
        <f t="shared" si="627"/>
        <v>1</v>
      </c>
      <c r="S583" s="1007">
        <f t="shared" si="598"/>
        <v>4</v>
      </c>
      <c r="T583" s="999" t="s">
        <v>115</v>
      </c>
      <c r="U583" s="999">
        <v>430</v>
      </c>
      <c r="V583" s="1000">
        <f t="shared" si="622"/>
        <v>6.8240753377917299E-5</v>
      </c>
      <c r="W583" s="986">
        <v>1</v>
      </c>
      <c r="X583" s="1008">
        <v>0.01</v>
      </c>
      <c r="Y583" s="1246">
        <f t="shared" si="623"/>
        <v>0.04</v>
      </c>
      <c r="Z583" s="1080">
        <f t="shared" si="624"/>
        <v>0.11737409581001776</v>
      </c>
      <c r="AA583" s="1004">
        <v>4</v>
      </c>
      <c r="AC583" s="1247">
        <v>4</v>
      </c>
      <c r="AD583" s="1247">
        <v>4</v>
      </c>
      <c r="AE583" s="1247">
        <v>4</v>
      </c>
      <c r="AF583" s="1005">
        <v>4</v>
      </c>
      <c r="AH583" s="827"/>
      <c r="AJ583" s="828">
        <f t="shared" si="625"/>
        <v>0.04</v>
      </c>
      <c r="AK583" s="862"/>
      <c r="AL583" s="828">
        <f t="shared" si="626"/>
        <v>0.11737409581001776</v>
      </c>
      <c r="AM583" s="862"/>
      <c r="AO583" s="827"/>
      <c r="AV583" s="827"/>
      <c r="CI583" s="827"/>
    </row>
    <row r="584" spans="1:88" s="824" customFormat="1" ht="13.9" hidden="1" customHeight="1" outlineLevel="1">
      <c r="B584" s="921" t="s">
        <v>1880</v>
      </c>
      <c r="C584" s="922"/>
      <c r="D584" s="923"/>
      <c r="E584" s="841"/>
      <c r="F584" s="809"/>
      <c r="G584" s="1233"/>
      <c r="H584" s="924" t="s">
        <v>100</v>
      </c>
      <c r="I584" s="1234"/>
      <c r="J584" s="979"/>
      <c r="K584" s="1235"/>
      <c r="L584" s="809"/>
      <c r="M584" s="1236">
        <v>1</v>
      </c>
      <c r="N584" s="927">
        <f>IF(I584&gt;0,22/28*((I584/1000)^2-(I584/1000-2*J584/1000)^2)*K584/1000,IF(J584&gt;0,J584/1000*K584/1000*L584/1000, IF(K584&gt;0,K584/1000*L584/1000, IF(L584=0,1,L584/1000))))</f>
        <v>1</v>
      </c>
      <c r="O584" s="814">
        <v>1</v>
      </c>
      <c r="P584" s="811">
        <f t="shared" si="621"/>
        <v>1</v>
      </c>
      <c r="Q584" s="815">
        <v>1</v>
      </c>
      <c r="R584" s="505">
        <f t="shared" si="627"/>
        <v>1</v>
      </c>
      <c r="S584" s="815">
        <f t="shared" si="598"/>
        <v>15</v>
      </c>
      <c r="T584" s="946" t="s">
        <v>115</v>
      </c>
      <c r="U584" s="946">
        <v>52.5</v>
      </c>
      <c r="V584" s="927">
        <f>1/VLOOKUP(T584,Y$12:Z$18,2,FALSE)</f>
        <v>6.8240753377917299E-5</v>
      </c>
      <c r="W584" s="935">
        <v>1</v>
      </c>
      <c r="X584" s="820">
        <v>8.9999999999999998E-4</v>
      </c>
      <c r="Y584" s="1238">
        <f t="shared" si="623"/>
        <v>1.35E-2</v>
      </c>
      <c r="Z584" s="929">
        <f t="shared" si="624"/>
        <v>5.3739593285109875E-2</v>
      </c>
      <c r="AA584" s="823">
        <v>15</v>
      </c>
      <c r="AC584" s="1103">
        <v>15</v>
      </c>
      <c r="AD584" s="1103">
        <v>15</v>
      </c>
      <c r="AE584" s="1103">
        <v>15</v>
      </c>
      <c r="AF584" s="825">
        <v>15</v>
      </c>
      <c r="AH584" s="827"/>
      <c r="AJ584" s="828">
        <f>+Y584</f>
        <v>1.35E-2</v>
      </c>
      <c r="AK584" s="862"/>
      <c r="AL584" s="828">
        <f>+Z584</f>
        <v>5.3739593285109875E-2</v>
      </c>
      <c r="AM584" s="862"/>
      <c r="AO584" s="827"/>
      <c r="AV584" s="827"/>
      <c r="CI584" s="827"/>
    </row>
    <row r="585" spans="1:88" s="824" customFormat="1" ht="13.9" hidden="1" customHeight="1" outlineLevel="1">
      <c r="B585" s="921" t="s">
        <v>1881</v>
      </c>
      <c r="C585" s="922"/>
      <c r="D585" s="1239"/>
      <c r="E585" s="841"/>
      <c r="F585" s="809"/>
      <c r="G585" s="1233"/>
      <c r="H585" s="924" t="s">
        <v>100</v>
      </c>
      <c r="I585" s="1234"/>
      <c r="J585" s="979"/>
      <c r="K585" s="1235"/>
      <c r="L585" s="1233"/>
      <c r="M585" s="1236">
        <v>1</v>
      </c>
      <c r="N585" s="927">
        <f>IF(I585&gt;0,22/28*((I585/1000)^2-(I585/1000-2*J585/1000)^2)*K585/1000,IF(J585&gt;0,J585/1000*K585/1000*L585/1000, IF(K585&gt;0,K585/1000*L585/1000, IF(L585=0,1,L585/1000))))</f>
        <v>1</v>
      </c>
      <c r="O585" s="814">
        <v>1</v>
      </c>
      <c r="P585" s="811">
        <f t="shared" si="621"/>
        <v>1</v>
      </c>
      <c r="Q585" s="815">
        <v>1</v>
      </c>
      <c r="R585" s="505">
        <f t="shared" si="627"/>
        <v>1</v>
      </c>
      <c r="S585" s="815">
        <f t="shared" si="598"/>
        <v>0</v>
      </c>
      <c r="T585" s="946" t="s">
        <v>115</v>
      </c>
      <c r="U585" s="946">
        <v>205</v>
      </c>
      <c r="V585" s="927">
        <f>1/VLOOKUP(T585,Y$12:Z$18,2,FALSE)</f>
        <v>6.8240753377917299E-5</v>
      </c>
      <c r="W585" s="935">
        <v>1</v>
      </c>
      <c r="X585" s="820"/>
      <c r="Y585" s="1238">
        <f t="shared" si="623"/>
        <v>0</v>
      </c>
      <c r="Z585" s="929">
        <f t="shared" si="624"/>
        <v>0</v>
      </c>
      <c r="AA585" s="823"/>
      <c r="AC585" s="1103"/>
      <c r="AD585" s="1103"/>
      <c r="AE585" s="1103"/>
      <c r="AF585" s="825"/>
      <c r="AH585" s="827"/>
      <c r="AJ585" s="828">
        <f>+Y585</f>
        <v>0</v>
      </c>
      <c r="AK585" s="862"/>
      <c r="AL585" s="828">
        <f>+Z585</f>
        <v>0</v>
      </c>
      <c r="AM585" s="862"/>
      <c r="AO585" s="827"/>
      <c r="AV585" s="827"/>
      <c r="CI585" s="827"/>
    </row>
    <row r="586" spans="1:88" s="824" customFormat="1" ht="13.9" hidden="1" customHeight="1" outlineLevel="1">
      <c r="B586" s="921" t="s">
        <v>1882</v>
      </c>
      <c r="C586" s="922"/>
      <c r="D586" s="1239"/>
      <c r="E586" s="841"/>
      <c r="F586" s="809"/>
      <c r="G586" s="1233"/>
      <c r="H586" s="924" t="s">
        <v>100</v>
      </c>
      <c r="I586" s="1234"/>
      <c r="J586" s="979"/>
      <c r="K586" s="1235"/>
      <c r="L586" s="1233"/>
      <c r="M586" s="1236">
        <v>1</v>
      </c>
      <c r="N586" s="927">
        <f>IF(I586&gt;0,22/28*((I586/1000)^2-(I586/1000-2*J586/1000)^2)*K586/1000,IF(J586&gt;0,J586/1000*K586/1000*L586/1000, IF(K586&gt;0,K586/1000*L586/1000, IF(L586=0,1,L586/1000))))</f>
        <v>1</v>
      </c>
      <c r="O586" s="814">
        <v>1</v>
      </c>
      <c r="P586" s="811">
        <f t="shared" si="621"/>
        <v>1</v>
      </c>
      <c r="Q586" s="815">
        <v>1</v>
      </c>
      <c r="R586" s="505">
        <f t="shared" si="627"/>
        <v>1</v>
      </c>
      <c r="S586" s="815">
        <f t="shared" si="598"/>
        <v>2</v>
      </c>
      <c r="T586" s="946" t="s">
        <v>115</v>
      </c>
      <c r="U586" s="946">
        <v>30000</v>
      </c>
      <c r="V586" s="927">
        <f>1/VLOOKUP(T586,Y$12:Z$18,2,FALSE)</f>
        <v>6.8240753377917299E-5</v>
      </c>
      <c r="W586" s="935">
        <v>1</v>
      </c>
      <c r="X586" s="820"/>
      <c r="Y586" s="1238">
        <f t="shared" si="623"/>
        <v>0</v>
      </c>
      <c r="Z586" s="929">
        <f t="shared" si="624"/>
        <v>4.094445202675038</v>
      </c>
      <c r="AA586" s="823">
        <v>2</v>
      </c>
      <c r="AC586" s="1103">
        <v>2</v>
      </c>
      <c r="AD586" s="1103">
        <v>2</v>
      </c>
      <c r="AE586" s="1103">
        <v>2</v>
      </c>
      <c r="AF586" s="825">
        <v>2</v>
      </c>
      <c r="AH586" s="827"/>
      <c r="AJ586" s="828">
        <f>+Y586</f>
        <v>0</v>
      </c>
      <c r="AK586" s="862"/>
      <c r="AL586" s="828">
        <f>+Z586</f>
        <v>4.094445202675038</v>
      </c>
      <c r="AM586" s="862"/>
      <c r="AO586" s="827"/>
      <c r="AV586" s="827"/>
      <c r="CI586" s="827"/>
    </row>
    <row r="587" spans="1:88" s="824" customFormat="1" ht="13.9" hidden="1" customHeight="1" outlineLevel="1">
      <c r="B587" s="921" t="s">
        <v>1883</v>
      </c>
      <c r="C587" s="922"/>
      <c r="D587" s="1239"/>
      <c r="E587" s="841"/>
      <c r="F587" s="809"/>
      <c r="G587" s="1233"/>
      <c r="H587" s="924" t="s">
        <v>100</v>
      </c>
      <c r="I587" s="1234"/>
      <c r="J587" s="979"/>
      <c r="K587" s="1235"/>
      <c r="L587" s="1233"/>
      <c r="M587" s="1236">
        <v>1</v>
      </c>
      <c r="N587" s="927">
        <f>IF(I587&gt;0,22/28*((I587/1000)^2-(I587/1000-2*J587/1000)^2)*K587/1000,IF(J587&gt;0,J587/1000*K587/1000*L587/1000, IF(K587&gt;0,K587/1000*L587/1000, IF(L587=0,1,L587/1000))))</f>
        <v>1</v>
      </c>
      <c r="O587" s="814">
        <v>1</v>
      </c>
      <c r="P587" s="811">
        <f t="shared" si="621"/>
        <v>1</v>
      </c>
      <c r="Q587" s="815">
        <v>1</v>
      </c>
      <c r="R587" s="505">
        <f t="shared" si="627"/>
        <v>1</v>
      </c>
      <c r="S587" s="815">
        <f t="shared" si="598"/>
        <v>4</v>
      </c>
      <c r="T587" s="946" t="s">
        <v>115</v>
      </c>
      <c r="U587" s="946">
        <v>375</v>
      </c>
      <c r="V587" s="927">
        <f>1/VLOOKUP(T587,Y$12:Z$18,2,FALSE)</f>
        <v>6.8240753377917299E-5</v>
      </c>
      <c r="W587" s="935">
        <v>1</v>
      </c>
      <c r="X587" s="820"/>
      <c r="Y587" s="1238">
        <f t="shared" si="623"/>
        <v>0</v>
      </c>
      <c r="Z587" s="929">
        <f t="shared" si="624"/>
        <v>0.10236113006687594</v>
      </c>
      <c r="AA587" s="823">
        <v>4</v>
      </c>
      <c r="AC587" s="1103">
        <v>4</v>
      </c>
      <c r="AD587" s="1103">
        <v>4</v>
      </c>
      <c r="AE587" s="1103">
        <v>4</v>
      </c>
      <c r="AF587" s="825">
        <v>4</v>
      </c>
      <c r="AH587" s="827"/>
      <c r="AJ587" s="828">
        <f>+Y587</f>
        <v>0</v>
      </c>
      <c r="AK587" s="862"/>
      <c r="AL587" s="828">
        <f>+Z587</f>
        <v>0.10236113006687594</v>
      </c>
      <c r="AM587" s="862"/>
      <c r="AO587" s="827"/>
      <c r="AV587" s="827"/>
      <c r="CI587" s="827"/>
    </row>
    <row r="588" spans="1:88" s="369" customFormat="1" ht="15" collapsed="1">
      <c r="A588" s="370"/>
      <c r="B588" s="783" t="s">
        <v>1884</v>
      </c>
      <c r="C588" s="784"/>
      <c r="D588" s="785"/>
      <c r="E588" s="786"/>
      <c r="F588" s="787"/>
      <c r="G588" s="787"/>
      <c r="H588" s="788" t="s">
        <v>30</v>
      </c>
      <c r="I588" s="789" t="s">
        <v>1162</v>
      </c>
      <c r="J588" s="790" t="s">
        <v>1071</v>
      </c>
      <c r="K588" s="786" t="s">
        <v>1072</v>
      </c>
      <c r="L588" s="787" t="s">
        <v>21</v>
      </c>
      <c r="M588" s="791" t="s">
        <v>82</v>
      </c>
      <c r="N588" s="839" t="s">
        <v>1163</v>
      </c>
      <c r="O588" s="786" t="s">
        <v>1154</v>
      </c>
      <c r="P588" s="790" t="s">
        <v>1164</v>
      </c>
      <c r="Q588" s="793" t="s">
        <v>34</v>
      </c>
      <c r="R588" s="791">
        <v>1</v>
      </c>
      <c r="S588" s="793" t="s">
        <v>13</v>
      </c>
      <c r="T588" s="794" t="s">
        <v>128</v>
      </c>
      <c r="U588" s="794" t="s">
        <v>111</v>
      </c>
      <c r="V588" s="795" t="s">
        <v>32</v>
      </c>
      <c r="W588" s="796" t="s">
        <v>33</v>
      </c>
      <c r="X588" s="797"/>
      <c r="Y588" s="798">
        <f>SUM(Y589:Y616)</f>
        <v>0</v>
      </c>
      <c r="Z588" s="799">
        <f>SUM(Z589:Z616)</f>
        <v>0.2441585915108504</v>
      </c>
      <c r="AA588" s="800" t="str">
        <f>+AA$2</f>
        <v>SCU75M1</v>
      </c>
      <c r="AC588" s="801" t="str">
        <f>+AC$2</f>
        <v>SCU75M1</v>
      </c>
      <c r="AD588" s="801" t="str">
        <f>+AD$2</f>
        <v>SCU100M1</v>
      </c>
      <c r="AE588" s="801" t="str">
        <f>+AE$2</f>
        <v>SCU125M1</v>
      </c>
      <c r="AF588" s="802" t="str">
        <f>+AF$2</f>
        <v>SCU150M1</v>
      </c>
      <c r="AG588" s="370"/>
      <c r="AH588" s="521"/>
      <c r="AI588" s="370"/>
      <c r="AJ588" s="483"/>
      <c r="AK588" s="522">
        <f>SUM(AJ589:AJ616)</f>
        <v>0</v>
      </c>
      <c r="AL588" s="401"/>
      <c r="AM588" s="523">
        <f>SUM(AL589:AL616)</f>
        <v>0.2441585915108504</v>
      </c>
      <c r="AN588" s="370"/>
      <c r="AO588" s="521"/>
      <c r="AP588" s="370"/>
      <c r="AR588" s="418"/>
      <c r="AS588" s="483"/>
      <c r="AT588" s="418"/>
      <c r="AU588" s="370"/>
      <c r="AV588" s="521"/>
      <c r="AW588" s="370"/>
      <c r="AX588" s="395"/>
      <c r="AY588" s="395"/>
      <c r="AZ588" s="395"/>
      <c r="BA588" s="395"/>
      <c r="BB588" s="395"/>
      <c r="BD588" s="395"/>
      <c r="BE588" s="370"/>
      <c r="BF588" s="370"/>
      <c r="BG588" s="370"/>
      <c r="BH588" s="370"/>
      <c r="BI588" s="370"/>
      <c r="BJ588" s="370"/>
      <c r="BK588" s="370"/>
      <c r="BL588" s="370"/>
      <c r="BM588" s="370"/>
      <c r="BN588" s="370"/>
      <c r="BO588" s="370"/>
      <c r="BP588" s="370"/>
      <c r="BQ588" s="370"/>
      <c r="BR588" s="370"/>
      <c r="BS588" s="370"/>
      <c r="BT588" s="370"/>
      <c r="BU588" s="370"/>
      <c r="BV588" s="370"/>
      <c r="BW588" s="370"/>
      <c r="BX588" s="370"/>
      <c r="BY588" s="370"/>
      <c r="BZ588" s="370"/>
      <c r="CA588" s="370"/>
      <c r="CB588" s="370"/>
      <c r="CC588" s="370"/>
      <c r="CD588" s="370"/>
      <c r="CE588" s="370"/>
      <c r="CF588" s="370"/>
      <c r="CG588" s="370"/>
      <c r="CH588" s="370"/>
      <c r="CI588" s="521"/>
      <c r="CJ588" s="370"/>
    </row>
    <row r="589" spans="1:88" s="747" customFormat="1" ht="13.9" hidden="1" customHeight="1" outlineLevel="1">
      <c r="B589" s="805" t="s">
        <v>1885</v>
      </c>
      <c r="C589" s="1351"/>
      <c r="D589" s="1021"/>
      <c r="E589" s="1352"/>
      <c r="F589" s="977"/>
      <c r="G589" s="977"/>
      <c r="H589" s="457" t="s">
        <v>100</v>
      </c>
      <c r="I589" s="816"/>
      <c r="J589" s="811"/>
      <c r="K589" s="808"/>
      <c r="L589" s="809"/>
      <c r="M589" s="1353">
        <v>1</v>
      </c>
      <c r="N589" s="1354">
        <f t="shared" ref="N589:N621" si="628">IF(I589&gt;0,22/28*((I589/1000)^2-(I589/1000-2*J589/1000)^2)*K589/1000,IF(J589&gt;0,J589/1000*K589/1000*L589/1000, IF(K589&gt;0,K589/1000*L589/1000, IF(L589=0,1,L589/1000))))</f>
        <v>1</v>
      </c>
      <c r="O589" s="1355">
        <v>1</v>
      </c>
      <c r="P589" s="811">
        <f t="shared" ref="P589:P616" si="629">M589*N589*O589</f>
        <v>1</v>
      </c>
      <c r="Q589" s="815">
        <v>1</v>
      </c>
      <c r="R589" s="505">
        <f t="shared" ref="R589:R616" si="630">+R$588</f>
        <v>1</v>
      </c>
      <c r="S589" s="815">
        <f t="shared" si="598"/>
        <v>0</v>
      </c>
      <c r="T589" s="1014" t="s">
        <v>115</v>
      </c>
      <c r="U589" s="946">
        <v>250000</v>
      </c>
      <c r="V589" s="927">
        <f t="shared" ref="V589:V626" si="631">1/VLOOKUP(T589,Y$12:Z$18,2,FALSE)</f>
        <v>6.8240753377917299E-5</v>
      </c>
      <c r="W589" s="980">
        <v>1</v>
      </c>
      <c r="X589" s="1356">
        <f>2.5/1000*50/1000*120/1000*8000</f>
        <v>0.12</v>
      </c>
      <c r="Y589" s="1357">
        <f t="shared" ref="Y589:Y616" si="632">+P589*R589*AA589*X589</f>
        <v>0</v>
      </c>
      <c r="Z589" s="929">
        <f t="shared" ref="Z589:Z616" si="633">S589*U589*V589*W589</f>
        <v>0</v>
      </c>
      <c r="AA589" s="823"/>
      <c r="AC589" s="1350"/>
      <c r="AD589" s="1350"/>
      <c r="AE589" s="1350"/>
      <c r="AF589" s="1350"/>
      <c r="AG589" s="824"/>
      <c r="AH589" s="827"/>
      <c r="AI589" s="824"/>
      <c r="AJ589" s="828">
        <f t="shared" ref="AJ589:AJ616" si="634">+Y589</f>
        <v>0</v>
      </c>
      <c r="AK589" s="862"/>
      <c r="AL589" s="828">
        <f t="shared" ref="AL589:AL616" si="635">+Z589</f>
        <v>0</v>
      </c>
      <c r="AM589" s="862"/>
      <c r="AN589" s="824"/>
      <c r="AO589" s="827"/>
      <c r="AP589" s="824"/>
      <c r="AS589" s="828"/>
      <c r="AU589" s="824"/>
      <c r="AV589" s="827"/>
      <c r="AW589" s="824"/>
      <c r="AX589" s="936"/>
      <c r="AY589" s="936"/>
      <c r="AZ589" s="936"/>
      <c r="BA589" s="936"/>
      <c r="BB589" s="936"/>
      <c r="BD589" s="936"/>
      <c r="BE589" s="936"/>
      <c r="BF589" s="936"/>
      <c r="BG589" s="936"/>
      <c r="BH589" s="936"/>
      <c r="BJ589" s="936"/>
      <c r="BK589" s="936"/>
      <c r="BL589" s="936"/>
      <c r="BM589" s="936"/>
      <c r="BN589" s="936"/>
      <c r="BO589" s="936"/>
      <c r="BP589" s="936"/>
      <c r="BS589" s="936"/>
      <c r="CH589" s="936"/>
      <c r="CI589" s="830"/>
    </row>
    <row r="590" spans="1:88" s="747" customFormat="1" ht="13.9" hidden="1" customHeight="1" outlineLevel="1">
      <c r="B590" s="1358" t="s">
        <v>1886</v>
      </c>
      <c r="C590" s="1359"/>
      <c r="D590" s="1360"/>
      <c r="E590" s="1361"/>
      <c r="F590" s="1362"/>
      <c r="G590" s="1362"/>
      <c r="H590" s="1214" t="s">
        <v>100</v>
      </c>
      <c r="I590" s="1363"/>
      <c r="J590" s="1225"/>
      <c r="K590" s="1217"/>
      <c r="L590" s="1213"/>
      <c r="M590" s="1364">
        <v>1</v>
      </c>
      <c r="N590" s="1365">
        <f t="shared" si="628"/>
        <v>1</v>
      </c>
      <c r="O590" s="1366">
        <v>1</v>
      </c>
      <c r="P590" s="1225">
        <f t="shared" si="629"/>
        <v>1</v>
      </c>
      <c r="Q590" s="1220">
        <v>1</v>
      </c>
      <c r="R590" s="1367">
        <f t="shared" si="630"/>
        <v>1</v>
      </c>
      <c r="S590" s="1220">
        <f t="shared" si="598"/>
        <v>0</v>
      </c>
      <c r="T590" s="1368" t="s">
        <v>115</v>
      </c>
      <c r="U590" s="1223">
        <v>150000</v>
      </c>
      <c r="V590" s="1224">
        <f t="shared" si="631"/>
        <v>6.8240753377917299E-5</v>
      </c>
      <c r="W590" s="1369">
        <v>1</v>
      </c>
      <c r="X590" s="1370">
        <f>1.2/1000*120/1000*150/1000*8000</f>
        <v>0.17279999999999998</v>
      </c>
      <c r="Y590" s="1371">
        <f t="shared" si="632"/>
        <v>0</v>
      </c>
      <c r="Z590" s="1228">
        <f t="shared" si="633"/>
        <v>0</v>
      </c>
      <c r="AA590" s="1229"/>
      <c r="AC590" s="1230"/>
      <c r="AD590" s="1230"/>
      <c r="AE590" s="1230"/>
      <c r="AF590" s="1230"/>
      <c r="AG590" s="824"/>
      <c r="AH590" s="827"/>
      <c r="AI590" s="824"/>
      <c r="AJ590" s="828">
        <f t="shared" si="634"/>
        <v>0</v>
      </c>
      <c r="AK590" s="862"/>
      <c r="AL590" s="828">
        <f t="shared" si="635"/>
        <v>0</v>
      </c>
      <c r="AM590" s="862"/>
      <c r="AN590" s="824"/>
      <c r="AO590" s="827"/>
      <c r="AP590" s="824"/>
      <c r="AS590" s="828"/>
      <c r="AU590" s="824"/>
      <c r="AV590" s="827"/>
      <c r="AW590" s="824"/>
      <c r="AX590" s="936"/>
      <c r="AY590" s="936"/>
      <c r="AZ590" s="936"/>
      <c r="BA590" s="936"/>
      <c r="BB590" s="936"/>
      <c r="BD590" s="936"/>
      <c r="BE590" s="936"/>
      <c r="BF590" s="936"/>
      <c r="BG590" s="936"/>
      <c r="BH590" s="936"/>
      <c r="BJ590" s="936"/>
      <c r="BK590" s="936"/>
      <c r="BL590" s="936"/>
      <c r="BM590" s="936"/>
      <c r="BN590" s="936"/>
      <c r="BO590" s="936"/>
      <c r="BP590" s="936"/>
      <c r="BS590" s="936"/>
      <c r="CH590" s="936"/>
      <c r="CI590" s="938"/>
    </row>
    <row r="591" spans="1:88" s="747" customFormat="1" ht="13.9" hidden="1" customHeight="1" outlineLevel="1">
      <c r="B591" s="805" t="s">
        <v>1887</v>
      </c>
      <c r="C591" s="1201"/>
      <c r="D591" s="1021"/>
      <c r="E591" s="1352"/>
      <c r="F591" s="977"/>
      <c r="G591" s="977"/>
      <c r="H591" s="457" t="s">
        <v>100</v>
      </c>
      <c r="I591" s="816"/>
      <c r="J591" s="811"/>
      <c r="K591" s="808"/>
      <c r="L591" s="809"/>
      <c r="M591" s="1353">
        <v>1</v>
      </c>
      <c r="N591" s="1354">
        <f t="shared" si="628"/>
        <v>1</v>
      </c>
      <c r="O591" s="1355">
        <v>0</v>
      </c>
      <c r="P591" s="811">
        <f t="shared" si="629"/>
        <v>0</v>
      </c>
      <c r="Q591" s="815">
        <v>1</v>
      </c>
      <c r="R591" s="505">
        <f t="shared" si="630"/>
        <v>1</v>
      </c>
      <c r="S591" s="815">
        <f t="shared" si="598"/>
        <v>0</v>
      </c>
      <c r="T591" s="1014" t="s">
        <v>115</v>
      </c>
      <c r="U591" s="946">
        <v>10000</v>
      </c>
      <c r="V591" s="927">
        <f t="shared" si="631"/>
        <v>6.8240753377917299E-5</v>
      </c>
      <c r="W591" s="980">
        <v>1</v>
      </c>
      <c r="X591" s="1356">
        <v>0</v>
      </c>
      <c r="Y591" s="1357">
        <f t="shared" si="632"/>
        <v>0</v>
      </c>
      <c r="Z591" s="929">
        <f t="shared" si="633"/>
        <v>0</v>
      </c>
      <c r="AA591" s="823">
        <v>1</v>
      </c>
      <c r="AC591" s="825">
        <v>1</v>
      </c>
      <c r="AD591" s="825">
        <v>1</v>
      </c>
      <c r="AE591" s="825">
        <v>1</v>
      </c>
      <c r="AF591" s="825">
        <v>1</v>
      </c>
      <c r="AG591" s="824"/>
      <c r="AH591" s="827"/>
      <c r="AI591" s="824"/>
      <c r="AJ591" s="828">
        <f t="shared" si="634"/>
        <v>0</v>
      </c>
      <c r="AK591" s="862"/>
      <c r="AL591" s="828">
        <f t="shared" si="635"/>
        <v>0</v>
      </c>
      <c r="AM591" s="862"/>
      <c r="AN591" s="824"/>
      <c r="AO591" s="827"/>
      <c r="AP591" s="824"/>
      <c r="AS591" s="828"/>
      <c r="AU591" s="824"/>
      <c r="AV591" s="827"/>
      <c r="AW591" s="824"/>
      <c r="AX591" s="936"/>
      <c r="AY591" s="936"/>
      <c r="AZ591" s="936"/>
      <c r="BA591" s="936"/>
      <c r="BB591" s="936"/>
      <c r="BD591" s="936"/>
      <c r="BE591" s="936"/>
      <c r="BF591" s="936"/>
      <c r="BG591" s="936"/>
      <c r="BH591" s="936"/>
      <c r="BJ591" s="936"/>
      <c r="BK591" s="936"/>
      <c r="BL591" s="936"/>
      <c r="BM591" s="936"/>
      <c r="BN591" s="936"/>
      <c r="BO591" s="936"/>
      <c r="BP591" s="936"/>
      <c r="BS591" s="936"/>
      <c r="CH591" s="936"/>
      <c r="CI591" s="938"/>
    </row>
    <row r="592" spans="1:88" s="747" customFormat="1" ht="13.9" hidden="1" customHeight="1" outlineLevel="1">
      <c r="B592" s="805" t="s">
        <v>1888</v>
      </c>
      <c r="C592" s="1201"/>
      <c r="D592" s="1021"/>
      <c r="E592" s="1352"/>
      <c r="F592" s="977"/>
      <c r="G592" s="977"/>
      <c r="H592" s="457" t="s">
        <v>100</v>
      </c>
      <c r="I592" s="816"/>
      <c r="J592" s="811"/>
      <c r="K592" s="808"/>
      <c r="L592" s="809"/>
      <c r="M592" s="1353">
        <v>1</v>
      </c>
      <c r="N592" s="1354">
        <f t="shared" si="628"/>
        <v>1</v>
      </c>
      <c r="O592" s="1355">
        <v>0</v>
      </c>
      <c r="P592" s="811">
        <f t="shared" si="629"/>
        <v>0</v>
      </c>
      <c r="Q592" s="815">
        <v>1</v>
      </c>
      <c r="R592" s="505">
        <f t="shared" si="630"/>
        <v>1</v>
      </c>
      <c r="S592" s="815">
        <f t="shared" si="598"/>
        <v>0</v>
      </c>
      <c r="T592" s="1014" t="s">
        <v>115</v>
      </c>
      <c r="U592" s="946">
        <f>280+150000/(100000/80)</f>
        <v>400</v>
      </c>
      <c r="V592" s="927">
        <f t="shared" si="631"/>
        <v>6.8240753377917299E-5</v>
      </c>
      <c r="W592" s="980">
        <v>1</v>
      </c>
      <c r="X592" s="1356">
        <v>0</v>
      </c>
      <c r="Y592" s="1357">
        <f t="shared" si="632"/>
        <v>0</v>
      </c>
      <c r="Z592" s="929">
        <f t="shared" si="633"/>
        <v>0</v>
      </c>
      <c r="AA592" s="823">
        <v>1</v>
      </c>
      <c r="AC592" s="825">
        <v>1</v>
      </c>
      <c r="AD592" s="825">
        <v>1</v>
      </c>
      <c r="AE592" s="825">
        <v>1</v>
      </c>
      <c r="AF592" s="825">
        <v>1</v>
      </c>
      <c r="AG592" s="824"/>
      <c r="AH592" s="827"/>
      <c r="AI592" s="824"/>
      <c r="AJ592" s="828">
        <f t="shared" si="634"/>
        <v>0</v>
      </c>
      <c r="AK592" s="862"/>
      <c r="AL592" s="828">
        <f t="shared" si="635"/>
        <v>0</v>
      </c>
      <c r="AM592" s="862"/>
      <c r="AN592" s="824"/>
      <c r="AO592" s="827"/>
      <c r="AP592" s="824"/>
      <c r="AS592" s="828"/>
      <c r="AU592" s="824"/>
      <c r="AV592" s="827"/>
      <c r="AW592" s="824"/>
      <c r="AX592" s="936"/>
      <c r="AY592" s="936"/>
      <c r="AZ592" s="936"/>
      <c r="BA592" s="936"/>
      <c r="BB592" s="936"/>
      <c r="BD592" s="936"/>
      <c r="BE592" s="936"/>
      <c r="BF592" s="936"/>
      <c r="BG592" s="936"/>
      <c r="BH592" s="936"/>
      <c r="BJ592" s="936"/>
      <c r="BK592" s="936"/>
      <c r="BL592" s="936"/>
      <c r="BM592" s="936"/>
      <c r="BN592" s="936"/>
      <c r="BO592" s="936"/>
      <c r="BP592" s="936"/>
      <c r="BS592" s="936"/>
      <c r="CH592" s="936"/>
      <c r="CI592" s="938"/>
    </row>
    <row r="593" spans="1:88" s="747" customFormat="1" ht="13.9" hidden="1" customHeight="1" outlineLevel="1">
      <c r="B593" s="1015" t="s">
        <v>1889</v>
      </c>
      <c r="C593" s="1207"/>
      <c r="D593" s="1186"/>
      <c r="E593" s="1372"/>
      <c r="F593" s="1188"/>
      <c r="G593" s="1188"/>
      <c r="H593" s="988" t="s">
        <v>100</v>
      </c>
      <c r="I593" s="1189"/>
      <c r="J593" s="989"/>
      <c r="K593" s="990"/>
      <c r="L593" s="987"/>
      <c r="M593" s="1373">
        <v>1</v>
      </c>
      <c r="N593" s="1374">
        <f t="shared" si="628"/>
        <v>1</v>
      </c>
      <c r="O593" s="1375">
        <v>0</v>
      </c>
      <c r="P593" s="989">
        <f t="shared" si="629"/>
        <v>0</v>
      </c>
      <c r="Q593" s="1007">
        <v>1</v>
      </c>
      <c r="R593" s="996">
        <f t="shared" si="630"/>
        <v>1</v>
      </c>
      <c r="S593" s="1007">
        <f t="shared" si="598"/>
        <v>0</v>
      </c>
      <c r="T593" s="1020" t="s">
        <v>115</v>
      </c>
      <c r="U593" s="999">
        <f>280+150000/(100000/80)</f>
        <v>400</v>
      </c>
      <c r="V593" s="1000">
        <f t="shared" si="631"/>
        <v>6.8240753377917299E-5</v>
      </c>
      <c r="W593" s="997">
        <v>1</v>
      </c>
      <c r="X593" s="1376">
        <v>0</v>
      </c>
      <c r="Y593" s="1377">
        <f t="shared" si="632"/>
        <v>0</v>
      </c>
      <c r="Z593" s="1080">
        <f t="shared" si="633"/>
        <v>0</v>
      </c>
      <c r="AA593" s="1004">
        <v>0</v>
      </c>
      <c r="AC593" s="1005">
        <v>0</v>
      </c>
      <c r="AD593" s="1005">
        <v>0</v>
      </c>
      <c r="AE593" s="1005">
        <v>0</v>
      </c>
      <c r="AF593" s="1005">
        <v>0</v>
      </c>
      <c r="AG593" s="824"/>
      <c r="AH593" s="827"/>
      <c r="AI593" s="824"/>
      <c r="AJ593" s="828">
        <f t="shared" si="634"/>
        <v>0</v>
      </c>
      <c r="AK593" s="862"/>
      <c r="AL593" s="828">
        <f t="shared" si="635"/>
        <v>0</v>
      </c>
      <c r="AM593" s="862"/>
      <c r="AN593" s="824"/>
      <c r="AO593" s="827"/>
      <c r="AP593" s="824"/>
      <c r="AS593" s="828"/>
      <c r="AU593" s="824"/>
      <c r="AV593" s="827"/>
      <c r="AW593" s="824"/>
      <c r="AX593" s="936"/>
      <c r="AY593" s="936"/>
      <c r="AZ593" s="936"/>
      <c r="BA593" s="936"/>
      <c r="BB593" s="936"/>
      <c r="BD593" s="936"/>
      <c r="BE593" s="936"/>
      <c r="BF593" s="936"/>
      <c r="BG593" s="936"/>
      <c r="BH593" s="936"/>
      <c r="BJ593" s="936"/>
      <c r="BK593" s="936"/>
      <c r="BL593" s="936"/>
      <c r="BM593" s="936"/>
      <c r="BN593" s="936"/>
      <c r="BO593" s="936"/>
      <c r="BP593" s="936"/>
      <c r="BS593" s="936"/>
      <c r="CH593" s="936"/>
      <c r="CI593" s="938"/>
    </row>
    <row r="594" spans="1:88" s="747" customFormat="1" ht="13.9" hidden="1" customHeight="1" outlineLevel="1">
      <c r="B594" s="805" t="s">
        <v>1890</v>
      </c>
      <c r="C594" s="1201"/>
      <c r="D594" s="1021"/>
      <c r="E594" s="1202"/>
      <c r="F594" s="977"/>
      <c r="G594" s="977"/>
      <c r="H594" s="457" t="s">
        <v>100</v>
      </c>
      <c r="I594" s="816"/>
      <c r="J594" s="811"/>
      <c r="K594" s="808"/>
      <c r="L594" s="809"/>
      <c r="M594" s="1353">
        <v>1</v>
      </c>
      <c r="N594" s="1354">
        <f t="shared" si="628"/>
        <v>1</v>
      </c>
      <c r="O594" s="1355">
        <v>1</v>
      </c>
      <c r="P594" s="811">
        <f t="shared" si="629"/>
        <v>1</v>
      </c>
      <c r="Q594" s="815">
        <v>1</v>
      </c>
      <c r="R594" s="505">
        <f t="shared" si="630"/>
        <v>1</v>
      </c>
      <c r="S594" s="815">
        <f t="shared" si="598"/>
        <v>1</v>
      </c>
      <c r="T594" s="1014" t="s">
        <v>115</v>
      </c>
      <c r="U594" s="946">
        <f t="shared" ref="U594:U599" si="636">215+150000/(100000/45)</f>
        <v>282.5</v>
      </c>
      <c r="V594" s="927">
        <f t="shared" si="631"/>
        <v>6.8240753377917299E-5</v>
      </c>
      <c r="W594" s="980">
        <v>1</v>
      </c>
      <c r="X594" s="1356">
        <v>0</v>
      </c>
      <c r="Y594" s="1357">
        <f t="shared" si="632"/>
        <v>0</v>
      </c>
      <c r="Z594" s="929">
        <f t="shared" si="633"/>
        <v>1.9278012829261636E-2</v>
      </c>
      <c r="AA594" s="823">
        <v>1</v>
      </c>
      <c r="AC594" s="825">
        <v>1</v>
      </c>
      <c r="AD594" s="825">
        <v>1</v>
      </c>
      <c r="AE594" s="825">
        <v>1</v>
      </c>
      <c r="AF594" s="825">
        <v>1</v>
      </c>
      <c r="AG594" s="824"/>
      <c r="AH594" s="827"/>
      <c r="AI594" s="824"/>
      <c r="AJ594" s="828">
        <f t="shared" si="634"/>
        <v>0</v>
      </c>
      <c r="AK594" s="862"/>
      <c r="AL594" s="828">
        <f t="shared" si="635"/>
        <v>1.9278012829261636E-2</v>
      </c>
      <c r="AM594" s="862"/>
      <c r="AN594" s="824"/>
      <c r="AO594" s="827"/>
      <c r="AP594" s="824"/>
      <c r="AS594" s="828"/>
      <c r="AU594" s="824"/>
      <c r="AV594" s="827"/>
      <c r="AW594" s="824"/>
      <c r="AX594" s="936"/>
      <c r="AY594" s="936"/>
      <c r="AZ594" s="936"/>
      <c r="BA594" s="936"/>
      <c r="BB594" s="936"/>
      <c r="BD594" s="936"/>
      <c r="BE594" s="936"/>
      <c r="BF594" s="936"/>
      <c r="BG594" s="936"/>
      <c r="BH594" s="936"/>
      <c r="BJ594" s="936"/>
      <c r="BK594" s="936"/>
      <c r="BL594" s="936"/>
      <c r="BM594" s="936"/>
      <c r="BN594" s="936"/>
      <c r="BO594" s="936"/>
      <c r="BP594" s="936"/>
      <c r="BS594" s="936"/>
      <c r="CH594" s="936"/>
      <c r="CI594" s="938"/>
    </row>
    <row r="595" spans="1:88" s="747" customFormat="1" ht="13.9" hidden="1" customHeight="1" outlineLevel="1">
      <c r="B595" s="805" t="s">
        <v>1891</v>
      </c>
      <c r="C595" s="1201"/>
      <c r="D595" s="1021"/>
      <c r="E595" s="1202"/>
      <c r="F595" s="977"/>
      <c r="G595" s="977"/>
      <c r="H595" s="457" t="s">
        <v>100</v>
      </c>
      <c r="I595" s="816"/>
      <c r="J595" s="811"/>
      <c r="K595" s="808"/>
      <c r="L595" s="809"/>
      <c r="M595" s="1353">
        <v>1</v>
      </c>
      <c r="N595" s="1354">
        <f t="shared" si="628"/>
        <v>1</v>
      </c>
      <c r="O595" s="1355">
        <v>1</v>
      </c>
      <c r="P595" s="811">
        <f t="shared" si="629"/>
        <v>1</v>
      </c>
      <c r="Q595" s="815">
        <v>1</v>
      </c>
      <c r="R595" s="505">
        <f t="shared" si="630"/>
        <v>1</v>
      </c>
      <c r="S595" s="815">
        <f t="shared" si="598"/>
        <v>1</v>
      </c>
      <c r="T595" s="1014" t="s">
        <v>115</v>
      </c>
      <c r="U595" s="946">
        <f t="shared" si="636"/>
        <v>282.5</v>
      </c>
      <c r="V595" s="927">
        <f t="shared" si="631"/>
        <v>6.8240753377917299E-5</v>
      </c>
      <c r="W595" s="980">
        <v>1</v>
      </c>
      <c r="X595" s="1356">
        <v>0</v>
      </c>
      <c r="Y595" s="1357">
        <f t="shared" si="632"/>
        <v>0</v>
      </c>
      <c r="Z595" s="929">
        <f t="shared" si="633"/>
        <v>1.9278012829261636E-2</v>
      </c>
      <c r="AA595" s="823">
        <v>1</v>
      </c>
      <c r="AC595" s="825">
        <v>1</v>
      </c>
      <c r="AD595" s="825">
        <v>1</v>
      </c>
      <c r="AE595" s="825">
        <v>1</v>
      </c>
      <c r="AF595" s="825">
        <v>1</v>
      </c>
      <c r="AG595" s="824"/>
      <c r="AH595" s="827"/>
      <c r="AI595" s="824"/>
      <c r="AJ595" s="828">
        <f t="shared" si="634"/>
        <v>0</v>
      </c>
      <c r="AK595" s="862"/>
      <c r="AL595" s="828">
        <f t="shared" si="635"/>
        <v>1.9278012829261636E-2</v>
      </c>
      <c r="AM595" s="862"/>
      <c r="AN595" s="824"/>
      <c r="AO595" s="827"/>
      <c r="AP595" s="824"/>
      <c r="AS595" s="828"/>
      <c r="AU595" s="824"/>
      <c r="AV595" s="827"/>
      <c r="AW595" s="824"/>
      <c r="AX595" s="936"/>
      <c r="AY595" s="936"/>
      <c r="AZ595" s="936"/>
      <c r="BA595" s="936"/>
      <c r="BB595" s="936"/>
      <c r="BD595" s="936"/>
      <c r="BE595" s="936"/>
      <c r="BF595" s="936"/>
      <c r="BG595" s="936"/>
      <c r="BH595" s="936"/>
      <c r="BJ595" s="936"/>
      <c r="BK595" s="936"/>
      <c r="BL595" s="936"/>
      <c r="BM595" s="936"/>
      <c r="BN595" s="936"/>
      <c r="BO595" s="936"/>
      <c r="BP595" s="936"/>
      <c r="BS595" s="936"/>
      <c r="CH595" s="936"/>
      <c r="CI595" s="938"/>
    </row>
    <row r="596" spans="1:88" s="747" customFormat="1" ht="13.9" hidden="1" customHeight="1" outlineLevel="1">
      <c r="B596" s="805" t="s">
        <v>1892</v>
      </c>
      <c r="C596" s="1201"/>
      <c r="D596" s="1021"/>
      <c r="E596" s="1202"/>
      <c r="F596" s="977"/>
      <c r="G596" s="977"/>
      <c r="H596" s="457" t="s">
        <v>100</v>
      </c>
      <c r="I596" s="816"/>
      <c r="J596" s="811"/>
      <c r="K596" s="808"/>
      <c r="L596" s="809"/>
      <c r="M596" s="1353">
        <v>1</v>
      </c>
      <c r="N596" s="1354">
        <f t="shared" si="628"/>
        <v>1</v>
      </c>
      <c r="O596" s="1355">
        <v>1</v>
      </c>
      <c r="P596" s="811">
        <f t="shared" si="629"/>
        <v>1</v>
      </c>
      <c r="Q596" s="815">
        <v>1</v>
      </c>
      <c r="R596" s="505">
        <f t="shared" si="630"/>
        <v>1</v>
      </c>
      <c r="S596" s="815">
        <f t="shared" si="598"/>
        <v>1</v>
      </c>
      <c r="T596" s="1014" t="s">
        <v>115</v>
      </c>
      <c r="U596" s="946">
        <f t="shared" si="636"/>
        <v>282.5</v>
      </c>
      <c r="V596" s="927">
        <f t="shared" si="631"/>
        <v>6.8240753377917299E-5</v>
      </c>
      <c r="W596" s="980">
        <v>1</v>
      </c>
      <c r="X596" s="1356">
        <v>0</v>
      </c>
      <c r="Y596" s="1357">
        <f t="shared" si="632"/>
        <v>0</v>
      </c>
      <c r="Z596" s="929">
        <f t="shared" si="633"/>
        <v>1.9278012829261636E-2</v>
      </c>
      <c r="AA596" s="823">
        <v>1</v>
      </c>
      <c r="AC596" s="825">
        <v>1</v>
      </c>
      <c r="AD596" s="825">
        <v>1</v>
      </c>
      <c r="AE596" s="825">
        <v>1</v>
      </c>
      <c r="AF596" s="825">
        <v>1</v>
      </c>
      <c r="AG596" s="824"/>
      <c r="AH596" s="827"/>
      <c r="AI596" s="824"/>
      <c r="AJ596" s="828">
        <f t="shared" si="634"/>
        <v>0</v>
      </c>
      <c r="AK596" s="862"/>
      <c r="AL596" s="828">
        <f t="shared" si="635"/>
        <v>1.9278012829261636E-2</v>
      </c>
      <c r="AM596" s="862"/>
      <c r="AN596" s="824"/>
      <c r="AO596" s="827"/>
      <c r="AP596" s="824"/>
      <c r="AS596" s="828"/>
      <c r="AU596" s="824"/>
      <c r="AV596" s="827"/>
      <c r="AW596" s="824"/>
      <c r="AX596" s="936"/>
      <c r="AY596" s="936"/>
      <c r="AZ596" s="936"/>
      <c r="BA596" s="936"/>
      <c r="BB596" s="936"/>
      <c r="BD596" s="936"/>
      <c r="BE596" s="936"/>
      <c r="BF596" s="936"/>
      <c r="BG596" s="936"/>
      <c r="BH596" s="936"/>
      <c r="BJ596" s="936"/>
      <c r="BK596" s="936"/>
      <c r="BL596" s="936"/>
      <c r="BM596" s="936"/>
      <c r="BN596" s="936"/>
      <c r="BO596" s="936"/>
      <c r="BP596" s="936"/>
      <c r="BS596" s="936"/>
      <c r="CH596" s="936"/>
      <c r="CI596" s="938"/>
    </row>
    <row r="597" spans="1:88" s="747" customFormat="1" ht="13.9" hidden="1" customHeight="1" outlineLevel="1">
      <c r="B597" s="805" t="s">
        <v>1893</v>
      </c>
      <c r="C597" s="1201"/>
      <c r="D597" s="1021"/>
      <c r="E597" s="1202"/>
      <c r="F597" s="977"/>
      <c r="G597" s="977"/>
      <c r="H597" s="457" t="s">
        <v>100</v>
      </c>
      <c r="I597" s="816"/>
      <c r="J597" s="811"/>
      <c r="K597" s="808"/>
      <c r="L597" s="809"/>
      <c r="M597" s="1353">
        <v>1</v>
      </c>
      <c r="N597" s="1354">
        <f t="shared" si="628"/>
        <v>1</v>
      </c>
      <c r="O597" s="1355">
        <v>1</v>
      </c>
      <c r="P597" s="811">
        <f t="shared" si="629"/>
        <v>1</v>
      </c>
      <c r="Q597" s="815">
        <v>1</v>
      </c>
      <c r="R597" s="505">
        <f t="shared" si="630"/>
        <v>1</v>
      </c>
      <c r="S597" s="815">
        <f t="shared" si="598"/>
        <v>1</v>
      </c>
      <c r="T597" s="1014" t="s">
        <v>115</v>
      </c>
      <c r="U597" s="946">
        <f t="shared" si="636"/>
        <v>282.5</v>
      </c>
      <c r="V597" s="927">
        <f t="shared" si="631"/>
        <v>6.8240753377917299E-5</v>
      </c>
      <c r="W597" s="980">
        <v>1</v>
      </c>
      <c r="X597" s="1356">
        <v>0</v>
      </c>
      <c r="Y597" s="1357">
        <f t="shared" si="632"/>
        <v>0</v>
      </c>
      <c r="Z597" s="929">
        <f t="shared" si="633"/>
        <v>1.9278012829261636E-2</v>
      </c>
      <c r="AA597" s="823">
        <v>1</v>
      </c>
      <c r="AC597" s="825">
        <v>1</v>
      </c>
      <c r="AD597" s="825">
        <v>1</v>
      </c>
      <c r="AE597" s="825">
        <v>1</v>
      </c>
      <c r="AF597" s="825">
        <v>1</v>
      </c>
      <c r="AG597" s="824"/>
      <c r="AH597" s="827"/>
      <c r="AI597" s="824"/>
      <c r="AJ597" s="828">
        <f t="shared" si="634"/>
        <v>0</v>
      </c>
      <c r="AK597" s="862"/>
      <c r="AL597" s="828">
        <f t="shared" si="635"/>
        <v>1.9278012829261636E-2</v>
      </c>
      <c r="AM597" s="862"/>
      <c r="AN597" s="824"/>
      <c r="AO597" s="827"/>
      <c r="AP597" s="824"/>
      <c r="AS597" s="828"/>
      <c r="AU597" s="824"/>
      <c r="AV597" s="827"/>
      <c r="AW597" s="824"/>
      <c r="AX597" s="936"/>
      <c r="AY597" s="936"/>
      <c r="AZ597" s="936"/>
      <c r="BA597" s="936"/>
      <c r="BB597" s="936"/>
      <c r="BD597" s="936"/>
      <c r="BE597" s="936"/>
      <c r="BF597" s="936"/>
      <c r="BG597" s="936"/>
      <c r="BH597" s="936"/>
      <c r="BJ597" s="936"/>
      <c r="BK597" s="936"/>
      <c r="BL597" s="936"/>
      <c r="BM597" s="936"/>
      <c r="BN597" s="936"/>
      <c r="BO597" s="936"/>
      <c r="BP597" s="936"/>
      <c r="BS597" s="936"/>
      <c r="CH597" s="936"/>
      <c r="CI597" s="938"/>
    </row>
    <row r="598" spans="1:88" s="747" customFormat="1" ht="13.9" hidden="1" customHeight="1" outlineLevel="1">
      <c r="B598" s="805" t="s">
        <v>1894</v>
      </c>
      <c r="C598" s="1201"/>
      <c r="D598" s="1021"/>
      <c r="E598" s="1202"/>
      <c r="F598" s="977"/>
      <c r="G598" s="977"/>
      <c r="H598" s="457" t="s">
        <v>100</v>
      </c>
      <c r="I598" s="816"/>
      <c r="J598" s="811"/>
      <c r="K598" s="808"/>
      <c r="L598" s="809"/>
      <c r="M598" s="1353">
        <v>1</v>
      </c>
      <c r="N598" s="1354">
        <f t="shared" si="628"/>
        <v>1</v>
      </c>
      <c r="O598" s="1355">
        <v>1</v>
      </c>
      <c r="P598" s="811">
        <f t="shared" si="629"/>
        <v>1</v>
      </c>
      <c r="Q598" s="815">
        <v>1</v>
      </c>
      <c r="R598" s="505">
        <f t="shared" si="630"/>
        <v>1</v>
      </c>
      <c r="S598" s="815">
        <f t="shared" si="598"/>
        <v>1</v>
      </c>
      <c r="T598" s="1014" t="s">
        <v>115</v>
      </c>
      <c r="U598" s="946">
        <f t="shared" si="636"/>
        <v>282.5</v>
      </c>
      <c r="V598" s="927">
        <f t="shared" si="631"/>
        <v>6.8240753377917299E-5</v>
      </c>
      <c r="W598" s="980">
        <v>1</v>
      </c>
      <c r="X598" s="1356">
        <v>0</v>
      </c>
      <c r="Y598" s="1357">
        <f t="shared" si="632"/>
        <v>0</v>
      </c>
      <c r="Z598" s="929">
        <f t="shared" si="633"/>
        <v>1.9278012829261636E-2</v>
      </c>
      <c r="AA598" s="823">
        <v>1</v>
      </c>
      <c r="AC598" s="825">
        <v>1</v>
      </c>
      <c r="AD598" s="825">
        <v>1</v>
      </c>
      <c r="AE598" s="825">
        <v>1</v>
      </c>
      <c r="AF598" s="825">
        <v>1</v>
      </c>
      <c r="AG598" s="824"/>
      <c r="AH598" s="827"/>
      <c r="AI598" s="824"/>
      <c r="AJ598" s="828">
        <f t="shared" si="634"/>
        <v>0</v>
      </c>
      <c r="AK598" s="862"/>
      <c r="AL598" s="828">
        <f t="shared" si="635"/>
        <v>1.9278012829261636E-2</v>
      </c>
      <c r="AM598" s="862"/>
      <c r="AN598" s="824"/>
      <c r="AO598" s="827"/>
      <c r="AP598" s="824"/>
      <c r="AS598" s="828"/>
      <c r="AU598" s="824"/>
      <c r="AV598" s="827"/>
      <c r="AW598" s="824"/>
      <c r="AX598" s="936"/>
      <c r="AY598" s="936"/>
      <c r="AZ598" s="936"/>
      <c r="BA598" s="936"/>
      <c r="BB598" s="936"/>
      <c r="BD598" s="936"/>
      <c r="BE598" s="936"/>
      <c r="BF598" s="936"/>
      <c r="BG598" s="936"/>
      <c r="BH598" s="936"/>
      <c r="BJ598" s="936"/>
      <c r="BK598" s="936"/>
      <c r="BL598" s="936"/>
      <c r="BM598" s="936"/>
      <c r="BN598" s="936"/>
      <c r="BO598" s="936"/>
      <c r="BP598" s="936"/>
      <c r="BS598" s="936"/>
      <c r="CH598" s="936"/>
      <c r="CI598" s="938"/>
    </row>
    <row r="599" spans="1:88" s="747" customFormat="1" ht="13.9" hidden="1" customHeight="1" outlineLevel="1">
      <c r="B599" s="1015" t="s">
        <v>1895</v>
      </c>
      <c r="C599" s="1207"/>
      <c r="D599" s="1186"/>
      <c r="E599" s="1187"/>
      <c r="F599" s="1188"/>
      <c r="G599" s="1188"/>
      <c r="H599" s="988" t="s">
        <v>100</v>
      </c>
      <c r="I599" s="1189"/>
      <c r="J599" s="989"/>
      <c r="K599" s="990"/>
      <c r="L599" s="987"/>
      <c r="M599" s="1373">
        <v>1</v>
      </c>
      <c r="N599" s="1374">
        <f t="shared" si="628"/>
        <v>1</v>
      </c>
      <c r="O599" s="1375">
        <v>1</v>
      </c>
      <c r="P599" s="989">
        <f t="shared" si="629"/>
        <v>1</v>
      </c>
      <c r="Q599" s="1007">
        <v>1</v>
      </c>
      <c r="R599" s="996">
        <f t="shared" si="630"/>
        <v>1</v>
      </c>
      <c r="S599" s="1007">
        <f t="shared" si="598"/>
        <v>1</v>
      </c>
      <c r="T599" s="1020" t="s">
        <v>115</v>
      </c>
      <c r="U599" s="999">
        <f t="shared" si="636"/>
        <v>282.5</v>
      </c>
      <c r="V599" s="1000">
        <f t="shared" si="631"/>
        <v>6.8240753377917299E-5</v>
      </c>
      <c r="W599" s="997">
        <v>1</v>
      </c>
      <c r="X599" s="1376">
        <v>0</v>
      </c>
      <c r="Y599" s="1377">
        <f t="shared" si="632"/>
        <v>0</v>
      </c>
      <c r="Z599" s="1080">
        <f t="shared" si="633"/>
        <v>1.9278012829261636E-2</v>
      </c>
      <c r="AA599" s="1004">
        <v>1</v>
      </c>
      <c r="AC599" s="1005">
        <v>1</v>
      </c>
      <c r="AD599" s="1005">
        <v>1</v>
      </c>
      <c r="AE599" s="1005">
        <v>1</v>
      </c>
      <c r="AF599" s="1005">
        <v>1</v>
      </c>
      <c r="AG599" s="824"/>
      <c r="AH599" s="827"/>
      <c r="AI599" s="824"/>
      <c r="AJ599" s="828">
        <f t="shared" si="634"/>
        <v>0</v>
      </c>
      <c r="AK599" s="862"/>
      <c r="AL599" s="828">
        <f t="shared" si="635"/>
        <v>1.9278012829261636E-2</v>
      </c>
      <c r="AM599" s="862"/>
      <c r="AN599" s="824"/>
      <c r="AO599" s="827"/>
      <c r="AP599" s="824"/>
      <c r="AS599" s="828"/>
      <c r="AU599" s="824"/>
      <c r="AV599" s="827"/>
      <c r="AW599" s="824"/>
      <c r="AX599" s="936"/>
      <c r="AY599" s="936"/>
      <c r="AZ599" s="936"/>
      <c r="BA599" s="936"/>
      <c r="BB599" s="936"/>
      <c r="BD599" s="936"/>
      <c r="BE599" s="936"/>
      <c r="BF599" s="936"/>
      <c r="BG599" s="936"/>
      <c r="BH599" s="936"/>
      <c r="BJ599" s="936"/>
      <c r="BK599" s="936"/>
      <c r="BL599" s="936"/>
      <c r="BM599" s="936"/>
      <c r="BN599" s="936"/>
      <c r="BO599" s="936"/>
      <c r="BP599" s="936"/>
      <c r="BS599" s="936"/>
      <c r="CH599" s="936"/>
      <c r="CI599" s="938"/>
    </row>
    <row r="600" spans="1:88" s="747" customFormat="1" ht="13.9" hidden="1" customHeight="1" outlineLevel="1">
      <c r="B600" s="805" t="s">
        <v>1896</v>
      </c>
      <c r="C600" s="1201"/>
      <c r="D600" s="1021"/>
      <c r="E600" s="1202"/>
      <c r="F600" s="977"/>
      <c r="G600" s="977"/>
      <c r="H600" s="457" t="s">
        <v>100</v>
      </c>
      <c r="I600" s="816"/>
      <c r="J600" s="811"/>
      <c r="K600" s="808"/>
      <c r="L600" s="809"/>
      <c r="M600" s="1353">
        <v>1</v>
      </c>
      <c r="N600" s="1354">
        <f t="shared" si="628"/>
        <v>1</v>
      </c>
      <c r="O600" s="1355">
        <v>1</v>
      </c>
      <c r="P600" s="811">
        <f t="shared" si="629"/>
        <v>1</v>
      </c>
      <c r="Q600" s="815">
        <v>1</v>
      </c>
      <c r="R600" s="505">
        <f t="shared" si="630"/>
        <v>1</v>
      </c>
      <c r="S600" s="815">
        <f t="shared" si="598"/>
        <v>0</v>
      </c>
      <c r="T600" s="1014" t="s">
        <v>115</v>
      </c>
      <c r="U600" s="946">
        <v>35000</v>
      </c>
      <c r="V600" s="927">
        <f t="shared" si="631"/>
        <v>6.8240753377917299E-5</v>
      </c>
      <c r="W600" s="980">
        <v>1</v>
      </c>
      <c r="X600" s="1356">
        <v>0</v>
      </c>
      <c r="Y600" s="1357">
        <f t="shared" si="632"/>
        <v>0</v>
      </c>
      <c r="Z600" s="929">
        <f t="shared" si="633"/>
        <v>0</v>
      </c>
      <c r="AA600" s="823">
        <v>0</v>
      </c>
      <c r="AC600" s="825">
        <v>0</v>
      </c>
      <c r="AD600" s="825">
        <v>0</v>
      </c>
      <c r="AE600" s="825">
        <v>0</v>
      </c>
      <c r="AF600" s="825">
        <v>0</v>
      </c>
      <c r="AG600" s="824"/>
      <c r="AH600" s="827"/>
      <c r="AI600" s="824"/>
      <c r="AJ600" s="828">
        <f t="shared" si="634"/>
        <v>0</v>
      </c>
      <c r="AK600" s="862"/>
      <c r="AL600" s="828">
        <f t="shared" si="635"/>
        <v>0</v>
      </c>
      <c r="AM600" s="862"/>
      <c r="AN600" s="824"/>
      <c r="AO600" s="827"/>
      <c r="AP600" s="824"/>
      <c r="AS600" s="828"/>
      <c r="AU600" s="824"/>
      <c r="AV600" s="827"/>
      <c r="AW600" s="824"/>
      <c r="AX600" s="936"/>
      <c r="AY600" s="936"/>
      <c r="AZ600" s="936"/>
      <c r="BA600" s="936"/>
      <c r="BB600" s="936"/>
      <c r="BD600" s="936"/>
      <c r="BE600" s="936"/>
      <c r="BF600" s="936"/>
      <c r="BG600" s="936"/>
      <c r="BH600" s="936"/>
      <c r="BJ600" s="936"/>
      <c r="BK600" s="936"/>
      <c r="BL600" s="936"/>
      <c r="BM600" s="936"/>
      <c r="BN600" s="936"/>
      <c r="BO600" s="936"/>
      <c r="BP600" s="936"/>
      <c r="BS600" s="936"/>
      <c r="CH600" s="936"/>
      <c r="CI600" s="938"/>
    </row>
    <row r="601" spans="1:88" s="747" customFormat="1" ht="13.9" hidden="1" customHeight="1" outlineLevel="1">
      <c r="B601" s="805" t="s">
        <v>1897</v>
      </c>
      <c r="C601" s="1201"/>
      <c r="D601" s="1021"/>
      <c r="E601" s="1202"/>
      <c r="F601" s="977"/>
      <c r="G601" s="977"/>
      <c r="H601" s="457" t="s">
        <v>100</v>
      </c>
      <c r="I601" s="816"/>
      <c r="J601" s="811"/>
      <c r="K601" s="808"/>
      <c r="L601" s="809"/>
      <c r="M601" s="1353">
        <v>1</v>
      </c>
      <c r="N601" s="1354">
        <f t="shared" si="628"/>
        <v>1</v>
      </c>
      <c r="O601" s="1355">
        <v>1</v>
      </c>
      <c r="P601" s="811">
        <f t="shared" si="629"/>
        <v>1</v>
      </c>
      <c r="Q601" s="815">
        <v>1</v>
      </c>
      <c r="R601" s="505">
        <f t="shared" si="630"/>
        <v>1</v>
      </c>
      <c r="S601" s="815">
        <f t="shared" si="598"/>
        <v>1</v>
      </c>
      <c r="T601" s="1014" t="s">
        <v>115</v>
      </c>
      <c r="U601" s="946">
        <f>640+150000/(100000/140)</f>
        <v>850</v>
      </c>
      <c r="V601" s="927">
        <f t="shared" si="631"/>
        <v>6.8240753377917299E-5</v>
      </c>
      <c r="W601" s="980">
        <v>1</v>
      </c>
      <c r="X601" s="1356">
        <v>0</v>
      </c>
      <c r="Y601" s="1357">
        <f t="shared" si="632"/>
        <v>0</v>
      </c>
      <c r="Z601" s="929">
        <f t="shared" si="633"/>
        <v>5.8004640371229703E-2</v>
      </c>
      <c r="AA601" s="823">
        <v>1</v>
      </c>
      <c r="AC601" s="825">
        <v>1</v>
      </c>
      <c r="AD601" s="825">
        <v>1</v>
      </c>
      <c r="AE601" s="825">
        <v>1</v>
      </c>
      <c r="AF601" s="825">
        <v>1</v>
      </c>
      <c r="AG601" s="824"/>
      <c r="AH601" s="827"/>
      <c r="AI601" s="824"/>
      <c r="AJ601" s="828">
        <f t="shared" si="634"/>
        <v>0</v>
      </c>
      <c r="AK601" s="862"/>
      <c r="AL601" s="828">
        <f t="shared" si="635"/>
        <v>5.8004640371229703E-2</v>
      </c>
      <c r="AM601" s="862"/>
      <c r="AN601" s="824"/>
      <c r="AO601" s="827"/>
      <c r="AP601" s="824"/>
      <c r="AS601" s="828"/>
      <c r="AU601" s="824"/>
      <c r="AV601" s="827"/>
      <c r="AW601" s="824"/>
      <c r="AX601" s="936"/>
      <c r="AY601" s="936"/>
      <c r="AZ601" s="936"/>
      <c r="BA601" s="936"/>
      <c r="BB601" s="936"/>
      <c r="BD601" s="936"/>
      <c r="BE601" s="936"/>
      <c r="BF601" s="936"/>
      <c r="BG601" s="936"/>
      <c r="BH601" s="936"/>
      <c r="BJ601" s="936"/>
      <c r="BK601" s="936"/>
      <c r="BL601" s="936"/>
      <c r="BM601" s="936"/>
      <c r="BN601" s="936"/>
      <c r="BO601" s="936"/>
      <c r="BP601" s="936"/>
      <c r="BS601" s="936"/>
      <c r="CH601" s="936"/>
      <c r="CI601" s="938"/>
    </row>
    <row r="602" spans="1:88" s="747" customFormat="1" ht="13.9" hidden="1" customHeight="1" outlineLevel="1">
      <c r="B602" s="805" t="s">
        <v>1898</v>
      </c>
      <c r="C602" s="1201"/>
      <c r="D602" s="1021"/>
      <c r="E602" s="1202"/>
      <c r="F602" s="977"/>
      <c r="G602" s="977"/>
      <c r="H602" s="457" t="s">
        <v>100</v>
      </c>
      <c r="I602" s="816"/>
      <c r="J602" s="811"/>
      <c r="K602" s="808"/>
      <c r="L602" s="809"/>
      <c r="M602" s="1353">
        <v>1</v>
      </c>
      <c r="N602" s="1354">
        <f t="shared" si="628"/>
        <v>1</v>
      </c>
      <c r="O602" s="1355">
        <v>1</v>
      </c>
      <c r="P602" s="811">
        <f t="shared" si="629"/>
        <v>1</v>
      </c>
      <c r="Q602" s="815">
        <v>1</v>
      </c>
      <c r="R602" s="505">
        <f t="shared" si="630"/>
        <v>1</v>
      </c>
      <c r="S602" s="815">
        <f t="shared" si="598"/>
        <v>1</v>
      </c>
      <c r="T602" s="1014" t="s">
        <v>115</v>
      </c>
      <c r="U602" s="946">
        <f t="shared" ref="U602:U607" si="637">65+80000/(100000/43)</f>
        <v>99.4</v>
      </c>
      <c r="V602" s="927">
        <f t="shared" si="631"/>
        <v>6.8240753377917299E-5</v>
      </c>
      <c r="W602" s="980">
        <v>1</v>
      </c>
      <c r="X602" s="1356">
        <v>0</v>
      </c>
      <c r="Y602" s="1357">
        <f t="shared" si="632"/>
        <v>0</v>
      </c>
      <c r="Z602" s="929">
        <f t="shared" si="633"/>
        <v>6.7831308857649797E-3</v>
      </c>
      <c r="AA602" s="823">
        <v>1</v>
      </c>
      <c r="AC602" s="825">
        <v>1</v>
      </c>
      <c r="AD602" s="825">
        <v>1</v>
      </c>
      <c r="AE602" s="825">
        <v>1</v>
      </c>
      <c r="AF602" s="825">
        <v>1</v>
      </c>
      <c r="AG602" s="824"/>
      <c r="AH602" s="827"/>
      <c r="AI602" s="824"/>
      <c r="AJ602" s="828">
        <f t="shared" si="634"/>
        <v>0</v>
      </c>
      <c r="AK602" s="862"/>
      <c r="AL602" s="828">
        <f t="shared" si="635"/>
        <v>6.7831308857649797E-3</v>
      </c>
      <c r="AM602" s="862"/>
      <c r="AN602" s="824"/>
      <c r="AO602" s="827"/>
      <c r="AP602" s="824"/>
      <c r="AS602" s="828"/>
      <c r="AU602" s="824"/>
      <c r="AV602" s="827"/>
      <c r="AW602" s="824"/>
      <c r="AX602" s="936"/>
      <c r="AY602" s="936"/>
      <c r="AZ602" s="936"/>
      <c r="BA602" s="936"/>
      <c r="BB602" s="936"/>
      <c r="BD602" s="936"/>
      <c r="BE602" s="936"/>
      <c r="BF602" s="936"/>
      <c r="BG602" s="936"/>
      <c r="BH602" s="936"/>
      <c r="BJ602" s="936"/>
      <c r="BK602" s="936"/>
      <c r="BL602" s="936"/>
      <c r="BM602" s="936"/>
      <c r="BN602" s="936"/>
      <c r="BO602" s="936"/>
      <c r="BP602" s="936"/>
      <c r="BS602" s="936"/>
      <c r="CH602" s="936"/>
      <c r="CI602" s="938"/>
    </row>
    <row r="603" spans="1:88" s="824" customFormat="1" ht="13.9" hidden="1" customHeight="1" outlineLevel="1">
      <c r="A603" s="747"/>
      <c r="B603" s="805" t="s">
        <v>1899</v>
      </c>
      <c r="C603" s="1201"/>
      <c r="D603" s="1021"/>
      <c r="E603" s="1202"/>
      <c r="F603" s="977"/>
      <c r="G603" s="977"/>
      <c r="H603" s="457" t="s">
        <v>100</v>
      </c>
      <c r="I603" s="816"/>
      <c r="J603" s="811"/>
      <c r="K603" s="808"/>
      <c r="L603" s="809"/>
      <c r="M603" s="1353">
        <v>1</v>
      </c>
      <c r="N603" s="1354">
        <f t="shared" si="628"/>
        <v>1</v>
      </c>
      <c r="O603" s="1355">
        <v>1</v>
      </c>
      <c r="P603" s="811">
        <f t="shared" si="629"/>
        <v>1</v>
      </c>
      <c r="Q603" s="815">
        <v>1</v>
      </c>
      <c r="R603" s="505">
        <f t="shared" si="630"/>
        <v>1</v>
      </c>
      <c r="S603" s="815">
        <f t="shared" si="598"/>
        <v>1</v>
      </c>
      <c r="T603" s="1014" t="s">
        <v>115</v>
      </c>
      <c r="U603" s="946">
        <f t="shared" si="637"/>
        <v>99.4</v>
      </c>
      <c r="V603" s="927">
        <f t="shared" si="631"/>
        <v>6.8240753377917299E-5</v>
      </c>
      <c r="W603" s="980">
        <v>1</v>
      </c>
      <c r="X603" s="1356">
        <v>0</v>
      </c>
      <c r="Y603" s="1357">
        <f t="shared" si="632"/>
        <v>0</v>
      </c>
      <c r="Z603" s="929">
        <f t="shared" si="633"/>
        <v>6.7831308857649797E-3</v>
      </c>
      <c r="AA603" s="823">
        <v>1</v>
      </c>
      <c r="AB603" s="747"/>
      <c r="AC603" s="825">
        <v>1</v>
      </c>
      <c r="AD603" s="825">
        <v>1</v>
      </c>
      <c r="AE603" s="825">
        <v>1</v>
      </c>
      <c r="AF603" s="825">
        <v>1</v>
      </c>
      <c r="AH603" s="827"/>
      <c r="AJ603" s="828">
        <f t="shared" si="634"/>
        <v>0</v>
      </c>
      <c r="AK603" s="862"/>
      <c r="AL603" s="828">
        <f t="shared" si="635"/>
        <v>6.7831308857649797E-3</v>
      </c>
      <c r="AM603" s="862"/>
      <c r="AO603" s="827"/>
      <c r="AQ603" s="747"/>
      <c r="AR603" s="747"/>
      <c r="AS603" s="828"/>
      <c r="AT603" s="747"/>
      <c r="AV603" s="827"/>
      <c r="AX603" s="936"/>
      <c r="AY603" s="936"/>
      <c r="AZ603" s="936"/>
      <c r="BA603" s="936"/>
      <c r="BB603" s="936"/>
      <c r="BC603" s="747"/>
      <c r="BD603" s="936"/>
      <c r="BE603" s="936"/>
      <c r="BF603" s="936"/>
      <c r="BG603" s="936"/>
      <c r="BH603" s="936"/>
      <c r="BI603" s="747"/>
      <c r="BJ603" s="936"/>
      <c r="BK603" s="936"/>
      <c r="BL603" s="936"/>
      <c r="BM603" s="936"/>
      <c r="BN603" s="936"/>
      <c r="BO603" s="936"/>
      <c r="BP603" s="936"/>
      <c r="BQ603" s="747"/>
      <c r="BR603" s="747"/>
      <c r="BS603" s="936"/>
      <c r="BT603" s="747"/>
      <c r="BU603" s="747"/>
      <c r="BV603" s="747"/>
      <c r="BW603" s="747"/>
      <c r="BX603" s="747"/>
      <c r="BY603" s="747"/>
      <c r="BZ603" s="747"/>
      <c r="CA603" s="747"/>
      <c r="CB603" s="747"/>
      <c r="CC603" s="747"/>
      <c r="CD603" s="747"/>
      <c r="CE603" s="747"/>
      <c r="CF603" s="747"/>
      <c r="CG603" s="747"/>
      <c r="CH603" s="936"/>
      <c r="CI603" s="938"/>
      <c r="CJ603" s="747"/>
    </row>
    <row r="604" spans="1:88" s="747" customFormat="1" ht="13.9" hidden="1" customHeight="1" outlineLevel="1">
      <c r="B604" s="805" t="s">
        <v>1900</v>
      </c>
      <c r="C604" s="1201"/>
      <c r="D604" s="1021"/>
      <c r="E604" s="1202"/>
      <c r="F604" s="977"/>
      <c r="G604" s="977"/>
      <c r="H604" s="457" t="s">
        <v>100</v>
      </c>
      <c r="I604" s="816"/>
      <c r="J604" s="811"/>
      <c r="K604" s="808"/>
      <c r="L604" s="809"/>
      <c r="M604" s="1353">
        <v>1</v>
      </c>
      <c r="N604" s="1354">
        <f t="shared" si="628"/>
        <v>1</v>
      </c>
      <c r="O604" s="1355">
        <v>1</v>
      </c>
      <c r="P604" s="811">
        <f t="shared" si="629"/>
        <v>1</v>
      </c>
      <c r="Q604" s="815">
        <v>1</v>
      </c>
      <c r="R604" s="505">
        <f t="shared" si="630"/>
        <v>1</v>
      </c>
      <c r="S604" s="815">
        <f t="shared" ref="S604:S645" si="638">P604*AA604*Q604*R604</f>
        <v>1</v>
      </c>
      <c r="T604" s="1014" t="s">
        <v>115</v>
      </c>
      <c r="U604" s="946">
        <f t="shared" si="637"/>
        <v>99.4</v>
      </c>
      <c r="V604" s="927">
        <f t="shared" si="631"/>
        <v>6.8240753377917299E-5</v>
      </c>
      <c r="W604" s="980">
        <v>1</v>
      </c>
      <c r="X604" s="1356">
        <v>0</v>
      </c>
      <c r="Y604" s="1357">
        <f t="shared" si="632"/>
        <v>0</v>
      </c>
      <c r="Z604" s="929">
        <f t="shared" si="633"/>
        <v>6.7831308857649797E-3</v>
      </c>
      <c r="AA604" s="823">
        <v>1</v>
      </c>
      <c r="AC604" s="825">
        <v>1</v>
      </c>
      <c r="AD604" s="825">
        <v>1</v>
      </c>
      <c r="AE604" s="825">
        <v>1</v>
      </c>
      <c r="AF604" s="825">
        <v>1</v>
      </c>
      <c r="AG604" s="824"/>
      <c r="AH604" s="827"/>
      <c r="AI604" s="824"/>
      <c r="AJ604" s="828">
        <f t="shared" si="634"/>
        <v>0</v>
      </c>
      <c r="AK604" s="862"/>
      <c r="AL604" s="828">
        <f t="shared" si="635"/>
        <v>6.7831308857649797E-3</v>
      </c>
      <c r="AM604" s="862"/>
      <c r="AN604" s="824"/>
      <c r="AO604" s="827"/>
      <c r="AP604" s="824"/>
      <c r="AS604" s="828"/>
      <c r="AU604" s="824"/>
      <c r="AV604" s="827"/>
      <c r="AW604" s="824"/>
      <c r="AX604" s="936"/>
      <c r="AY604" s="936"/>
      <c r="AZ604" s="936"/>
      <c r="BA604" s="936"/>
      <c r="BB604" s="936"/>
      <c r="BD604" s="936"/>
      <c r="BE604" s="936"/>
      <c r="BF604" s="936"/>
      <c r="BG604" s="936"/>
      <c r="BH604" s="936"/>
      <c r="BJ604" s="936"/>
      <c r="BK604" s="936"/>
      <c r="BL604" s="936"/>
      <c r="BM604" s="936"/>
      <c r="BN604" s="936"/>
      <c r="BO604" s="936"/>
      <c r="BP604" s="936"/>
      <c r="BS604" s="936"/>
      <c r="BZ604" s="824"/>
      <c r="CA604" s="824"/>
      <c r="CB604" s="824"/>
      <c r="CC604" s="824"/>
      <c r="CD604" s="824"/>
      <c r="CE604" s="824"/>
      <c r="CF604" s="824"/>
      <c r="CG604" s="824"/>
      <c r="CH604" s="936"/>
      <c r="CI604" s="938"/>
      <c r="CJ604" s="824"/>
    </row>
    <row r="605" spans="1:88" s="747" customFormat="1" ht="13.9" hidden="1" customHeight="1" outlineLevel="1">
      <c r="B605" s="805" t="s">
        <v>1901</v>
      </c>
      <c r="C605" s="1201"/>
      <c r="D605" s="1021"/>
      <c r="E605" s="1202"/>
      <c r="F605" s="977"/>
      <c r="G605" s="977"/>
      <c r="H605" s="457" t="s">
        <v>100</v>
      </c>
      <c r="I605" s="816"/>
      <c r="J605" s="811"/>
      <c r="K605" s="808"/>
      <c r="L605" s="809"/>
      <c r="M605" s="1353">
        <v>1</v>
      </c>
      <c r="N605" s="1354">
        <f t="shared" si="628"/>
        <v>1</v>
      </c>
      <c r="O605" s="1355">
        <v>1</v>
      </c>
      <c r="P605" s="811">
        <f t="shared" si="629"/>
        <v>1</v>
      </c>
      <c r="Q605" s="815">
        <v>1</v>
      </c>
      <c r="R605" s="505">
        <f t="shared" si="630"/>
        <v>1</v>
      </c>
      <c r="S605" s="815">
        <f t="shared" si="638"/>
        <v>1</v>
      </c>
      <c r="T605" s="1014" t="s">
        <v>115</v>
      </c>
      <c r="U605" s="946">
        <f t="shared" si="637"/>
        <v>99.4</v>
      </c>
      <c r="V605" s="927">
        <f t="shared" si="631"/>
        <v>6.8240753377917299E-5</v>
      </c>
      <c r="W605" s="980">
        <v>1</v>
      </c>
      <c r="X605" s="1356">
        <v>0</v>
      </c>
      <c r="Y605" s="1357">
        <f t="shared" si="632"/>
        <v>0</v>
      </c>
      <c r="Z605" s="929">
        <f t="shared" si="633"/>
        <v>6.7831308857649797E-3</v>
      </c>
      <c r="AA605" s="823">
        <v>1</v>
      </c>
      <c r="AC605" s="825">
        <v>1</v>
      </c>
      <c r="AD605" s="825">
        <v>1</v>
      </c>
      <c r="AE605" s="825">
        <v>1</v>
      </c>
      <c r="AF605" s="825">
        <v>1</v>
      </c>
      <c r="AG605" s="824"/>
      <c r="AH605" s="827"/>
      <c r="AI605" s="824"/>
      <c r="AJ605" s="828">
        <f t="shared" si="634"/>
        <v>0</v>
      </c>
      <c r="AK605" s="862"/>
      <c r="AL605" s="828">
        <f t="shared" si="635"/>
        <v>6.7831308857649797E-3</v>
      </c>
      <c r="AM605" s="862"/>
      <c r="AN605" s="824"/>
      <c r="AO605" s="827"/>
      <c r="AP605" s="824"/>
      <c r="AS605" s="828"/>
      <c r="AU605" s="824"/>
      <c r="AV605" s="827"/>
      <c r="AW605" s="824"/>
      <c r="AX605" s="936"/>
      <c r="AY605" s="936"/>
      <c r="AZ605" s="936"/>
      <c r="BA605" s="936"/>
      <c r="BB605" s="936"/>
      <c r="BD605" s="936"/>
      <c r="BE605" s="936"/>
      <c r="BF605" s="936"/>
      <c r="BG605" s="936"/>
      <c r="BH605" s="936"/>
      <c r="BJ605" s="936"/>
      <c r="BK605" s="936"/>
      <c r="BL605" s="936"/>
      <c r="BM605" s="936"/>
      <c r="BN605" s="936"/>
      <c r="BO605" s="936"/>
      <c r="BP605" s="936"/>
      <c r="BS605" s="936"/>
      <c r="CH605" s="936"/>
      <c r="CI605" s="938"/>
    </row>
    <row r="606" spans="1:88" s="747" customFormat="1" ht="13.9" hidden="1" customHeight="1" outlineLevel="1">
      <c r="B606" s="805" t="s">
        <v>1902</v>
      </c>
      <c r="C606" s="1201"/>
      <c r="D606" s="1021"/>
      <c r="E606" s="1202"/>
      <c r="F606" s="977"/>
      <c r="G606" s="977"/>
      <c r="H606" s="457" t="s">
        <v>100</v>
      </c>
      <c r="I606" s="816"/>
      <c r="J606" s="811"/>
      <c r="K606" s="808"/>
      <c r="L606" s="809"/>
      <c r="M606" s="1353">
        <v>1</v>
      </c>
      <c r="N606" s="1354">
        <f t="shared" si="628"/>
        <v>1</v>
      </c>
      <c r="O606" s="1355">
        <v>1</v>
      </c>
      <c r="P606" s="811">
        <f t="shared" si="629"/>
        <v>1</v>
      </c>
      <c r="Q606" s="815">
        <v>1</v>
      </c>
      <c r="R606" s="505">
        <f t="shared" si="630"/>
        <v>1</v>
      </c>
      <c r="S606" s="815">
        <f t="shared" si="638"/>
        <v>1</v>
      </c>
      <c r="T606" s="1014" t="s">
        <v>115</v>
      </c>
      <c r="U606" s="946">
        <f t="shared" si="637"/>
        <v>99.4</v>
      </c>
      <c r="V606" s="927">
        <f t="shared" si="631"/>
        <v>6.8240753377917299E-5</v>
      </c>
      <c r="W606" s="980">
        <v>1</v>
      </c>
      <c r="X606" s="1356">
        <v>0</v>
      </c>
      <c r="Y606" s="1357">
        <f t="shared" si="632"/>
        <v>0</v>
      </c>
      <c r="Z606" s="929">
        <f t="shared" si="633"/>
        <v>6.7831308857649797E-3</v>
      </c>
      <c r="AA606" s="823">
        <v>1</v>
      </c>
      <c r="AC606" s="825">
        <v>1</v>
      </c>
      <c r="AD606" s="825">
        <v>1</v>
      </c>
      <c r="AE606" s="825">
        <v>1</v>
      </c>
      <c r="AF606" s="825">
        <v>1</v>
      </c>
      <c r="AG606" s="824"/>
      <c r="AH606" s="827"/>
      <c r="AI606" s="824"/>
      <c r="AJ606" s="828">
        <f t="shared" si="634"/>
        <v>0</v>
      </c>
      <c r="AK606" s="862"/>
      <c r="AL606" s="828">
        <f t="shared" si="635"/>
        <v>6.7831308857649797E-3</v>
      </c>
      <c r="AM606" s="862"/>
      <c r="AN606" s="824"/>
      <c r="AO606" s="827"/>
      <c r="AP606" s="824"/>
      <c r="AS606" s="828"/>
      <c r="AU606" s="824"/>
      <c r="AV606" s="827"/>
      <c r="AW606" s="824"/>
      <c r="AX606" s="936"/>
      <c r="AY606" s="936"/>
      <c r="AZ606" s="936"/>
      <c r="BA606" s="936"/>
      <c r="BB606" s="936"/>
      <c r="BD606" s="936"/>
      <c r="BE606" s="936"/>
      <c r="BF606" s="936"/>
      <c r="BG606" s="936"/>
      <c r="BH606" s="936"/>
      <c r="BJ606" s="936"/>
      <c r="BK606" s="936"/>
      <c r="BL606" s="936"/>
      <c r="BM606" s="936"/>
      <c r="BN606" s="936"/>
      <c r="BO606" s="936"/>
      <c r="BP606" s="936"/>
      <c r="BS606" s="936"/>
      <c r="CH606" s="936"/>
      <c r="CI606" s="938"/>
    </row>
    <row r="607" spans="1:88" s="747" customFormat="1" ht="13.9" hidden="1" customHeight="1" outlineLevel="1">
      <c r="B607" s="1015" t="s">
        <v>1903</v>
      </c>
      <c r="C607" s="1207"/>
      <c r="D607" s="1186"/>
      <c r="E607" s="1187"/>
      <c r="F607" s="1188"/>
      <c r="G607" s="1188"/>
      <c r="H607" s="988" t="s">
        <v>100</v>
      </c>
      <c r="I607" s="1189"/>
      <c r="J607" s="989"/>
      <c r="K607" s="990"/>
      <c r="L607" s="987"/>
      <c r="M607" s="1373">
        <v>1</v>
      </c>
      <c r="N607" s="1374">
        <f t="shared" si="628"/>
        <v>1</v>
      </c>
      <c r="O607" s="1375">
        <v>1</v>
      </c>
      <c r="P607" s="989">
        <f t="shared" si="629"/>
        <v>1</v>
      </c>
      <c r="Q607" s="1007">
        <v>1</v>
      </c>
      <c r="R607" s="996">
        <f t="shared" si="630"/>
        <v>1</v>
      </c>
      <c r="S607" s="1007">
        <f t="shared" si="638"/>
        <v>1</v>
      </c>
      <c r="T607" s="1020" t="s">
        <v>115</v>
      </c>
      <c r="U607" s="999">
        <f t="shared" si="637"/>
        <v>99.4</v>
      </c>
      <c r="V607" s="1000">
        <f t="shared" si="631"/>
        <v>6.8240753377917299E-5</v>
      </c>
      <c r="W607" s="997">
        <v>1</v>
      </c>
      <c r="X607" s="1376">
        <v>0</v>
      </c>
      <c r="Y607" s="1377">
        <f t="shared" si="632"/>
        <v>0</v>
      </c>
      <c r="Z607" s="1080">
        <f t="shared" si="633"/>
        <v>6.7831308857649797E-3</v>
      </c>
      <c r="AA607" s="1004">
        <v>1</v>
      </c>
      <c r="AC607" s="1005">
        <v>1</v>
      </c>
      <c r="AD607" s="1005">
        <v>1</v>
      </c>
      <c r="AE607" s="1005">
        <v>1</v>
      </c>
      <c r="AF607" s="1005">
        <v>1</v>
      </c>
      <c r="AG607" s="824"/>
      <c r="AH607" s="827"/>
      <c r="AI607" s="824"/>
      <c r="AJ607" s="828">
        <f t="shared" si="634"/>
        <v>0</v>
      </c>
      <c r="AK607" s="862"/>
      <c r="AL607" s="828">
        <f t="shared" si="635"/>
        <v>6.7831308857649797E-3</v>
      </c>
      <c r="AM607" s="862"/>
      <c r="AN607" s="824"/>
      <c r="AO607" s="827"/>
      <c r="AP607" s="824"/>
      <c r="AS607" s="828"/>
      <c r="AU607" s="824"/>
      <c r="AV607" s="827"/>
      <c r="AW607" s="824"/>
      <c r="AX607" s="936"/>
      <c r="AY607" s="936"/>
      <c r="AZ607" s="936"/>
      <c r="BA607" s="936"/>
      <c r="BB607" s="936"/>
      <c r="BD607" s="936"/>
      <c r="BE607" s="936"/>
      <c r="BF607" s="936"/>
      <c r="BG607" s="936"/>
      <c r="BH607" s="936"/>
      <c r="BJ607" s="936"/>
      <c r="BK607" s="936"/>
      <c r="BL607" s="936"/>
      <c r="BM607" s="936"/>
      <c r="BN607" s="936"/>
      <c r="BO607" s="936"/>
      <c r="BP607" s="936"/>
      <c r="BS607" s="936"/>
      <c r="CH607" s="936"/>
      <c r="CI607" s="938"/>
    </row>
    <row r="608" spans="1:88" s="824" customFormat="1" ht="13.9" hidden="1" customHeight="1" outlineLevel="1">
      <c r="A608" s="747"/>
      <c r="B608" s="805" t="s">
        <v>1904</v>
      </c>
      <c r="C608" s="1201"/>
      <c r="D608" s="1021"/>
      <c r="E608" s="1202"/>
      <c r="F608" s="977"/>
      <c r="G608" s="977"/>
      <c r="H608" s="457" t="s">
        <v>100</v>
      </c>
      <c r="I608" s="816"/>
      <c r="J608" s="811"/>
      <c r="K608" s="808"/>
      <c r="L608" s="809"/>
      <c r="M608" s="1353">
        <v>1</v>
      </c>
      <c r="N608" s="1354">
        <f t="shared" si="628"/>
        <v>1</v>
      </c>
      <c r="O608" s="1355">
        <v>1</v>
      </c>
      <c r="P608" s="811">
        <f t="shared" si="629"/>
        <v>1</v>
      </c>
      <c r="Q608" s="815">
        <v>1</v>
      </c>
      <c r="R608" s="505">
        <f t="shared" si="630"/>
        <v>1</v>
      </c>
      <c r="S608" s="815">
        <f t="shared" si="638"/>
        <v>1</v>
      </c>
      <c r="T608" s="1014" t="s">
        <v>115</v>
      </c>
      <c r="U608" s="946">
        <f t="shared" ref="U608:U616" si="639">65/2 + 80000/(100000/20)</f>
        <v>48.5</v>
      </c>
      <c r="V608" s="927">
        <f t="shared" si="631"/>
        <v>6.8240753377917299E-5</v>
      </c>
      <c r="W608" s="980">
        <v>1</v>
      </c>
      <c r="X608" s="1356">
        <v>0</v>
      </c>
      <c r="Y608" s="1357">
        <f t="shared" si="632"/>
        <v>0</v>
      </c>
      <c r="Z608" s="929">
        <f t="shared" si="633"/>
        <v>3.3096765388289889E-3</v>
      </c>
      <c r="AA608" s="823">
        <v>1</v>
      </c>
      <c r="AB608" s="747"/>
      <c r="AC608" s="825">
        <v>1</v>
      </c>
      <c r="AD608" s="825">
        <v>1</v>
      </c>
      <c r="AE608" s="825">
        <v>1</v>
      </c>
      <c r="AF608" s="825">
        <v>1</v>
      </c>
      <c r="AH608" s="827"/>
      <c r="AJ608" s="828">
        <f t="shared" si="634"/>
        <v>0</v>
      </c>
      <c r="AK608" s="862"/>
      <c r="AL608" s="828">
        <f t="shared" si="635"/>
        <v>3.3096765388289889E-3</v>
      </c>
      <c r="AM608" s="862"/>
      <c r="AO608" s="827"/>
      <c r="AQ608" s="747"/>
      <c r="AR608" s="747"/>
      <c r="AS608" s="828"/>
      <c r="AT608" s="747"/>
      <c r="AV608" s="827"/>
      <c r="AX608" s="936"/>
      <c r="AY608" s="936"/>
      <c r="AZ608" s="936"/>
      <c r="BA608" s="936"/>
      <c r="BB608" s="936"/>
      <c r="BC608" s="747"/>
      <c r="BD608" s="936"/>
      <c r="BE608" s="936"/>
      <c r="BF608" s="936"/>
      <c r="BG608" s="936"/>
      <c r="BH608" s="936"/>
      <c r="BI608" s="747"/>
      <c r="BJ608" s="936"/>
      <c r="BK608" s="936"/>
      <c r="BL608" s="936"/>
      <c r="BM608" s="936"/>
      <c r="BN608" s="936"/>
      <c r="BO608" s="936"/>
      <c r="BP608" s="936"/>
      <c r="BQ608" s="747"/>
      <c r="BR608" s="747"/>
      <c r="BS608" s="936"/>
      <c r="BT608" s="747"/>
      <c r="BU608" s="747"/>
      <c r="BV608" s="747"/>
      <c r="BW608" s="747"/>
      <c r="BX608" s="747"/>
      <c r="BY608" s="747"/>
      <c r="BZ608" s="747"/>
      <c r="CA608" s="747"/>
      <c r="CB608" s="747"/>
      <c r="CC608" s="747"/>
      <c r="CD608" s="747"/>
      <c r="CE608" s="747"/>
      <c r="CF608" s="747"/>
      <c r="CG608" s="747"/>
      <c r="CH608" s="936"/>
      <c r="CI608" s="938"/>
      <c r="CJ608" s="747"/>
    </row>
    <row r="609" spans="1:88" s="747" customFormat="1" ht="13.9" hidden="1" customHeight="1" outlineLevel="1">
      <c r="B609" s="805" t="s">
        <v>1905</v>
      </c>
      <c r="C609" s="1201"/>
      <c r="D609" s="1021"/>
      <c r="E609" s="1202"/>
      <c r="F609" s="977"/>
      <c r="G609" s="977"/>
      <c r="H609" s="457" t="s">
        <v>100</v>
      </c>
      <c r="I609" s="816"/>
      <c r="J609" s="811"/>
      <c r="K609" s="808"/>
      <c r="L609" s="809"/>
      <c r="M609" s="1353">
        <v>1</v>
      </c>
      <c r="N609" s="1354">
        <f t="shared" si="628"/>
        <v>1</v>
      </c>
      <c r="O609" s="1355">
        <v>1</v>
      </c>
      <c r="P609" s="811">
        <f t="shared" si="629"/>
        <v>1</v>
      </c>
      <c r="Q609" s="815">
        <v>1</v>
      </c>
      <c r="R609" s="505">
        <f t="shared" si="630"/>
        <v>1</v>
      </c>
      <c r="S609" s="815">
        <f t="shared" si="638"/>
        <v>1</v>
      </c>
      <c r="T609" s="1014" t="s">
        <v>115</v>
      </c>
      <c r="U609" s="946">
        <f t="shared" si="639"/>
        <v>48.5</v>
      </c>
      <c r="V609" s="927">
        <f t="shared" si="631"/>
        <v>6.8240753377917299E-5</v>
      </c>
      <c r="W609" s="980">
        <v>1</v>
      </c>
      <c r="X609" s="1356">
        <v>0</v>
      </c>
      <c r="Y609" s="1357">
        <f t="shared" si="632"/>
        <v>0</v>
      </c>
      <c r="Z609" s="929">
        <f t="shared" si="633"/>
        <v>3.3096765388289889E-3</v>
      </c>
      <c r="AA609" s="823">
        <v>1</v>
      </c>
      <c r="AC609" s="825">
        <v>1</v>
      </c>
      <c r="AD609" s="825">
        <v>1</v>
      </c>
      <c r="AE609" s="825">
        <v>1</v>
      </c>
      <c r="AF609" s="825">
        <v>1</v>
      </c>
      <c r="AG609" s="824"/>
      <c r="AH609" s="827"/>
      <c r="AI609" s="824"/>
      <c r="AJ609" s="828">
        <f t="shared" si="634"/>
        <v>0</v>
      </c>
      <c r="AK609" s="862"/>
      <c r="AL609" s="828">
        <f t="shared" si="635"/>
        <v>3.3096765388289889E-3</v>
      </c>
      <c r="AM609" s="862"/>
      <c r="AN609" s="824"/>
      <c r="AO609" s="827"/>
      <c r="AP609" s="824"/>
      <c r="AS609" s="828"/>
      <c r="AU609" s="824"/>
      <c r="AV609" s="827"/>
      <c r="AW609" s="824"/>
      <c r="AX609" s="936"/>
      <c r="AY609" s="936"/>
      <c r="AZ609" s="936"/>
      <c r="BA609" s="936"/>
      <c r="BB609" s="936"/>
      <c r="BD609" s="936"/>
      <c r="BE609" s="936"/>
      <c r="BF609" s="936"/>
      <c r="BG609" s="936"/>
      <c r="BH609" s="936"/>
      <c r="BJ609" s="936"/>
      <c r="BK609" s="936"/>
      <c r="BL609" s="936"/>
      <c r="BM609" s="936"/>
      <c r="BN609" s="936"/>
      <c r="BO609" s="936"/>
      <c r="BP609" s="936"/>
      <c r="BS609" s="936"/>
      <c r="BZ609" s="824"/>
      <c r="CA609" s="824"/>
      <c r="CB609" s="824"/>
      <c r="CC609" s="824"/>
      <c r="CD609" s="824"/>
      <c r="CE609" s="824"/>
      <c r="CF609" s="824"/>
      <c r="CG609" s="824"/>
      <c r="CH609" s="936"/>
      <c r="CI609" s="938"/>
      <c r="CJ609" s="824"/>
    </row>
    <row r="610" spans="1:88" s="824" customFormat="1" ht="13.9" hidden="1" customHeight="1" outlineLevel="1">
      <c r="A610" s="747"/>
      <c r="B610" s="805" t="s">
        <v>1906</v>
      </c>
      <c r="C610" s="1201"/>
      <c r="D610" s="1021"/>
      <c r="E610" s="1202"/>
      <c r="F610" s="977"/>
      <c r="G610" s="977"/>
      <c r="H610" s="457" t="s">
        <v>100</v>
      </c>
      <c r="I610" s="816"/>
      <c r="J610" s="811"/>
      <c r="K610" s="808"/>
      <c r="L610" s="809"/>
      <c r="M610" s="1353">
        <v>1</v>
      </c>
      <c r="N610" s="1354">
        <f t="shared" si="628"/>
        <v>1</v>
      </c>
      <c r="O610" s="1355">
        <v>1</v>
      </c>
      <c r="P610" s="811">
        <f t="shared" si="629"/>
        <v>1</v>
      </c>
      <c r="Q610" s="815">
        <v>1</v>
      </c>
      <c r="R610" s="505">
        <f t="shared" si="630"/>
        <v>1</v>
      </c>
      <c r="S610" s="815">
        <f t="shared" si="638"/>
        <v>1</v>
      </c>
      <c r="T610" s="1014" t="s">
        <v>115</v>
      </c>
      <c r="U610" s="946">
        <f t="shared" si="639"/>
        <v>48.5</v>
      </c>
      <c r="V610" s="927">
        <f t="shared" si="631"/>
        <v>6.8240753377917299E-5</v>
      </c>
      <c r="W610" s="980">
        <v>1</v>
      </c>
      <c r="X610" s="1356">
        <v>0</v>
      </c>
      <c r="Y610" s="1357">
        <f t="shared" si="632"/>
        <v>0</v>
      </c>
      <c r="Z610" s="929">
        <f t="shared" si="633"/>
        <v>3.3096765388289889E-3</v>
      </c>
      <c r="AA610" s="823">
        <v>1</v>
      </c>
      <c r="AB610" s="747"/>
      <c r="AC610" s="825">
        <v>1</v>
      </c>
      <c r="AD610" s="825">
        <v>1</v>
      </c>
      <c r="AE610" s="825">
        <v>1</v>
      </c>
      <c r="AF610" s="825">
        <v>1</v>
      </c>
      <c r="AH610" s="827"/>
      <c r="AJ610" s="828">
        <f t="shared" si="634"/>
        <v>0</v>
      </c>
      <c r="AK610" s="862"/>
      <c r="AL610" s="828">
        <f t="shared" si="635"/>
        <v>3.3096765388289889E-3</v>
      </c>
      <c r="AM610" s="862"/>
      <c r="AO610" s="827"/>
      <c r="AQ610" s="747"/>
      <c r="AR610" s="747"/>
      <c r="AS610" s="828"/>
      <c r="AT610" s="747"/>
      <c r="AV610" s="827"/>
      <c r="AX610" s="936"/>
      <c r="AY610" s="936"/>
      <c r="AZ610" s="936"/>
      <c r="BA610" s="936"/>
      <c r="BB610" s="936"/>
      <c r="BC610" s="747"/>
      <c r="BD610" s="936"/>
      <c r="BE610" s="936"/>
      <c r="BF610" s="936"/>
      <c r="BG610" s="936"/>
      <c r="BH610" s="936"/>
      <c r="BI610" s="747"/>
      <c r="BJ610" s="936"/>
      <c r="BK610" s="936"/>
      <c r="BL610" s="936"/>
      <c r="BM610" s="936"/>
      <c r="BN610" s="936"/>
      <c r="BO610" s="936"/>
      <c r="BP610" s="936"/>
      <c r="BQ610" s="747"/>
      <c r="BR610" s="747"/>
      <c r="BS610" s="936"/>
      <c r="BT610" s="747"/>
      <c r="BU610" s="747"/>
      <c r="BV610" s="747"/>
      <c r="BW610" s="747"/>
      <c r="BX610" s="747"/>
      <c r="BY610" s="747"/>
      <c r="BZ610" s="747"/>
      <c r="CA610" s="747"/>
      <c r="CB610" s="747"/>
      <c r="CC610" s="747"/>
      <c r="CD610" s="747"/>
      <c r="CE610" s="747"/>
      <c r="CF610" s="747"/>
      <c r="CG610" s="747"/>
      <c r="CH610" s="936"/>
      <c r="CI610" s="938"/>
      <c r="CJ610" s="747"/>
    </row>
    <row r="611" spans="1:88" s="747" customFormat="1" ht="13.9" hidden="1" customHeight="1" outlineLevel="1">
      <c r="B611" s="805" t="s">
        <v>1907</v>
      </c>
      <c r="C611" s="1201"/>
      <c r="D611" s="1021"/>
      <c r="E611" s="1202"/>
      <c r="F611" s="977"/>
      <c r="G611" s="977"/>
      <c r="H611" s="457" t="s">
        <v>100</v>
      </c>
      <c r="I611" s="816"/>
      <c r="J611" s="811"/>
      <c r="K611" s="808"/>
      <c r="L611" s="809"/>
      <c r="M611" s="1353">
        <v>1</v>
      </c>
      <c r="N611" s="1354">
        <f t="shared" si="628"/>
        <v>1</v>
      </c>
      <c r="O611" s="1355">
        <v>1</v>
      </c>
      <c r="P611" s="811">
        <f t="shared" si="629"/>
        <v>1</v>
      </c>
      <c r="Q611" s="815">
        <v>1</v>
      </c>
      <c r="R611" s="505">
        <f t="shared" si="630"/>
        <v>1</v>
      </c>
      <c r="S611" s="815">
        <f t="shared" si="638"/>
        <v>1</v>
      </c>
      <c r="T611" s="1014" t="s">
        <v>115</v>
      </c>
      <c r="U611" s="946">
        <f t="shared" si="639"/>
        <v>48.5</v>
      </c>
      <c r="V611" s="927">
        <f t="shared" si="631"/>
        <v>6.8240753377917299E-5</v>
      </c>
      <c r="W611" s="980">
        <v>1</v>
      </c>
      <c r="X611" s="1356">
        <v>0</v>
      </c>
      <c r="Y611" s="1357">
        <f t="shared" si="632"/>
        <v>0</v>
      </c>
      <c r="Z611" s="929">
        <f t="shared" si="633"/>
        <v>3.3096765388289889E-3</v>
      </c>
      <c r="AA611" s="823">
        <v>1</v>
      </c>
      <c r="AC611" s="825">
        <v>1</v>
      </c>
      <c r="AD611" s="825">
        <v>1</v>
      </c>
      <c r="AE611" s="825">
        <v>1</v>
      </c>
      <c r="AF611" s="825">
        <v>1</v>
      </c>
      <c r="AG611" s="824"/>
      <c r="AH611" s="827"/>
      <c r="AI611" s="824"/>
      <c r="AJ611" s="828">
        <f t="shared" si="634"/>
        <v>0</v>
      </c>
      <c r="AK611" s="862"/>
      <c r="AL611" s="828">
        <f t="shared" si="635"/>
        <v>3.3096765388289889E-3</v>
      </c>
      <c r="AM611" s="862"/>
      <c r="AN611" s="824"/>
      <c r="AO611" s="827"/>
      <c r="AP611" s="824"/>
      <c r="AS611" s="828"/>
      <c r="AU611" s="824"/>
      <c r="AV611" s="827"/>
      <c r="AW611" s="824"/>
      <c r="AX611" s="936"/>
      <c r="AY611" s="936"/>
      <c r="AZ611" s="936"/>
      <c r="BA611" s="936"/>
      <c r="BB611" s="936"/>
      <c r="BD611" s="936"/>
      <c r="BE611" s="936"/>
      <c r="BF611" s="936"/>
      <c r="BG611" s="936"/>
      <c r="BH611" s="936"/>
      <c r="BJ611" s="936"/>
      <c r="BK611" s="936"/>
      <c r="BL611" s="936"/>
      <c r="BM611" s="936"/>
      <c r="BN611" s="936"/>
      <c r="BO611" s="936"/>
      <c r="BP611" s="936"/>
      <c r="BS611" s="936"/>
      <c r="BZ611" s="824"/>
      <c r="CA611" s="824"/>
      <c r="CB611" s="824"/>
      <c r="CC611" s="824"/>
      <c r="CD611" s="824"/>
      <c r="CE611" s="824"/>
      <c r="CF611" s="824"/>
      <c r="CG611" s="824"/>
      <c r="CH611" s="936"/>
      <c r="CI611" s="938"/>
      <c r="CJ611" s="824"/>
    </row>
    <row r="612" spans="1:88" s="747" customFormat="1" ht="13.9" hidden="1" customHeight="1" outlineLevel="1">
      <c r="B612" s="805" t="s">
        <v>1908</v>
      </c>
      <c r="C612" s="1201"/>
      <c r="D612" s="1021"/>
      <c r="E612" s="1202"/>
      <c r="F612" s="977"/>
      <c r="G612" s="977"/>
      <c r="H612" s="457" t="s">
        <v>100</v>
      </c>
      <c r="I612" s="816"/>
      <c r="J612" s="811"/>
      <c r="K612" s="808"/>
      <c r="L612" s="809"/>
      <c r="M612" s="1353">
        <v>1</v>
      </c>
      <c r="N612" s="1354">
        <f t="shared" si="628"/>
        <v>1</v>
      </c>
      <c r="O612" s="1355">
        <v>1</v>
      </c>
      <c r="P612" s="811">
        <f t="shared" si="629"/>
        <v>1</v>
      </c>
      <c r="Q612" s="815">
        <v>1</v>
      </c>
      <c r="R612" s="505">
        <f t="shared" si="630"/>
        <v>1</v>
      </c>
      <c r="S612" s="815">
        <f t="shared" si="638"/>
        <v>1</v>
      </c>
      <c r="T612" s="1014" t="s">
        <v>115</v>
      </c>
      <c r="U612" s="946">
        <f t="shared" si="639"/>
        <v>48.5</v>
      </c>
      <c r="V612" s="927">
        <f t="shared" si="631"/>
        <v>6.8240753377917299E-5</v>
      </c>
      <c r="W612" s="980">
        <v>1</v>
      </c>
      <c r="X612" s="1356">
        <v>0</v>
      </c>
      <c r="Y612" s="1357">
        <f t="shared" si="632"/>
        <v>0</v>
      </c>
      <c r="Z612" s="929">
        <f t="shared" si="633"/>
        <v>3.3096765388289889E-3</v>
      </c>
      <c r="AA612" s="823">
        <v>1</v>
      </c>
      <c r="AC612" s="825">
        <v>1</v>
      </c>
      <c r="AD612" s="825">
        <v>1</v>
      </c>
      <c r="AE612" s="825">
        <v>1</v>
      </c>
      <c r="AF612" s="825">
        <v>1</v>
      </c>
      <c r="AG612" s="824"/>
      <c r="AH612" s="827"/>
      <c r="AI612" s="824"/>
      <c r="AJ612" s="828">
        <f t="shared" si="634"/>
        <v>0</v>
      </c>
      <c r="AK612" s="862"/>
      <c r="AL612" s="828">
        <f t="shared" si="635"/>
        <v>3.3096765388289889E-3</v>
      </c>
      <c r="AM612" s="862"/>
      <c r="AN612" s="824"/>
      <c r="AO612" s="827"/>
      <c r="AP612" s="824"/>
      <c r="AS612" s="828"/>
      <c r="AU612" s="824"/>
      <c r="AV612" s="827"/>
      <c r="AW612" s="824"/>
      <c r="AX612" s="936"/>
      <c r="AY612" s="936"/>
      <c r="AZ612" s="936"/>
      <c r="BA612" s="936"/>
      <c r="BB612" s="936"/>
      <c r="BD612" s="936"/>
      <c r="BE612" s="936"/>
      <c r="BF612" s="936"/>
      <c r="BG612" s="936"/>
      <c r="BH612" s="936"/>
      <c r="BJ612" s="936"/>
      <c r="BK612" s="936"/>
      <c r="BL612" s="936"/>
      <c r="BM612" s="936"/>
      <c r="BN612" s="936"/>
      <c r="BO612" s="936"/>
      <c r="BP612" s="936"/>
      <c r="BS612" s="936"/>
      <c r="CH612" s="936"/>
      <c r="CI612" s="938"/>
    </row>
    <row r="613" spans="1:88" s="824" customFormat="1" ht="13.9" hidden="1" customHeight="1" outlineLevel="1">
      <c r="A613" s="747"/>
      <c r="B613" s="805" t="s">
        <v>1909</v>
      </c>
      <c r="C613" s="1201"/>
      <c r="D613" s="1021"/>
      <c r="E613" s="1202"/>
      <c r="F613" s="977"/>
      <c r="G613" s="977"/>
      <c r="H613" s="457" t="s">
        <v>100</v>
      </c>
      <c r="I613" s="816"/>
      <c r="J613" s="811"/>
      <c r="K613" s="808"/>
      <c r="L613" s="809"/>
      <c r="M613" s="1353">
        <v>1</v>
      </c>
      <c r="N613" s="1354">
        <f t="shared" si="628"/>
        <v>1</v>
      </c>
      <c r="O613" s="1355">
        <v>1</v>
      </c>
      <c r="P613" s="811">
        <f t="shared" si="629"/>
        <v>1</v>
      </c>
      <c r="Q613" s="815">
        <v>1</v>
      </c>
      <c r="R613" s="505">
        <f t="shared" si="630"/>
        <v>1</v>
      </c>
      <c r="S613" s="815">
        <f t="shared" si="638"/>
        <v>1</v>
      </c>
      <c r="T613" s="1014" t="s">
        <v>115</v>
      </c>
      <c r="U613" s="946">
        <f t="shared" si="639"/>
        <v>48.5</v>
      </c>
      <c r="V613" s="927">
        <f t="shared" si="631"/>
        <v>6.8240753377917299E-5</v>
      </c>
      <c r="W613" s="980">
        <v>1</v>
      </c>
      <c r="X613" s="1356">
        <v>0</v>
      </c>
      <c r="Y613" s="1357">
        <f t="shared" si="632"/>
        <v>0</v>
      </c>
      <c r="Z613" s="929">
        <f t="shared" si="633"/>
        <v>3.3096765388289889E-3</v>
      </c>
      <c r="AA613" s="823">
        <v>1</v>
      </c>
      <c r="AB613" s="747"/>
      <c r="AC613" s="825">
        <v>1</v>
      </c>
      <c r="AD613" s="825">
        <v>1</v>
      </c>
      <c r="AE613" s="825">
        <v>1</v>
      </c>
      <c r="AF613" s="825">
        <v>1</v>
      </c>
      <c r="AH613" s="827"/>
      <c r="AJ613" s="828">
        <f t="shared" si="634"/>
        <v>0</v>
      </c>
      <c r="AK613" s="862"/>
      <c r="AL613" s="828">
        <f t="shared" si="635"/>
        <v>3.3096765388289889E-3</v>
      </c>
      <c r="AM613" s="862"/>
      <c r="AO613" s="827"/>
      <c r="AQ613" s="747"/>
      <c r="AR613" s="747"/>
      <c r="AS613" s="828"/>
      <c r="AT613" s="747"/>
      <c r="AV613" s="827"/>
      <c r="AX613" s="936"/>
      <c r="AY613" s="936"/>
      <c r="AZ613" s="936"/>
      <c r="BA613" s="936"/>
      <c r="BB613" s="936"/>
      <c r="BC613" s="747"/>
      <c r="BD613" s="936"/>
      <c r="BE613" s="936"/>
      <c r="BF613" s="936"/>
      <c r="BG613" s="936"/>
      <c r="BH613" s="936"/>
      <c r="BI613" s="747"/>
      <c r="BJ613" s="936"/>
      <c r="BK613" s="936"/>
      <c r="BL613" s="936"/>
      <c r="BM613" s="936"/>
      <c r="BN613" s="936"/>
      <c r="BO613" s="936"/>
      <c r="BP613" s="936"/>
      <c r="BQ613" s="747"/>
      <c r="BR613" s="747"/>
      <c r="BS613" s="936"/>
      <c r="BT613" s="747"/>
      <c r="BU613" s="747"/>
      <c r="BV613" s="747"/>
      <c r="BW613" s="747"/>
      <c r="BX613" s="747"/>
      <c r="BY613" s="747"/>
      <c r="BZ613" s="747"/>
      <c r="CA613" s="747"/>
      <c r="CB613" s="747"/>
      <c r="CC613" s="747"/>
      <c r="CD613" s="747"/>
      <c r="CE613" s="747"/>
      <c r="CF613" s="747"/>
      <c r="CG613" s="747"/>
      <c r="CH613" s="936"/>
      <c r="CI613" s="938"/>
      <c r="CJ613" s="747"/>
    </row>
    <row r="614" spans="1:88" s="747" customFormat="1" ht="13.9" hidden="1" customHeight="1" outlineLevel="1">
      <c r="B614" s="805" t="s">
        <v>1910</v>
      </c>
      <c r="C614" s="1201"/>
      <c r="D614" s="1021"/>
      <c r="E614" s="1202"/>
      <c r="F614" s="977"/>
      <c r="G614" s="977"/>
      <c r="H614" s="457" t="s">
        <v>100</v>
      </c>
      <c r="I614" s="816"/>
      <c r="J614" s="811"/>
      <c r="K614" s="808"/>
      <c r="L614" s="809"/>
      <c r="M614" s="1353">
        <v>1</v>
      </c>
      <c r="N614" s="1354">
        <f t="shared" si="628"/>
        <v>1</v>
      </c>
      <c r="O614" s="1355">
        <v>1</v>
      </c>
      <c r="P614" s="811">
        <f t="shared" si="629"/>
        <v>1</v>
      </c>
      <c r="Q614" s="815">
        <v>1</v>
      </c>
      <c r="R614" s="505">
        <f t="shared" si="630"/>
        <v>1</v>
      </c>
      <c r="S614" s="815">
        <f t="shared" si="638"/>
        <v>1</v>
      </c>
      <c r="T614" s="1014" t="s">
        <v>115</v>
      </c>
      <c r="U614" s="946">
        <f t="shared" si="639"/>
        <v>48.5</v>
      </c>
      <c r="V614" s="927">
        <f t="shared" si="631"/>
        <v>6.8240753377917299E-5</v>
      </c>
      <c r="W614" s="980">
        <v>1</v>
      </c>
      <c r="X614" s="1356">
        <v>0</v>
      </c>
      <c r="Y614" s="1357">
        <f t="shared" si="632"/>
        <v>0</v>
      </c>
      <c r="Z614" s="929">
        <f t="shared" si="633"/>
        <v>3.3096765388289889E-3</v>
      </c>
      <c r="AA614" s="823">
        <v>1</v>
      </c>
      <c r="AC614" s="825">
        <v>1</v>
      </c>
      <c r="AD614" s="825">
        <v>1</v>
      </c>
      <c r="AE614" s="825">
        <v>1</v>
      </c>
      <c r="AF614" s="825">
        <v>1</v>
      </c>
      <c r="AG614" s="824"/>
      <c r="AH614" s="827"/>
      <c r="AI614" s="824"/>
      <c r="AJ614" s="828">
        <f t="shared" si="634"/>
        <v>0</v>
      </c>
      <c r="AK614" s="862"/>
      <c r="AL614" s="828">
        <f t="shared" si="635"/>
        <v>3.3096765388289889E-3</v>
      </c>
      <c r="AM614" s="862"/>
      <c r="AN614" s="824"/>
      <c r="AO614" s="827"/>
      <c r="AP614" s="824"/>
      <c r="AS614" s="828"/>
      <c r="AU614" s="824"/>
      <c r="AV614" s="827"/>
      <c r="AW614" s="824"/>
      <c r="AX614" s="936"/>
      <c r="AY614" s="936"/>
      <c r="AZ614" s="936"/>
      <c r="BA614" s="936"/>
      <c r="BB614" s="936"/>
      <c r="BD614" s="936"/>
      <c r="BE614" s="936"/>
      <c r="BF614" s="936"/>
      <c r="BG614" s="936"/>
      <c r="BH614" s="936"/>
      <c r="BJ614" s="936"/>
      <c r="BK614" s="936"/>
      <c r="BL614" s="936"/>
      <c r="BM614" s="936"/>
      <c r="BN614" s="936"/>
      <c r="BO614" s="936"/>
      <c r="BP614" s="936"/>
      <c r="BS614" s="936"/>
      <c r="BZ614" s="824"/>
      <c r="CA614" s="824"/>
      <c r="CB614" s="824"/>
      <c r="CC614" s="824"/>
      <c r="CD614" s="824"/>
      <c r="CE614" s="824"/>
      <c r="CF614" s="824"/>
      <c r="CG614" s="824"/>
      <c r="CH614" s="936"/>
      <c r="CI614" s="938"/>
      <c r="CJ614" s="824"/>
    </row>
    <row r="615" spans="1:88" s="747" customFormat="1" ht="13.9" hidden="1" customHeight="1" outlineLevel="1">
      <c r="B615" s="805" t="s">
        <v>1911</v>
      </c>
      <c r="C615" s="1201"/>
      <c r="D615" s="1021"/>
      <c r="E615" s="1202"/>
      <c r="F615" s="977"/>
      <c r="G615" s="977"/>
      <c r="H615" s="457" t="s">
        <v>100</v>
      </c>
      <c r="I615" s="816"/>
      <c r="J615" s="811"/>
      <c r="K615" s="808"/>
      <c r="L615" s="809"/>
      <c r="M615" s="1353">
        <v>1</v>
      </c>
      <c r="N615" s="1354">
        <f t="shared" si="628"/>
        <v>1</v>
      </c>
      <c r="O615" s="1355">
        <v>1</v>
      </c>
      <c r="P615" s="811">
        <f t="shared" si="629"/>
        <v>1</v>
      </c>
      <c r="Q615" s="815">
        <v>1</v>
      </c>
      <c r="R615" s="505">
        <f t="shared" si="630"/>
        <v>1</v>
      </c>
      <c r="S615" s="815">
        <f t="shared" si="638"/>
        <v>1</v>
      </c>
      <c r="T615" s="1014" t="s">
        <v>115</v>
      </c>
      <c r="U615" s="946">
        <f t="shared" si="639"/>
        <v>48.5</v>
      </c>
      <c r="V615" s="927">
        <f t="shared" si="631"/>
        <v>6.8240753377917299E-5</v>
      </c>
      <c r="W615" s="980">
        <v>1</v>
      </c>
      <c r="X615" s="1356">
        <v>0</v>
      </c>
      <c r="Y615" s="1357">
        <f t="shared" si="632"/>
        <v>0</v>
      </c>
      <c r="Z615" s="929">
        <f t="shared" si="633"/>
        <v>3.3096765388289889E-3</v>
      </c>
      <c r="AA615" s="823">
        <v>1</v>
      </c>
      <c r="AC615" s="825">
        <v>1</v>
      </c>
      <c r="AD615" s="825">
        <v>1</v>
      </c>
      <c r="AE615" s="825">
        <v>1</v>
      </c>
      <c r="AF615" s="825">
        <v>1</v>
      </c>
      <c r="AG615" s="824"/>
      <c r="AH615" s="827"/>
      <c r="AI615" s="824"/>
      <c r="AJ615" s="828">
        <f t="shared" si="634"/>
        <v>0</v>
      </c>
      <c r="AK615" s="862"/>
      <c r="AL615" s="828">
        <f t="shared" si="635"/>
        <v>3.3096765388289889E-3</v>
      </c>
      <c r="AM615" s="862"/>
      <c r="AN615" s="824"/>
      <c r="AO615" s="827"/>
      <c r="AP615" s="824"/>
      <c r="AS615" s="828"/>
      <c r="AU615" s="824"/>
      <c r="AV615" s="827"/>
      <c r="AW615" s="824"/>
      <c r="AX615" s="936"/>
      <c r="AY615" s="936"/>
      <c r="AZ615" s="936"/>
      <c r="BA615" s="936"/>
      <c r="BB615" s="936"/>
      <c r="BD615" s="936"/>
      <c r="BE615" s="936"/>
      <c r="BF615" s="936"/>
      <c r="BG615" s="936"/>
      <c r="BH615" s="936"/>
      <c r="BJ615" s="936"/>
      <c r="BK615" s="936"/>
      <c r="BL615" s="936"/>
      <c r="BM615" s="936"/>
      <c r="BN615" s="936"/>
      <c r="BO615" s="936"/>
      <c r="BP615" s="936"/>
      <c r="BS615" s="936"/>
      <c r="CH615" s="936"/>
      <c r="CI615" s="938"/>
    </row>
    <row r="616" spans="1:88" s="747" customFormat="1" ht="13.9" hidden="1" customHeight="1" outlineLevel="1">
      <c r="B616" s="805" t="s">
        <v>1912</v>
      </c>
      <c r="C616" s="1207"/>
      <c r="D616" s="1021"/>
      <c r="E616" s="1202"/>
      <c r="F616" s="977"/>
      <c r="G616" s="977"/>
      <c r="H616" s="457" t="s">
        <v>100</v>
      </c>
      <c r="I616" s="816"/>
      <c r="J616" s="811"/>
      <c r="K616" s="808"/>
      <c r="L616" s="809"/>
      <c r="M616" s="1353">
        <v>1</v>
      </c>
      <c r="N616" s="1354">
        <f t="shared" si="628"/>
        <v>1</v>
      </c>
      <c r="O616" s="1355">
        <v>1</v>
      </c>
      <c r="P616" s="811">
        <f t="shared" si="629"/>
        <v>1</v>
      </c>
      <c r="Q616" s="815">
        <v>1</v>
      </c>
      <c r="R616" s="505">
        <f t="shared" si="630"/>
        <v>1</v>
      </c>
      <c r="S616" s="815">
        <f t="shared" si="638"/>
        <v>1</v>
      </c>
      <c r="T616" s="1014" t="s">
        <v>115</v>
      </c>
      <c r="U616" s="946">
        <f t="shared" si="639"/>
        <v>48.5</v>
      </c>
      <c r="V616" s="927">
        <f t="shared" si="631"/>
        <v>6.8240753377917299E-5</v>
      </c>
      <c r="W616" s="980">
        <v>1</v>
      </c>
      <c r="X616" s="1356">
        <v>0</v>
      </c>
      <c r="Y616" s="1357">
        <f t="shared" si="632"/>
        <v>0</v>
      </c>
      <c r="Z616" s="929">
        <f t="shared" si="633"/>
        <v>3.3096765388289889E-3</v>
      </c>
      <c r="AA616" s="823">
        <v>1</v>
      </c>
      <c r="AC616" s="825">
        <v>1</v>
      </c>
      <c r="AD616" s="825">
        <v>1</v>
      </c>
      <c r="AE616" s="825">
        <v>1</v>
      </c>
      <c r="AF616" s="825">
        <v>1</v>
      </c>
      <c r="AG616" s="824"/>
      <c r="AH616" s="827"/>
      <c r="AI616" s="824"/>
      <c r="AJ616" s="828">
        <f t="shared" si="634"/>
        <v>0</v>
      </c>
      <c r="AK616" s="862"/>
      <c r="AL616" s="828">
        <f t="shared" si="635"/>
        <v>3.3096765388289889E-3</v>
      </c>
      <c r="AM616" s="862"/>
      <c r="AN616" s="824"/>
      <c r="AO616" s="827"/>
      <c r="AP616" s="824"/>
      <c r="AS616" s="828"/>
      <c r="AU616" s="824"/>
      <c r="AV616" s="827"/>
      <c r="AW616" s="824"/>
      <c r="AX616" s="936"/>
      <c r="AY616" s="936"/>
      <c r="AZ616" s="936"/>
      <c r="BA616" s="936"/>
      <c r="BB616" s="936"/>
      <c r="BD616" s="936"/>
      <c r="BE616" s="936"/>
      <c r="BF616" s="936"/>
      <c r="BG616" s="936"/>
      <c r="BH616" s="936"/>
      <c r="BJ616" s="936"/>
      <c r="BK616" s="936"/>
      <c r="BL616" s="936"/>
      <c r="BM616" s="936"/>
      <c r="BN616" s="936"/>
      <c r="BO616" s="936"/>
      <c r="BP616" s="936"/>
      <c r="BS616" s="936"/>
      <c r="CH616" s="936"/>
      <c r="CI616" s="938"/>
    </row>
    <row r="617" spans="1:88" s="369" customFormat="1" ht="15" collapsed="1">
      <c r="A617" s="370"/>
      <c r="B617" s="783" t="s">
        <v>1913</v>
      </c>
      <c r="C617" s="784"/>
      <c r="D617" s="785"/>
      <c r="E617" s="786"/>
      <c r="F617" s="787"/>
      <c r="G617" s="787"/>
      <c r="H617" s="788" t="s">
        <v>30</v>
      </c>
      <c r="I617" s="789" t="s">
        <v>1162</v>
      </c>
      <c r="J617" s="790" t="s">
        <v>1071</v>
      </c>
      <c r="K617" s="786" t="s">
        <v>1072</v>
      </c>
      <c r="L617" s="787" t="s">
        <v>21</v>
      </c>
      <c r="M617" s="791" t="s">
        <v>82</v>
      </c>
      <c r="N617" s="839" t="s">
        <v>1163</v>
      </c>
      <c r="O617" s="786" t="s">
        <v>1154</v>
      </c>
      <c r="P617" s="790" t="s">
        <v>1164</v>
      </c>
      <c r="Q617" s="793" t="s">
        <v>34</v>
      </c>
      <c r="R617" s="791">
        <v>1</v>
      </c>
      <c r="S617" s="793" t="s">
        <v>13</v>
      </c>
      <c r="T617" s="794" t="s">
        <v>128</v>
      </c>
      <c r="U617" s="794" t="s">
        <v>111</v>
      </c>
      <c r="V617" s="795" t="s">
        <v>32</v>
      </c>
      <c r="W617" s="796" t="s">
        <v>33</v>
      </c>
      <c r="X617" s="797"/>
      <c r="Y617" s="798">
        <f>SUM(Y618:Y621)</f>
        <v>0</v>
      </c>
      <c r="Z617" s="799">
        <f>SUM(Z618:Z621)</f>
        <v>0.22981120058232113</v>
      </c>
      <c r="AA617" s="800" t="str">
        <f>+AA$2</f>
        <v>SCU75M1</v>
      </c>
      <c r="AC617" s="801" t="str">
        <f>+AC$2</f>
        <v>SCU75M1</v>
      </c>
      <c r="AD617" s="801" t="str">
        <f>+AD$2</f>
        <v>SCU100M1</v>
      </c>
      <c r="AE617" s="801" t="str">
        <f>+AE$2</f>
        <v>SCU125M1</v>
      </c>
      <c r="AF617" s="802" t="str">
        <f>+AF$2</f>
        <v>SCU150M1</v>
      </c>
      <c r="AG617" s="370"/>
      <c r="AH617" s="521"/>
      <c r="AI617" s="370"/>
      <c r="AJ617" s="483"/>
      <c r="AK617" s="522">
        <f>SUM(AJ618:AJ621)</f>
        <v>0</v>
      </c>
      <c r="AL617" s="401"/>
      <c r="AM617" s="523">
        <f>SUM(AL618:AL621)</f>
        <v>0.22981120058232113</v>
      </c>
      <c r="AN617" s="370"/>
      <c r="AO617" s="521"/>
      <c r="AP617" s="370"/>
      <c r="AR617" s="418"/>
      <c r="AS617" s="483"/>
      <c r="AT617" s="418"/>
      <c r="AU617" s="370"/>
      <c r="AV617" s="521"/>
      <c r="AW617" s="370"/>
      <c r="AX617" s="395"/>
      <c r="AY617" s="395"/>
      <c r="AZ617" s="395"/>
      <c r="BA617" s="395"/>
      <c r="BB617" s="395"/>
      <c r="BD617" s="395"/>
      <c r="BE617" s="395"/>
      <c r="BF617" s="395"/>
      <c r="BG617" s="395"/>
      <c r="BH617" s="395"/>
      <c r="BJ617" s="395"/>
      <c r="BK617" s="395"/>
      <c r="BL617" s="395"/>
      <c r="BM617" s="395"/>
      <c r="BN617" s="395"/>
      <c r="BO617" s="395"/>
      <c r="BP617" s="395"/>
      <c r="BS617" s="395"/>
      <c r="CH617" s="395"/>
      <c r="CI617" s="511"/>
    </row>
    <row r="618" spans="1:88" s="747" customFormat="1" ht="13.9" hidden="1" customHeight="1" outlineLevel="1">
      <c r="B618" s="1231" t="s">
        <v>1914</v>
      </c>
      <c r="C618" s="1378" t="s">
        <v>1915</v>
      </c>
      <c r="D618" s="1379"/>
      <c r="E618" s="1380"/>
      <c r="F618" s="1381"/>
      <c r="G618" s="977"/>
      <c r="H618" s="457" t="s">
        <v>54</v>
      </c>
      <c r="I618" s="816"/>
      <c r="J618" s="808"/>
      <c r="K618" s="808">
        <f>I73</f>
        <v>950</v>
      </c>
      <c r="L618" s="809">
        <f>(J73+K73)*2</f>
        <v>4126</v>
      </c>
      <c r="M618" s="860">
        <v>2</v>
      </c>
      <c r="N618" s="939">
        <f t="shared" si="628"/>
        <v>3.9196999999999997</v>
      </c>
      <c r="O618" s="814">
        <v>1</v>
      </c>
      <c r="P618" s="811">
        <f>M618*N618*O618</f>
        <v>7.8393999999999995</v>
      </c>
      <c r="Q618" s="815">
        <v>1</v>
      </c>
      <c r="R618" s="505">
        <f>+R$617</f>
        <v>1</v>
      </c>
      <c r="S618" s="978">
        <f t="shared" si="638"/>
        <v>7.8393999999999995</v>
      </c>
      <c r="T618" s="1014" t="s">
        <v>115</v>
      </c>
      <c r="U618" s="946">
        <f>42000/(0.5*360)</f>
        <v>233.33333333333334</v>
      </c>
      <c r="V618" s="927">
        <f t="shared" si="631"/>
        <v>6.8240753377917299E-5</v>
      </c>
      <c r="W618" s="980">
        <v>1</v>
      </c>
      <c r="X618" s="1356">
        <v>0</v>
      </c>
      <c r="Y618" s="1357">
        <f>+P618*R618*AA618*X618</f>
        <v>0</v>
      </c>
      <c r="Z618" s="822">
        <f>S618*U618*V618*W618</f>
        <v>0.12482553114053048</v>
      </c>
      <c r="AA618" s="823">
        <v>1</v>
      </c>
      <c r="AC618" s="1350">
        <v>1</v>
      </c>
      <c r="AD618" s="1350">
        <v>1</v>
      </c>
      <c r="AE618" s="1350">
        <v>1</v>
      </c>
      <c r="AF618" s="1350">
        <v>1</v>
      </c>
      <c r="AG618" s="824"/>
      <c r="AH618" s="827"/>
      <c r="AI618" s="824"/>
      <c r="AJ618" s="828">
        <f>+Y618</f>
        <v>0</v>
      </c>
      <c r="AK618" s="862"/>
      <c r="AL618" s="828">
        <f>+Z618</f>
        <v>0.12482553114053048</v>
      </c>
      <c r="AM618" s="862"/>
      <c r="AN618" s="824"/>
      <c r="AO618" s="827"/>
      <c r="AP618" s="824"/>
      <c r="AS618" s="828"/>
      <c r="AU618" s="824"/>
      <c r="AV618" s="827"/>
      <c r="AW618" s="824"/>
      <c r="AX618" s="936"/>
      <c r="AY618" s="936"/>
      <c r="AZ618" s="936"/>
      <c r="BA618" s="936"/>
      <c r="BB618" s="936"/>
      <c r="BD618" s="936"/>
      <c r="BE618" s="936"/>
      <c r="BF618" s="936"/>
      <c r="BG618" s="936"/>
      <c r="BH618" s="936"/>
      <c r="BJ618" s="936"/>
      <c r="BK618" s="936"/>
      <c r="BL618" s="936"/>
      <c r="BM618" s="936"/>
      <c r="BN618" s="936"/>
      <c r="BO618" s="936"/>
      <c r="BP618" s="936"/>
      <c r="BS618" s="936"/>
      <c r="CH618" s="936"/>
      <c r="CI618" s="938"/>
    </row>
    <row r="619" spans="1:88" s="747" customFormat="1" ht="13.9" hidden="1" customHeight="1" outlineLevel="1">
      <c r="B619" s="1382" t="s">
        <v>1916</v>
      </c>
      <c r="C619" s="1383" t="s">
        <v>1915</v>
      </c>
      <c r="D619" s="1384"/>
      <c r="E619" s="1385"/>
      <c r="F619" s="1028"/>
      <c r="G619" s="1028"/>
      <c r="H619" s="1029" t="s">
        <v>54</v>
      </c>
      <c r="I619" s="1386"/>
      <c r="J619" s="1032"/>
      <c r="K619" s="1032">
        <f>+K73</f>
        <v>1188</v>
      </c>
      <c r="L619" s="1033">
        <f>I73*2+J73</f>
        <v>2775</v>
      </c>
      <c r="M619" s="1387">
        <v>2</v>
      </c>
      <c r="N619" s="1050">
        <f t="shared" si="628"/>
        <v>3.2967</v>
      </c>
      <c r="O619" s="1036">
        <v>1</v>
      </c>
      <c r="P619" s="1031">
        <f>M619*N619*O619</f>
        <v>6.5933999999999999</v>
      </c>
      <c r="Q619" s="1038">
        <v>1</v>
      </c>
      <c r="R619" s="1039">
        <f>+R$617</f>
        <v>1</v>
      </c>
      <c r="S619" s="1388">
        <f t="shared" si="638"/>
        <v>6.5933999999999999</v>
      </c>
      <c r="T619" s="1040" t="s">
        <v>115</v>
      </c>
      <c r="U619" s="1041">
        <f>42000/(0.5*360)</f>
        <v>233.33333333333334</v>
      </c>
      <c r="V619" s="1042">
        <f t="shared" si="631"/>
        <v>6.8240753377917299E-5</v>
      </c>
      <c r="W619" s="1389">
        <v>1</v>
      </c>
      <c r="X619" s="1390">
        <v>0</v>
      </c>
      <c r="Y619" s="1391">
        <f>+P619*R619*AA619*X619</f>
        <v>0</v>
      </c>
      <c r="Z619" s="1045">
        <f>S619*U619*V619*W619</f>
        <v>0.10498566944179065</v>
      </c>
      <c r="AA619" s="1046">
        <v>1</v>
      </c>
      <c r="AC619" s="1047">
        <v>1</v>
      </c>
      <c r="AD619" s="1047">
        <v>1</v>
      </c>
      <c r="AE619" s="1047">
        <v>1</v>
      </c>
      <c r="AF619" s="1047">
        <v>1</v>
      </c>
      <c r="AG619" s="824"/>
      <c r="AH619" s="827"/>
      <c r="AI619" s="824"/>
      <c r="AJ619" s="828">
        <f>+Y619</f>
        <v>0</v>
      </c>
      <c r="AK619" s="862"/>
      <c r="AL619" s="828">
        <f>+Z619</f>
        <v>0.10498566944179065</v>
      </c>
      <c r="AM619" s="862"/>
      <c r="AN619" s="824"/>
      <c r="AO619" s="827"/>
      <c r="AP619" s="824"/>
      <c r="AS619" s="828"/>
      <c r="AU619" s="824"/>
      <c r="AV619" s="827"/>
      <c r="AW619" s="824"/>
      <c r="AX619" s="936"/>
      <c r="AY619" s="936"/>
      <c r="AZ619" s="936"/>
      <c r="BA619" s="936"/>
      <c r="BB619" s="936"/>
      <c r="BD619" s="936"/>
      <c r="BE619" s="936"/>
      <c r="BF619" s="936"/>
      <c r="BG619" s="936"/>
      <c r="BH619" s="936"/>
      <c r="BJ619" s="936"/>
      <c r="BK619" s="936"/>
      <c r="BL619" s="936"/>
      <c r="BM619" s="936"/>
      <c r="BN619" s="936"/>
      <c r="BO619" s="936"/>
      <c r="BP619" s="936"/>
      <c r="BS619" s="936"/>
      <c r="CH619" s="936"/>
      <c r="CI619" s="938"/>
    </row>
    <row r="620" spans="1:88" s="747" customFormat="1" ht="13.9" hidden="1" customHeight="1" outlineLevel="1">
      <c r="B620" s="805" t="s">
        <v>1917</v>
      </c>
      <c r="C620" s="1201" t="s">
        <v>1918</v>
      </c>
      <c r="D620" s="1021"/>
      <c r="E620" s="1392"/>
      <c r="F620" s="977"/>
      <c r="G620" s="977"/>
      <c r="H620" s="457" t="s">
        <v>100</v>
      </c>
      <c r="I620" s="816"/>
      <c r="J620" s="808"/>
      <c r="K620" s="808"/>
      <c r="L620" s="809"/>
      <c r="M620" s="860">
        <f>+E$620</f>
        <v>0</v>
      </c>
      <c r="N620" s="939">
        <f t="shared" si="628"/>
        <v>1</v>
      </c>
      <c r="O620" s="814">
        <f>3*2*4+6*2*4+6*2*4</f>
        <v>120</v>
      </c>
      <c r="P620" s="811">
        <f>M620*N620*O620</f>
        <v>0</v>
      </c>
      <c r="Q620" s="815">
        <v>1</v>
      </c>
      <c r="R620" s="505">
        <f>+R$617</f>
        <v>1</v>
      </c>
      <c r="S620" s="978">
        <f t="shared" si="638"/>
        <v>0</v>
      </c>
      <c r="T620" s="1014" t="s">
        <v>115</v>
      </c>
      <c r="U620" s="946">
        <v>23.125</v>
      </c>
      <c r="V620" s="927">
        <f t="shared" si="631"/>
        <v>6.8240753377917299E-5</v>
      </c>
      <c r="W620" s="980">
        <v>1</v>
      </c>
      <c r="X620" s="1356">
        <v>0</v>
      </c>
      <c r="Y620" s="1357">
        <f>+P620*R620*AA620*X620</f>
        <v>0</v>
      </c>
      <c r="Z620" s="822">
        <f>S620*U620*V620*W620</f>
        <v>0</v>
      </c>
      <c r="AA620" s="823">
        <v>1</v>
      </c>
      <c r="AC620" s="1393">
        <v>1</v>
      </c>
      <c r="AD620" s="1393">
        <v>1</v>
      </c>
      <c r="AE620" s="1393">
        <v>1</v>
      </c>
      <c r="AF620" s="1393">
        <v>1</v>
      </c>
      <c r="AG620" s="824"/>
      <c r="AH620" s="827"/>
      <c r="AI620" s="824"/>
      <c r="AJ620" s="828">
        <f>+Y620</f>
        <v>0</v>
      </c>
      <c r="AK620" s="862"/>
      <c r="AL620" s="828">
        <f>+Z620</f>
        <v>0</v>
      </c>
      <c r="AM620" s="862"/>
      <c r="AN620" s="824"/>
      <c r="AO620" s="827"/>
      <c r="AP620" s="824"/>
      <c r="AS620" s="828"/>
      <c r="AU620" s="824"/>
      <c r="AV620" s="827"/>
      <c r="AW620" s="824"/>
      <c r="AX620" s="936"/>
      <c r="AY620" s="936"/>
      <c r="AZ620" s="936"/>
      <c r="BA620" s="936"/>
      <c r="BB620" s="936"/>
      <c r="BD620" s="936"/>
      <c r="BE620" s="936"/>
      <c r="BF620" s="936"/>
      <c r="BG620" s="936"/>
      <c r="BH620" s="936"/>
      <c r="BJ620" s="936"/>
      <c r="BK620" s="936"/>
      <c r="BL620" s="936"/>
      <c r="BM620" s="936"/>
      <c r="BN620" s="936"/>
      <c r="BO620" s="936"/>
      <c r="BP620" s="936"/>
      <c r="BS620" s="936"/>
      <c r="CH620" s="936"/>
      <c r="CI620" s="938"/>
    </row>
    <row r="621" spans="1:88" s="747" customFormat="1" ht="13.9" hidden="1" customHeight="1" outlineLevel="1">
      <c r="B621" s="805" t="s">
        <v>1919</v>
      </c>
      <c r="C621" s="1201"/>
      <c r="D621" s="1021"/>
      <c r="E621" s="1394"/>
      <c r="F621" s="977"/>
      <c r="G621" s="977"/>
      <c r="H621" s="457" t="s">
        <v>1171</v>
      </c>
      <c r="I621" s="816"/>
      <c r="J621" s="808">
        <f>+I73</f>
        <v>950</v>
      </c>
      <c r="K621" s="808">
        <f>+J73</f>
        <v>875</v>
      </c>
      <c r="L621" s="809">
        <f>+K73</f>
        <v>1188</v>
      </c>
      <c r="M621" s="860">
        <f>+E$620</f>
        <v>0</v>
      </c>
      <c r="N621" s="939">
        <f t="shared" si="628"/>
        <v>0.9875250000000001</v>
      </c>
      <c r="O621" s="814">
        <v>1</v>
      </c>
      <c r="P621" s="811">
        <f>M621*N621*O621</f>
        <v>0</v>
      </c>
      <c r="Q621" s="815">
        <v>1</v>
      </c>
      <c r="R621" s="505">
        <f>+R$617</f>
        <v>1</v>
      </c>
      <c r="S621" s="978">
        <f t="shared" si="638"/>
        <v>0</v>
      </c>
      <c r="T621" s="1014" t="s">
        <v>115</v>
      </c>
      <c r="U621" s="946">
        <v>1000000</v>
      </c>
      <c r="V621" s="927">
        <f t="shared" si="631"/>
        <v>6.8240753377917299E-5</v>
      </c>
      <c r="W621" s="980">
        <v>1</v>
      </c>
      <c r="X621" s="1356">
        <v>0</v>
      </c>
      <c r="Y621" s="1357">
        <f>+P621*R621*AA621*X621</f>
        <v>0</v>
      </c>
      <c r="Z621" s="822">
        <f>S621*U621*V621*W621</f>
        <v>0</v>
      </c>
      <c r="AA621" s="823">
        <v>1</v>
      </c>
      <c r="AC621" s="825">
        <v>1</v>
      </c>
      <c r="AD621" s="825">
        <v>1</v>
      </c>
      <c r="AE621" s="825">
        <v>1</v>
      </c>
      <c r="AF621" s="825">
        <v>1</v>
      </c>
      <c r="AG621" s="824"/>
      <c r="AH621" s="827"/>
      <c r="AI621" s="824"/>
      <c r="AJ621" s="828">
        <f>+Y621</f>
        <v>0</v>
      </c>
      <c r="AK621" s="862"/>
      <c r="AL621" s="828">
        <f>+Z621</f>
        <v>0</v>
      </c>
      <c r="AM621" s="862"/>
      <c r="AN621" s="824"/>
      <c r="AO621" s="827"/>
      <c r="AP621" s="824"/>
      <c r="AS621" s="828"/>
      <c r="AU621" s="824"/>
      <c r="AV621" s="827"/>
      <c r="AW621" s="824"/>
      <c r="AX621" s="936"/>
      <c r="AY621" s="936"/>
      <c r="AZ621" s="936"/>
      <c r="BA621" s="936"/>
      <c r="BB621" s="936"/>
      <c r="BD621" s="936"/>
      <c r="BE621" s="936"/>
      <c r="BF621" s="936"/>
      <c r="BG621" s="936"/>
      <c r="BH621" s="936"/>
      <c r="BJ621" s="936"/>
      <c r="BK621" s="936"/>
      <c r="BL621" s="936"/>
      <c r="BM621" s="936"/>
      <c r="BN621" s="936"/>
      <c r="BO621" s="936"/>
      <c r="BP621" s="936"/>
      <c r="BS621" s="936"/>
      <c r="CH621" s="936"/>
      <c r="CI621" s="938"/>
    </row>
    <row r="622" spans="1:88" s="369" customFormat="1" ht="15" collapsed="1">
      <c r="A622" s="370"/>
      <c r="B622" s="783" t="s">
        <v>1920</v>
      </c>
      <c r="C622" s="784"/>
      <c r="D622" s="785"/>
      <c r="E622" s="786"/>
      <c r="F622" s="786"/>
      <c r="G622" s="802"/>
      <c r="H622" s="788" t="s">
        <v>30</v>
      </c>
      <c r="I622" s="789" t="s">
        <v>1162</v>
      </c>
      <c r="J622" s="790" t="s">
        <v>1071</v>
      </c>
      <c r="K622" s="786" t="s">
        <v>1072</v>
      </c>
      <c r="L622" s="787" t="s">
        <v>21</v>
      </c>
      <c r="M622" s="791" t="s">
        <v>82</v>
      </c>
      <c r="N622" s="839" t="s">
        <v>1163</v>
      </c>
      <c r="O622" s="786" t="s">
        <v>1154</v>
      </c>
      <c r="P622" s="790" t="s">
        <v>1164</v>
      </c>
      <c r="Q622" s="793" t="s">
        <v>34</v>
      </c>
      <c r="R622" s="894">
        <v>0</v>
      </c>
      <c r="S622" s="793" t="s">
        <v>13</v>
      </c>
      <c r="T622" s="794" t="s">
        <v>128</v>
      </c>
      <c r="U622" s="794" t="s">
        <v>111</v>
      </c>
      <c r="V622" s="795" t="s">
        <v>32</v>
      </c>
      <c r="W622" s="796" t="s">
        <v>33</v>
      </c>
      <c r="X622" s="797"/>
      <c r="Y622" s="798">
        <f>SUM(Y623)</f>
        <v>0</v>
      </c>
      <c r="Z622" s="799">
        <f>SUM(Z623)</f>
        <v>0</v>
      </c>
      <c r="AA622" s="800" t="str">
        <f>+AA$2</f>
        <v>SCU75M1</v>
      </c>
      <c r="AC622" s="801" t="str">
        <f>+AC$2</f>
        <v>SCU75M1</v>
      </c>
      <c r="AD622" s="801" t="str">
        <f>+AD$2</f>
        <v>SCU100M1</v>
      </c>
      <c r="AE622" s="801" t="str">
        <f>+AE$2</f>
        <v>SCU125M1</v>
      </c>
      <c r="AF622" s="802" t="str">
        <f>+AF$2</f>
        <v>SCU150M1</v>
      </c>
      <c r="AG622" s="370"/>
      <c r="AH622" s="521"/>
      <c r="AI622" s="370"/>
      <c r="AJ622" s="483"/>
      <c r="AK622" s="522">
        <f>SUM(AJ623)</f>
        <v>0</v>
      </c>
      <c r="AL622" s="401"/>
      <c r="AM622" s="523">
        <f>SUM(AL623)</f>
        <v>0</v>
      </c>
      <c r="AN622" s="370"/>
      <c r="AO622" s="521"/>
      <c r="AP622" s="370"/>
      <c r="AR622" s="418"/>
      <c r="AS622" s="483"/>
      <c r="AT622" s="418"/>
      <c r="AU622" s="370"/>
      <c r="AV622" s="521"/>
      <c r="AW622" s="370"/>
      <c r="AX622" s="395"/>
      <c r="AY622" s="395"/>
      <c r="AZ622" s="395"/>
      <c r="BA622" s="395"/>
      <c r="BB622" s="395"/>
      <c r="BD622" s="395"/>
      <c r="BE622" s="395"/>
      <c r="BF622" s="395"/>
      <c r="BG622" s="395"/>
      <c r="BH622" s="395"/>
      <c r="BJ622" s="395"/>
      <c r="BK622" s="395"/>
      <c r="BL622" s="395"/>
      <c r="BM622" s="395"/>
      <c r="BN622" s="395"/>
      <c r="BO622" s="395"/>
      <c r="BP622" s="395"/>
      <c r="BS622" s="395"/>
      <c r="CH622" s="395"/>
      <c r="CI622" s="511"/>
    </row>
    <row r="623" spans="1:88" s="747" customFormat="1" ht="13.9" hidden="1" customHeight="1" outlineLevel="1">
      <c r="B623" s="1231" t="s">
        <v>1921</v>
      </c>
      <c r="C623" s="1378" t="s">
        <v>1922</v>
      </c>
      <c r="D623" s="1395"/>
      <c r="E623" s="1202"/>
      <c r="F623" s="1202"/>
      <c r="G623" s="1396"/>
      <c r="H623" s="1397" t="s">
        <v>97</v>
      </c>
      <c r="I623" s="816"/>
      <c r="J623" s="811"/>
      <c r="K623" s="808"/>
      <c r="L623" s="809"/>
      <c r="M623" s="860">
        <v>1</v>
      </c>
      <c r="N623" s="813">
        <f>IF(I623&gt;0,22/28*((I623/1000)^2-(I623/1000-2*J623/1000)^2)*K623/1000,IF(J623&gt;0,J623/1000*K623/1000*L623/1000, IF(K623&gt;0,K623/1000*L623/1000, IF(L623=0,1,L623/1000))))</f>
        <v>1</v>
      </c>
      <c r="O623" s="814">
        <v>1</v>
      </c>
      <c r="P623" s="811">
        <f>M623*N623*O623</f>
        <v>1</v>
      </c>
      <c r="Q623" s="815">
        <f>11.35/10</f>
        <v>1.135</v>
      </c>
      <c r="R623" s="505">
        <f>+R622</f>
        <v>0</v>
      </c>
      <c r="S623" s="978">
        <f t="shared" si="638"/>
        <v>0</v>
      </c>
      <c r="T623" s="925" t="s">
        <v>115</v>
      </c>
      <c r="U623" s="1398">
        <f>1800000/10</f>
        <v>180000</v>
      </c>
      <c r="V623" s="1339">
        <f t="shared" si="631"/>
        <v>6.8240753377917299E-5</v>
      </c>
      <c r="W623" s="1399">
        <v>1</v>
      </c>
      <c r="X623" s="1400">
        <v>1</v>
      </c>
      <c r="Y623" s="928">
        <f>+P623*R623*AA623*X623</f>
        <v>0</v>
      </c>
      <c r="Z623" s="929">
        <f>S623*U623*V623*W623</f>
        <v>0</v>
      </c>
      <c r="AA623" s="1401">
        <f>7.5*0.8</f>
        <v>6</v>
      </c>
      <c r="AC623" s="1402">
        <f>7.5*0.8</f>
        <v>6</v>
      </c>
      <c r="AD623" s="1402">
        <f>10*0.8</f>
        <v>8</v>
      </c>
      <c r="AE623" s="1402">
        <f>12.5*0.8</f>
        <v>10</v>
      </c>
      <c r="AF623" s="1402">
        <f>15*0.8</f>
        <v>12</v>
      </c>
      <c r="AG623" s="824"/>
      <c r="AH623" s="827"/>
      <c r="AI623" s="824"/>
      <c r="AJ623" s="828">
        <f>+Y623</f>
        <v>0</v>
      </c>
      <c r="AK623" s="862"/>
      <c r="AL623" s="828">
        <f>+Z623</f>
        <v>0</v>
      </c>
      <c r="AM623" s="862"/>
      <c r="AN623" s="824"/>
      <c r="AO623" s="827"/>
      <c r="AP623" s="824"/>
      <c r="AS623" s="828"/>
      <c r="AU623" s="824"/>
      <c r="AV623" s="827"/>
      <c r="AW623" s="824"/>
      <c r="AX623" s="936"/>
      <c r="AY623" s="936"/>
      <c r="AZ623" s="936"/>
      <c r="BA623" s="936"/>
      <c r="BB623" s="936"/>
      <c r="BD623" s="936"/>
      <c r="BE623" s="936"/>
      <c r="BF623" s="936"/>
      <c r="BG623" s="936"/>
      <c r="BH623" s="936"/>
      <c r="BJ623" s="936"/>
      <c r="BK623" s="936"/>
      <c r="BL623" s="936"/>
      <c r="BM623" s="936"/>
      <c r="BN623" s="936"/>
      <c r="BO623" s="936"/>
      <c r="BP623" s="936"/>
      <c r="BS623" s="936"/>
      <c r="CH623" s="936"/>
      <c r="CI623" s="938"/>
    </row>
    <row r="624" spans="1:88" s="369" customFormat="1" ht="15" collapsed="1">
      <c r="A624" s="370"/>
      <c r="B624" s="783" t="s">
        <v>1923</v>
      </c>
      <c r="C624" s="784"/>
      <c r="D624" s="785"/>
      <c r="E624" s="786"/>
      <c r="F624" s="786"/>
      <c r="G624" s="802"/>
      <c r="H624" s="788" t="s">
        <v>30</v>
      </c>
      <c r="I624" s="789" t="s">
        <v>1162</v>
      </c>
      <c r="J624" s="790" t="s">
        <v>1071</v>
      </c>
      <c r="K624" s="786" t="s">
        <v>1072</v>
      </c>
      <c r="L624" s="787" t="s">
        <v>21</v>
      </c>
      <c r="M624" s="791" t="s">
        <v>82</v>
      </c>
      <c r="N624" s="839" t="s">
        <v>1163</v>
      </c>
      <c r="O624" s="786" t="s">
        <v>1154</v>
      </c>
      <c r="P624" s="790" t="s">
        <v>1164</v>
      </c>
      <c r="Q624" s="793" t="s">
        <v>34</v>
      </c>
      <c r="R624" s="791">
        <v>1</v>
      </c>
      <c r="S624" s="793" t="s">
        <v>13</v>
      </c>
      <c r="T624" s="794" t="s">
        <v>128</v>
      </c>
      <c r="U624" s="794" t="s">
        <v>111</v>
      </c>
      <c r="V624" s="795" t="s">
        <v>32</v>
      </c>
      <c r="W624" s="796" t="s">
        <v>33</v>
      </c>
      <c r="X624" s="797"/>
      <c r="Y624" s="798">
        <f>SUM(Y625:Y626)</f>
        <v>0</v>
      </c>
      <c r="Z624" s="799">
        <f>SUM(Z625:Z626)</f>
        <v>41.566602661421321</v>
      </c>
      <c r="AA624" s="800" t="str">
        <f>+AA$2</f>
        <v>SCU75M1</v>
      </c>
      <c r="AC624" s="801" t="str">
        <f>+AC$2</f>
        <v>SCU75M1</v>
      </c>
      <c r="AD624" s="801" t="str">
        <f>+AD$2</f>
        <v>SCU100M1</v>
      </c>
      <c r="AE624" s="801" t="str">
        <f>+AE$2</f>
        <v>SCU125M1</v>
      </c>
      <c r="AF624" s="802" t="str">
        <f>+AF$2</f>
        <v>SCU150M1</v>
      </c>
      <c r="AG624" s="370"/>
      <c r="AH624" s="521"/>
      <c r="AI624" s="370"/>
      <c r="AJ624" s="483"/>
      <c r="AK624" s="522">
        <f>SUM(AJ625:AJ626)</f>
        <v>0</v>
      </c>
      <c r="AL624" s="401"/>
      <c r="AM624" s="523">
        <f>SUM(AL625:AL626)</f>
        <v>41.566602661421321</v>
      </c>
      <c r="AN624" s="370"/>
      <c r="AO624" s="521"/>
      <c r="AP624" s="370"/>
      <c r="AR624" s="418"/>
      <c r="AS624" s="483"/>
      <c r="AT624" s="418"/>
      <c r="AU624" s="370"/>
      <c r="AV624" s="521"/>
      <c r="AW624" s="370"/>
      <c r="AX624" s="395"/>
      <c r="AY624" s="395"/>
      <c r="AZ624" s="395"/>
      <c r="BA624" s="395"/>
      <c r="BB624" s="395"/>
      <c r="BD624" s="395"/>
      <c r="BE624" s="395"/>
      <c r="BF624" s="395"/>
      <c r="BG624" s="395"/>
      <c r="BH624" s="395"/>
      <c r="BJ624" s="395"/>
      <c r="BK624" s="395"/>
      <c r="BL624" s="395"/>
      <c r="BM624" s="395"/>
      <c r="BN624" s="395"/>
      <c r="BO624" s="395"/>
      <c r="BP624" s="395"/>
      <c r="BS624" s="395"/>
      <c r="CH624" s="395"/>
      <c r="CI624" s="511"/>
    </row>
    <row r="625" spans="1:88" s="824" customFormat="1" ht="13.9" hidden="1" customHeight="1" outlineLevel="1">
      <c r="A625" s="747"/>
      <c r="B625" s="1231" t="s">
        <v>1924</v>
      </c>
      <c r="C625" s="1378"/>
      <c r="D625" s="1395"/>
      <c r="E625" s="1202"/>
      <c r="F625" s="1202"/>
      <c r="G625" s="1396"/>
      <c r="H625" s="1397" t="s">
        <v>1172</v>
      </c>
      <c r="I625" s="816"/>
      <c r="J625" s="811"/>
      <c r="K625" s="808"/>
      <c r="L625" s="809"/>
      <c r="M625" s="1403">
        <v>0.05</v>
      </c>
      <c r="N625" s="813">
        <f t="shared" ref="N625:N638" si="640">IF(I625&gt;0,22/28*((I625/1000)^2-(I625/1000-2*J625/1000)^2)*K625/1000,IF(J625&gt;0,J625/1000*K625/1000*L625/1000, IF(K625&gt;0,K625/1000*L625/1000, IF(L625=0,1,L625/1000))))</f>
        <v>1</v>
      </c>
      <c r="O625" s="814">
        <v>1</v>
      </c>
      <c r="P625" s="1404">
        <f>M625*N625*O625</f>
        <v>0.05</v>
      </c>
      <c r="Q625" s="815">
        <v>1</v>
      </c>
      <c r="R625" s="505">
        <f>+R624</f>
        <v>1</v>
      </c>
      <c r="S625" s="1405">
        <f t="shared" si="638"/>
        <v>0.05</v>
      </c>
      <c r="T625" s="925" t="s">
        <v>46</v>
      </c>
      <c r="U625" s="1398">
        <f>SUM(Z$85:Z$623)/2</f>
        <v>831.33205322842639</v>
      </c>
      <c r="V625" s="1339">
        <f t="shared" si="631"/>
        <v>1</v>
      </c>
      <c r="W625" s="1399">
        <v>1</v>
      </c>
      <c r="X625" s="1400">
        <v>0</v>
      </c>
      <c r="Y625" s="928">
        <f>+P625*R625*AA625*X625</f>
        <v>0</v>
      </c>
      <c r="Z625" s="929">
        <f>S625*U625*V625*W625</f>
        <v>41.566602661421321</v>
      </c>
      <c r="AA625" s="823">
        <v>1</v>
      </c>
      <c r="AB625" s="747"/>
      <c r="AC625" s="1406">
        <v>1</v>
      </c>
      <c r="AD625" s="1406">
        <v>1</v>
      </c>
      <c r="AE625" s="1406">
        <v>1</v>
      </c>
      <c r="AF625" s="1406">
        <v>1</v>
      </c>
      <c r="AH625" s="827"/>
      <c r="AJ625" s="828">
        <f>+Y625</f>
        <v>0</v>
      </c>
      <c r="AK625" s="862"/>
      <c r="AL625" s="828">
        <f>+Z625</f>
        <v>41.566602661421321</v>
      </c>
      <c r="AM625" s="862"/>
      <c r="AO625" s="827"/>
      <c r="AQ625" s="747"/>
      <c r="AR625" s="747"/>
      <c r="AS625" s="828"/>
      <c r="AT625" s="747"/>
      <c r="AV625" s="827"/>
      <c r="AX625" s="936"/>
      <c r="AY625" s="936"/>
      <c r="AZ625" s="936"/>
      <c r="BA625" s="936"/>
      <c r="BB625" s="936"/>
      <c r="BC625" s="747"/>
      <c r="BD625" s="936"/>
      <c r="BE625" s="936"/>
      <c r="BF625" s="936"/>
      <c r="BG625" s="936"/>
      <c r="BH625" s="936"/>
      <c r="BI625" s="747"/>
      <c r="BJ625" s="936"/>
      <c r="BK625" s="936"/>
      <c r="BL625" s="936"/>
      <c r="BM625" s="936"/>
      <c r="BN625" s="936"/>
      <c r="BO625" s="936"/>
      <c r="BP625" s="936"/>
      <c r="BQ625" s="747"/>
      <c r="BR625" s="747"/>
      <c r="BS625" s="936"/>
      <c r="BT625" s="747"/>
      <c r="BU625" s="747"/>
      <c r="BV625" s="747"/>
      <c r="BW625" s="747"/>
      <c r="BX625" s="747"/>
      <c r="BY625" s="747"/>
      <c r="BZ625" s="747"/>
      <c r="CA625" s="747"/>
      <c r="CB625" s="747"/>
      <c r="CC625" s="747"/>
      <c r="CD625" s="747"/>
      <c r="CE625" s="747"/>
      <c r="CF625" s="747"/>
      <c r="CG625" s="747"/>
      <c r="CH625" s="936"/>
      <c r="CI625" s="938"/>
      <c r="CJ625" s="747"/>
    </row>
    <row r="626" spans="1:88" s="747" customFormat="1" ht="13.9" hidden="1" customHeight="1" outlineLevel="1">
      <c r="B626" s="1231" t="s">
        <v>1925</v>
      </c>
      <c r="C626" s="1407"/>
      <c r="D626" s="1395"/>
      <c r="E626" s="1202"/>
      <c r="F626" s="1202"/>
      <c r="G626" s="1396"/>
      <c r="H626" s="988" t="s">
        <v>1172</v>
      </c>
      <c r="I626" s="816"/>
      <c r="J626" s="811"/>
      <c r="K626" s="808"/>
      <c r="L626" s="809"/>
      <c r="M626" s="1403">
        <v>2.5000000000000001E-2</v>
      </c>
      <c r="N626" s="813">
        <f t="shared" si="640"/>
        <v>1</v>
      </c>
      <c r="O626" s="814">
        <v>1</v>
      </c>
      <c r="P626" s="1404">
        <f>M626*N626*O626</f>
        <v>2.5000000000000001E-2</v>
      </c>
      <c r="Q626" s="815">
        <v>1</v>
      </c>
      <c r="R626" s="1206">
        <v>0</v>
      </c>
      <c r="S626" s="1405">
        <f t="shared" si="638"/>
        <v>0</v>
      </c>
      <c r="T626" s="1078" t="s">
        <v>46</v>
      </c>
      <c r="U626" s="1398">
        <f>SUM(Z$85:Z$623)/2</f>
        <v>831.33205322842639</v>
      </c>
      <c r="V626" s="927">
        <f t="shared" si="631"/>
        <v>1</v>
      </c>
      <c r="W626" s="1399">
        <v>1</v>
      </c>
      <c r="X626" s="1400">
        <v>0</v>
      </c>
      <c r="Y626" s="928">
        <f>+P626*R626*AA626*X626</f>
        <v>0</v>
      </c>
      <c r="Z626" s="929">
        <f>S626*U626*V626*W626</f>
        <v>0</v>
      </c>
      <c r="AA626" s="823">
        <v>1</v>
      </c>
      <c r="AC626" s="1406">
        <v>1</v>
      </c>
      <c r="AD626" s="1406">
        <v>1</v>
      </c>
      <c r="AE626" s="1406">
        <v>1</v>
      </c>
      <c r="AF626" s="1406">
        <v>1</v>
      </c>
      <c r="AG626" s="824"/>
      <c r="AH626" s="827"/>
      <c r="AI626" s="824"/>
      <c r="AJ626" s="828">
        <f>+Y626</f>
        <v>0</v>
      </c>
      <c r="AK626" s="862"/>
      <c r="AL626" s="828">
        <f>+Z626</f>
        <v>0</v>
      </c>
      <c r="AM626" s="862"/>
      <c r="AN626" s="824"/>
      <c r="AO626" s="827"/>
      <c r="AP626" s="824"/>
      <c r="AS626" s="828"/>
      <c r="AU626" s="824"/>
      <c r="AV626" s="827"/>
      <c r="AW626" s="824"/>
      <c r="AX626" s="936"/>
      <c r="AY626" s="936"/>
      <c r="AZ626" s="936"/>
      <c r="BA626" s="936"/>
      <c r="BB626" s="936"/>
      <c r="BD626" s="936"/>
      <c r="BE626" s="936"/>
      <c r="BF626" s="936"/>
      <c r="BG626" s="936"/>
      <c r="BH626" s="936"/>
      <c r="BJ626" s="936"/>
      <c r="BK626" s="936"/>
      <c r="BL626" s="936"/>
      <c r="BM626" s="936"/>
      <c r="BN626" s="936"/>
      <c r="BO626" s="936"/>
      <c r="BP626" s="936"/>
      <c r="BS626" s="936"/>
      <c r="BZ626" s="824"/>
      <c r="CA626" s="824"/>
      <c r="CB626" s="824"/>
      <c r="CC626" s="824"/>
      <c r="CD626" s="824"/>
      <c r="CE626" s="824"/>
      <c r="CF626" s="824"/>
      <c r="CG626" s="824"/>
      <c r="CH626" s="936"/>
      <c r="CI626" s="938"/>
      <c r="CJ626" s="824"/>
    </row>
    <row r="627" spans="1:88" s="369" customFormat="1" ht="15" collapsed="1">
      <c r="A627" s="370"/>
      <c r="B627" s="783" t="s">
        <v>1926</v>
      </c>
      <c r="C627" s="784"/>
      <c r="D627" s="785"/>
      <c r="E627" s="786"/>
      <c r="F627" s="786"/>
      <c r="G627" s="802"/>
      <c r="H627" s="788" t="s">
        <v>30</v>
      </c>
      <c r="I627" s="789" t="s">
        <v>1162</v>
      </c>
      <c r="J627" s="790" t="s">
        <v>1071</v>
      </c>
      <c r="K627" s="786" t="s">
        <v>1072</v>
      </c>
      <c r="L627" s="787" t="s">
        <v>21</v>
      </c>
      <c r="M627" s="791" t="s">
        <v>82</v>
      </c>
      <c r="N627" s="839" t="s">
        <v>1163</v>
      </c>
      <c r="O627" s="786" t="s">
        <v>1154</v>
      </c>
      <c r="P627" s="790" t="s">
        <v>1164</v>
      </c>
      <c r="Q627" s="793" t="s">
        <v>34</v>
      </c>
      <c r="R627" s="791">
        <v>1</v>
      </c>
      <c r="S627" s="793" t="s">
        <v>13</v>
      </c>
      <c r="T627" s="794" t="s">
        <v>128</v>
      </c>
      <c r="U627" s="794" t="s">
        <v>111</v>
      </c>
      <c r="V627" s="795" t="s">
        <v>32</v>
      </c>
      <c r="W627" s="796" t="s">
        <v>33</v>
      </c>
      <c r="X627" s="797"/>
      <c r="Y627" s="798">
        <f>SUM(Y628:Y638)</f>
        <v>0</v>
      </c>
      <c r="Z627" s="799">
        <f>SUM(Z628:Z638)</f>
        <v>5.576045727499567</v>
      </c>
      <c r="AA627" s="800" t="str">
        <f>+AA$2</f>
        <v>SCU75M1</v>
      </c>
      <c r="AC627" s="801" t="str">
        <f>+AC$2</f>
        <v>SCU75M1</v>
      </c>
      <c r="AD627" s="801" t="str">
        <f>+AD$2</f>
        <v>SCU100M1</v>
      </c>
      <c r="AE627" s="801" t="str">
        <f>+AE$2</f>
        <v>SCU125M1</v>
      </c>
      <c r="AF627" s="802" t="str">
        <f>+AF$2</f>
        <v>SCU150M1</v>
      </c>
      <c r="AG627" s="370"/>
      <c r="AH627" s="521"/>
      <c r="AI627" s="370"/>
      <c r="AJ627" s="483"/>
      <c r="AK627" s="522">
        <f>SUM(AJ628:AJ638)</f>
        <v>0</v>
      </c>
      <c r="AL627" s="401"/>
      <c r="AM627" s="523">
        <f>SUM(AL628:AL638)</f>
        <v>5.576045727499567</v>
      </c>
      <c r="AN627" s="370"/>
      <c r="AO627" s="521"/>
      <c r="AP627" s="370"/>
      <c r="AR627" s="418"/>
      <c r="AS627" s="483"/>
      <c r="AT627" s="418"/>
      <c r="AU627" s="370"/>
      <c r="AV627" s="521"/>
      <c r="AW627" s="370"/>
      <c r="AX627" s="395"/>
      <c r="AY627" s="395"/>
      <c r="AZ627" s="395"/>
      <c r="BA627" s="395"/>
      <c r="BB627" s="395"/>
      <c r="BD627" s="395"/>
      <c r="BE627" s="395"/>
      <c r="BF627" s="395"/>
      <c r="BG627" s="395"/>
      <c r="BH627" s="395"/>
      <c r="BJ627" s="395"/>
      <c r="BK627" s="395"/>
      <c r="BL627" s="395"/>
      <c r="BM627" s="395"/>
      <c r="BN627" s="395"/>
      <c r="BO627" s="395"/>
      <c r="BP627" s="395"/>
      <c r="BS627" s="395"/>
      <c r="CH627" s="395"/>
      <c r="CI627" s="511"/>
    </row>
    <row r="628" spans="1:88" s="747" customFormat="1" ht="13.9" hidden="1" customHeight="1" outlineLevel="1">
      <c r="B628" s="1231" t="s">
        <v>1927</v>
      </c>
      <c r="C628" s="1408"/>
      <c r="D628" s="1409"/>
      <c r="E628" s="1202"/>
      <c r="F628" s="1202"/>
      <c r="G628" s="1396"/>
      <c r="H628" s="1397" t="s">
        <v>1172</v>
      </c>
      <c r="I628" s="816"/>
      <c r="J628" s="811"/>
      <c r="K628" s="808"/>
      <c r="L628" s="809"/>
      <c r="M628" s="1403">
        <v>1.2528105423761746E-3</v>
      </c>
      <c r="N628" s="813">
        <f t="shared" si="640"/>
        <v>1</v>
      </c>
      <c r="O628" s="814">
        <v>1</v>
      </c>
      <c r="P628" s="1404">
        <f t="shared" ref="P628:P638" si="641">M628*N628*O628</f>
        <v>1.2528105423761746E-3</v>
      </c>
      <c r="Q628" s="815">
        <v>1</v>
      </c>
      <c r="R628" s="841">
        <f t="shared" ref="R628:R638" si="642">+R$627</f>
        <v>1</v>
      </c>
      <c r="S628" s="1405">
        <f t="shared" si="638"/>
        <v>1.2528105423761746E-3</v>
      </c>
      <c r="T628" s="1410" t="s">
        <v>46</v>
      </c>
      <c r="U628" s="1398">
        <f t="shared" ref="U628:U638" si="643">SUM(Z$85:Z$623)/2</f>
        <v>831.33205322842639</v>
      </c>
      <c r="V628" s="927">
        <f t="shared" ref="V628:V638" si="644">1/VLOOKUP(T628,Y$12:Z$18,2,FALSE)</f>
        <v>1</v>
      </c>
      <c r="W628" s="1399">
        <v>1</v>
      </c>
      <c r="X628" s="1400">
        <v>0</v>
      </c>
      <c r="Y628" s="928">
        <f t="shared" ref="Y628:Y638" si="645">+P628*R628*AA628*X628</f>
        <v>0</v>
      </c>
      <c r="Z628" s="929">
        <f t="shared" ref="Z628:Z638" si="646">S628*U628*V628*W628</f>
        <v>1.0415015604998037</v>
      </c>
      <c r="AA628" s="823">
        <v>1</v>
      </c>
      <c r="AC628" s="1411">
        <v>1</v>
      </c>
      <c r="AD628" s="1411">
        <v>1</v>
      </c>
      <c r="AE628" s="1411">
        <v>1</v>
      </c>
      <c r="AF628" s="1411">
        <v>1</v>
      </c>
      <c r="AG628" s="824"/>
      <c r="AH628" s="827"/>
      <c r="AI628" s="824"/>
      <c r="AJ628" s="828">
        <f t="shared" ref="AJ628:AJ638" si="647">+Y628</f>
        <v>0</v>
      </c>
      <c r="AK628" s="862"/>
      <c r="AL628" s="828">
        <f t="shared" ref="AL628:AL638" si="648">+Z628</f>
        <v>1.0415015604998037</v>
      </c>
      <c r="AM628" s="862"/>
      <c r="AN628" s="824"/>
      <c r="AO628" s="827"/>
      <c r="AP628" s="824"/>
      <c r="AS628" s="828"/>
      <c r="AU628" s="824"/>
      <c r="AV628" s="827"/>
      <c r="AW628" s="824"/>
      <c r="AX628" s="936"/>
      <c r="AY628" s="936"/>
      <c r="AZ628" s="936"/>
      <c r="BA628" s="936"/>
      <c r="BB628" s="936"/>
      <c r="BD628" s="936"/>
      <c r="BE628" s="936"/>
      <c r="BF628" s="936"/>
      <c r="BG628" s="936"/>
      <c r="BH628" s="936"/>
      <c r="BJ628" s="936"/>
      <c r="BK628" s="936"/>
      <c r="BL628" s="936"/>
      <c r="BM628" s="936"/>
      <c r="BN628" s="936"/>
      <c r="BO628" s="936"/>
      <c r="BP628" s="936"/>
      <c r="BS628" s="936"/>
      <c r="CH628" s="936"/>
      <c r="CI628" s="938"/>
    </row>
    <row r="629" spans="1:88" s="747" customFormat="1" ht="13.9" hidden="1" customHeight="1" outlineLevel="1">
      <c r="B629" s="1231" t="s">
        <v>1928</v>
      </c>
      <c r="C629" s="1412"/>
      <c r="D629" s="1409"/>
      <c r="E629" s="1202"/>
      <c r="F629" s="1202"/>
      <c r="G629" s="1396"/>
      <c r="H629" s="457" t="s">
        <v>1172</v>
      </c>
      <c r="I629" s="816"/>
      <c r="J629" s="811"/>
      <c r="K629" s="808"/>
      <c r="L629" s="809"/>
      <c r="M629" s="1403">
        <v>3.7550560714047612E-4</v>
      </c>
      <c r="N629" s="813">
        <f t="shared" si="640"/>
        <v>1</v>
      </c>
      <c r="O629" s="814">
        <v>1</v>
      </c>
      <c r="P629" s="1404">
        <f t="shared" si="641"/>
        <v>3.7550560714047612E-4</v>
      </c>
      <c r="Q629" s="815">
        <v>1</v>
      </c>
      <c r="R629" s="841">
        <f t="shared" si="642"/>
        <v>1</v>
      </c>
      <c r="S629" s="1405">
        <f t="shared" si="638"/>
        <v>3.7550560714047612E-4</v>
      </c>
      <c r="T629" s="1410" t="s">
        <v>46</v>
      </c>
      <c r="U629" s="1398">
        <f t="shared" si="643"/>
        <v>831.33205322842639</v>
      </c>
      <c r="V629" s="927">
        <f t="shared" si="644"/>
        <v>1</v>
      </c>
      <c r="W629" s="1399">
        <v>1</v>
      </c>
      <c r="X629" s="1400">
        <v>0</v>
      </c>
      <c r="Y629" s="928">
        <f t="shared" si="645"/>
        <v>0</v>
      </c>
      <c r="Z629" s="929">
        <f t="shared" si="646"/>
        <v>0.31216984738287884</v>
      </c>
      <c r="AA629" s="823">
        <v>1</v>
      </c>
      <c r="AC629" s="1411">
        <v>1</v>
      </c>
      <c r="AD629" s="1411">
        <v>1</v>
      </c>
      <c r="AE629" s="1411">
        <v>1</v>
      </c>
      <c r="AF629" s="1411">
        <v>1</v>
      </c>
      <c r="AG629" s="824"/>
      <c r="AH629" s="827"/>
      <c r="AI629" s="824"/>
      <c r="AJ629" s="828">
        <f t="shared" si="647"/>
        <v>0</v>
      </c>
      <c r="AK629" s="862"/>
      <c r="AL629" s="828">
        <f t="shared" si="648"/>
        <v>0.31216984738287884</v>
      </c>
      <c r="AM629" s="862"/>
      <c r="AN629" s="824"/>
      <c r="AO629" s="827"/>
      <c r="AP629" s="824"/>
      <c r="AS629" s="828"/>
      <c r="AU629" s="824"/>
      <c r="AV629" s="827"/>
      <c r="AW629" s="824"/>
      <c r="AX629" s="936"/>
      <c r="AY629" s="936"/>
      <c r="AZ629" s="936"/>
      <c r="BA629" s="936"/>
      <c r="BB629" s="936"/>
      <c r="BD629" s="936"/>
      <c r="BE629" s="936"/>
      <c r="BF629" s="936"/>
      <c r="BG629" s="936"/>
      <c r="BH629" s="936"/>
      <c r="BJ629" s="936"/>
      <c r="BK629" s="936"/>
      <c r="BL629" s="936"/>
      <c r="BM629" s="936"/>
      <c r="BN629" s="936"/>
      <c r="BO629" s="936"/>
      <c r="BP629" s="936"/>
      <c r="BS629" s="936"/>
      <c r="CH629" s="936"/>
      <c r="CI629" s="938"/>
    </row>
    <row r="630" spans="1:88" s="747" customFormat="1" ht="13.9" hidden="1" customHeight="1" outlineLevel="1">
      <c r="B630" s="805" t="s">
        <v>1929</v>
      </c>
      <c r="C630" s="806"/>
      <c r="D630" s="1201"/>
      <c r="E630" s="1202"/>
      <c r="F630" s="1202"/>
      <c r="G630" s="1396"/>
      <c r="H630" s="457" t="s">
        <v>1172</v>
      </c>
      <c r="I630" s="816"/>
      <c r="J630" s="811"/>
      <c r="K630" s="808"/>
      <c r="L630" s="809"/>
      <c r="M630" s="1403">
        <v>2.6545050632430467E-4</v>
      </c>
      <c r="N630" s="813">
        <f t="shared" si="640"/>
        <v>1</v>
      </c>
      <c r="O630" s="814">
        <v>1</v>
      </c>
      <c r="P630" s="1404">
        <f t="shared" si="641"/>
        <v>2.6545050632430467E-4</v>
      </c>
      <c r="Q630" s="815">
        <v>1</v>
      </c>
      <c r="R630" s="841">
        <f t="shared" si="642"/>
        <v>1</v>
      </c>
      <c r="S630" s="1405">
        <f t="shared" si="638"/>
        <v>2.6545050632430467E-4</v>
      </c>
      <c r="T630" s="1410" t="s">
        <v>46</v>
      </c>
      <c r="U630" s="1398">
        <f t="shared" si="643"/>
        <v>831.33205322842639</v>
      </c>
      <c r="V630" s="927">
        <f t="shared" si="644"/>
        <v>1</v>
      </c>
      <c r="W630" s="1399">
        <v>1</v>
      </c>
      <c r="X630" s="1400">
        <v>0</v>
      </c>
      <c r="Y630" s="928">
        <f t="shared" si="645"/>
        <v>0</v>
      </c>
      <c r="Z630" s="929">
        <f t="shared" si="646"/>
        <v>0.2206775144531096</v>
      </c>
      <c r="AA630" s="823">
        <v>1</v>
      </c>
      <c r="AC630" s="1411">
        <v>1</v>
      </c>
      <c r="AD630" s="1411">
        <v>1</v>
      </c>
      <c r="AE630" s="1411">
        <v>1</v>
      </c>
      <c r="AF630" s="1411">
        <v>1</v>
      </c>
      <c r="AG630" s="824"/>
      <c r="AH630" s="827"/>
      <c r="AI630" s="824"/>
      <c r="AJ630" s="828">
        <f t="shared" si="647"/>
        <v>0</v>
      </c>
      <c r="AK630" s="862"/>
      <c r="AL630" s="828">
        <f t="shared" si="648"/>
        <v>0.2206775144531096</v>
      </c>
      <c r="AM630" s="862"/>
      <c r="AN630" s="824"/>
      <c r="AO630" s="827"/>
      <c r="AP630" s="824"/>
      <c r="AS630" s="828"/>
      <c r="AU630" s="824"/>
      <c r="AV630" s="827"/>
      <c r="AW630" s="824"/>
      <c r="AX630" s="936"/>
      <c r="AY630" s="936"/>
      <c r="AZ630" s="936"/>
      <c r="BA630" s="936"/>
      <c r="BB630" s="936"/>
      <c r="BD630" s="936"/>
      <c r="BE630" s="936"/>
      <c r="BF630" s="936"/>
      <c r="BG630" s="936"/>
      <c r="BH630" s="936"/>
      <c r="BJ630" s="936"/>
      <c r="BK630" s="936"/>
      <c r="BL630" s="936"/>
      <c r="BM630" s="936"/>
      <c r="BN630" s="936"/>
      <c r="BO630" s="936"/>
      <c r="BP630" s="936"/>
      <c r="BS630" s="936"/>
      <c r="CH630" s="936"/>
      <c r="CI630" s="938"/>
    </row>
    <row r="631" spans="1:88" s="747" customFormat="1" ht="13.9" hidden="1" customHeight="1" outlineLevel="1">
      <c r="B631" s="1231" t="s">
        <v>1930</v>
      </c>
      <c r="C631" s="1412"/>
      <c r="D631" s="1409"/>
      <c r="E631" s="1202"/>
      <c r="F631" s="1202"/>
      <c r="G631" s="1396"/>
      <c r="H631" s="457" t="s">
        <v>1172</v>
      </c>
      <c r="I631" s="816"/>
      <c r="J631" s="811"/>
      <c r="K631" s="808"/>
      <c r="L631" s="809"/>
      <c r="M631" s="1403">
        <v>8.170243010681477E-4</v>
      </c>
      <c r="N631" s="813">
        <f t="shared" si="640"/>
        <v>1</v>
      </c>
      <c r="O631" s="814">
        <v>1</v>
      </c>
      <c r="P631" s="1404">
        <f t="shared" si="641"/>
        <v>8.170243010681477E-4</v>
      </c>
      <c r="Q631" s="815">
        <v>1</v>
      </c>
      <c r="R631" s="841">
        <f t="shared" si="642"/>
        <v>1</v>
      </c>
      <c r="S631" s="1405">
        <f t="shared" si="638"/>
        <v>8.170243010681477E-4</v>
      </c>
      <c r="T631" s="1410" t="s">
        <v>46</v>
      </c>
      <c r="U631" s="1398">
        <f t="shared" si="643"/>
        <v>831.33205322842639</v>
      </c>
      <c r="V631" s="927">
        <f t="shared" si="644"/>
        <v>1</v>
      </c>
      <c r="W631" s="1399">
        <v>1</v>
      </c>
      <c r="X631" s="1400">
        <v>0</v>
      </c>
      <c r="Y631" s="928">
        <f t="shared" si="645"/>
        <v>0</v>
      </c>
      <c r="Z631" s="929">
        <f t="shared" si="646"/>
        <v>0.67921848974450327</v>
      </c>
      <c r="AA631" s="823">
        <v>1</v>
      </c>
      <c r="AC631" s="1411">
        <v>1</v>
      </c>
      <c r="AD631" s="1411">
        <v>1</v>
      </c>
      <c r="AE631" s="1411">
        <v>1</v>
      </c>
      <c r="AF631" s="1411">
        <v>1</v>
      </c>
      <c r="AG631" s="824"/>
      <c r="AH631" s="827"/>
      <c r="AI631" s="824"/>
      <c r="AJ631" s="828">
        <f t="shared" si="647"/>
        <v>0</v>
      </c>
      <c r="AK631" s="862"/>
      <c r="AL631" s="828">
        <f t="shared" si="648"/>
        <v>0.67921848974450327</v>
      </c>
      <c r="AM631" s="862"/>
      <c r="AN631" s="824"/>
      <c r="AO631" s="827"/>
      <c r="AP631" s="824"/>
      <c r="AS631" s="828"/>
      <c r="AU631" s="824"/>
      <c r="AV631" s="827"/>
      <c r="AW631" s="824"/>
      <c r="AX631" s="936"/>
      <c r="AY631" s="936"/>
      <c r="AZ631" s="936"/>
      <c r="BA631" s="936"/>
      <c r="BB631" s="936"/>
      <c r="BD631" s="936"/>
      <c r="BE631" s="936"/>
      <c r="BF631" s="936"/>
      <c r="BG631" s="936"/>
      <c r="BH631" s="936"/>
      <c r="BJ631" s="936"/>
      <c r="BK631" s="936"/>
      <c r="BL631" s="936"/>
      <c r="BM631" s="936"/>
      <c r="BN631" s="936"/>
      <c r="BO631" s="936"/>
      <c r="BP631" s="936"/>
      <c r="BQ631" s="1413"/>
      <c r="BR631" s="1413"/>
      <c r="BS631" s="1414"/>
      <c r="BT631" s="1413"/>
      <c r="BU631" s="1413"/>
      <c r="BV631" s="1413"/>
      <c r="BW631" s="1413"/>
      <c r="BY631" s="1413"/>
      <c r="CH631" s="936"/>
      <c r="CI631" s="938"/>
    </row>
    <row r="632" spans="1:88" s="1413" customFormat="1" ht="13.9" hidden="1" customHeight="1" outlineLevel="1">
      <c r="A632" s="747"/>
      <c r="B632" s="1231" t="s">
        <v>1931</v>
      </c>
      <c r="C632" s="1412"/>
      <c r="D632" s="1409"/>
      <c r="E632" s="1202"/>
      <c r="F632" s="1202"/>
      <c r="G632" s="1396"/>
      <c r="H632" s="457" t="s">
        <v>1172</v>
      </c>
      <c r="I632" s="816"/>
      <c r="J632" s="811"/>
      <c r="K632" s="808"/>
      <c r="L632" s="809"/>
      <c r="M632" s="1403">
        <v>9.9573361135407755E-4</v>
      </c>
      <c r="N632" s="813">
        <f t="shared" si="640"/>
        <v>1</v>
      </c>
      <c r="O632" s="814">
        <v>1</v>
      </c>
      <c r="P632" s="1404">
        <f t="shared" si="641"/>
        <v>9.9573361135407755E-4</v>
      </c>
      <c r="Q632" s="815">
        <v>1</v>
      </c>
      <c r="R632" s="841">
        <f t="shared" si="642"/>
        <v>1</v>
      </c>
      <c r="S632" s="1405">
        <f t="shared" si="638"/>
        <v>9.9573361135407755E-4</v>
      </c>
      <c r="T632" s="1410" t="s">
        <v>46</v>
      </c>
      <c r="U632" s="1398">
        <f t="shared" si="643"/>
        <v>831.33205322842639</v>
      </c>
      <c r="V632" s="927">
        <f t="shared" si="644"/>
        <v>1</v>
      </c>
      <c r="W632" s="1399">
        <v>1</v>
      </c>
      <c r="X632" s="1400">
        <v>0</v>
      </c>
      <c r="Y632" s="928">
        <f t="shared" si="645"/>
        <v>0</v>
      </c>
      <c r="Z632" s="929">
        <f t="shared" si="646"/>
        <v>0.82778526759554127</v>
      </c>
      <c r="AA632" s="823">
        <v>1</v>
      </c>
      <c r="AB632" s="747"/>
      <c r="AC632" s="1411">
        <v>1</v>
      </c>
      <c r="AD632" s="1411">
        <v>1</v>
      </c>
      <c r="AE632" s="1411">
        <v>1</v>
      </c>
      <c r="AF632" s="1411">
        <v>1</v>
      </c>
      <c r="AG632" s="824"/>
      <c r="AH632" s="827"/>
      <c r="AI632" s="824"/>
      <c r="AJ632" s="828">
        <f t="shared" si="647"/>
        <v>0</v>
      </c>
      <c r="AK632" s="862"/>
      <c r="AL632" s="828">
        <f t="shared" si="648"/>
        <v>0.82778526759554127</v>
      </c>
      <c r="AM632" s="862"/>
      <c r="AN632" s="824"/>
      <c r="AO632" s="827"/>
      <c r="AP632" s="824"/>
      <c r="AQ632" s="747"/>
      <c r="AR632" s="747"/>
      <c r="AS632" s="828"/>
      <c r="AT632" s="747"/>
      <c r="AU632" s="824"/>
      <c r="AV632" s="827"/>
      <c r="AW632" s="824"/>
      <c r="AX632" s="936"/>
      <c r="AY632" s="936"/>
      <c r="AZ632" s="936"/>
      <c r="BA632" s="936"/>
      <c r="BB632" s="936"/>
      <c r="BC632" s="747"/>
      <c r="BD632" s="936"/>
      <c r="BE632" s="936"/>
      <c r="BF632" s="936"/>
      <c r="BG632" s="936"/>
      <c r="BH632" s="936"/>
      <c r="BI632" s="747"/>
      <c r="BJ632" s="936"/>
      <c r="BK632" s="936"/>
      <c r="BL632" s="936"/>
      <c r="BM632" s="936"/>
      <c r="BN632" s="936"/>
      <c r="BO632" s="936"/>
      <c r="BP632" s="936"/>
      <c r="BQ632" s="747"/>
      <c r="BR632" s="747"/>
      <c r="BS632" s="936"/>
      <c r="BT632" s="747"/>
      <c r="BU632" s="747"/>
      <c r="BV632" s="747"/>
      <c r="BW632" s="747"/>
      <c r="BX632" s="747"/>
      <c r="BY632" s="747"/>
      <c r="BZ632" s="747"/>
      <c r="CA632" s="747"/>
      <c r="CB632" s="747"/>
      <c r="CC632" s="747"/>
      <c r="CD632" s="747"/>
      <c r="CE632" s="747"/>
      <c r="CF632" s="747"/>
      <c r="CG632" s="747"/>
      <c r="CH632" s="936"/>
      <c r="CI632" s="938"/>
      <c r="CJ632" s="747"/>
    </row>
    <row r="633" spans="1:88" s="747" customFormat="1" ht="13.9" hidden="1" customHeight="1" outlineLevel="1">
      <c r="B633" s="805" t="s">
        <v>1932</v>
      </c>
      <c r="C633" s="806"/>
      <c r="D633" s="1201"/>
      <c r="E633" s="1202"/>
      <c r="F633" s="1202"/>
      <c r="G633" s="1396"/>
      <c r="H633" s="457" t="s">
        <v>1172</v>
      </c>
      <c r="I633" s="816"/>
      <c r="J633" s="811"/>
      <c r="K633" s="808"/>
      <c r="L633" s="809"/>
      <c r="M633" s="1403">
        <v>3.4461048383894333E-4</v>
      </c>
      <c r="N633" s="813">
        <f t="shared" si="640"/>
        <v>1</v>
      </c>
      <c r="O633" s="814">
        <v>1</v>
      </c>
      <c r="P633" s="1404">
        <f t="shared" si="641"/>
        <v>3.4461048383894333E-4</v>
      </c>
      <c r="Q633" s="815">
        <v>1</v>
      </c>
      <c r="R633" s="841">
        <f t="shared" si="642"/>
        <v>1</v>
      </c>
      <c r="S633" s="1405">
        <f t="shared" si="638"/>
        <v>3.4461048383894333E-4</v>
      </c>
      <c r="T633" s="1410" t="s">
        <v>46</v>
      </c>
      <c r="U633" s="1398">
        <f t="shared" si="643"/>
        <v>831.33205322842639</v>
      </c>
      <c r="V633" s="927">
        <f t="shared" si="644"/>
        <v>1</v>
      </c>
      <c r="W633" s="1399">
        <v>1</v>
      </c>
      <c r="X633" s="1400">
        <v>0</v>
      </c>
      <c r="Y633" s="928">
        <f t="shared" si="645"/>
        <v>0</v>
      </c>
      <c r="Z633" s="929">
        <f t="shared" si="646"/>
        <v>0.28648574109387021</v>
      </c>
      <c r="AA633" s="823">
        <v>1</v>
      </c>
      <c r="AC633" s="1411">
        <v>1</v>
      </c>
      <c r="AD633" s="1411">
        <v>1</v>
      </c>
      <c r="AE633" s="1411">
        <v>1</v>
      </c>
      <c r="AF633" s="1411">
        <v>1</v>
      </c>
      <c r="AG633" s="824"/>
      <c r="AH633" s="827"/>
      <c r="AI633" s="824"/>
      <c r="AJ633" s="828">
        <f t="shared" si="647"/>
        <v>0</v>
      </c>
      <c r="AK633" s="862"/>
      <c r="AL633" s="828">
        <f t="shared" si="648"/>
        <v>0.28648574109387021</v>
      </c>
      <c r="AM633" s="862"/>
      <c r="AN633" s="824"/>
      <c r="AO633" s="827"/>
      <c r="AP633" s="824"/>
      <c r="AS633" s="828"/>
      <c r="AU633" s="824"/>
      <c r="AV633" s="827"/>
      <c r="AW633" s="824"/>
      <c r="AX633" s="936"/>
      <c r="AY633" s="936"/>
      <c r="AZ633" s="936"/>
      <c r="BA633" s="936"/>
      <c r="BB633" s="936"/>
      <c r="BD633" s="936"/>
      <c r="BE633" s="936"/>
      <c r="BF633" s="936"/>
      <c r="BG633" s="936"/>
      <c r="BH633" s="936"/>
      <c r="BJ633" s="936"/>
      <c r="BK633" s="936"/>
      <c r="BL633" s="936"/>
      <c r="BM633" s="936"/>
      <c r="BN633" s="936"/>
      <c r="BO633" s="936"/>
      <c r="BP633" s="936"/>
      <c r="BS633" s="936"/>
      <c r="BX633" s="1413"/>
      <c r="BZ633" s="1413"/>
      <c r="CA633" s="1413"/>
      <c r="CB633" s="1413"/>
      <c r="CC633" s="1413"/>
      <c r="CD633" s="1413"/>
      <c r="CE633" s="1413"/>
      <c r="CF633" s="1413"/>
      <c r="CG633" s="1413"/>
      <c r="CH633" s="936"/>
      <c r="CI633" s="938"/>
      <c r="CJ633" s="1413"/>
    </row>
    <row r="634" spans="1:88" s="747" customFormat="1" ht="13.9" hidden="1" customHeight="1" outlineLevel="1">
      <c r="B634" s="1231" t="s">
        <v>1933</v>
      </c>
      <c r="C634" s="1412"/>
      <c r="D634" s="1409"/>
      <c r="E634" s="1202"/>
      <c r="F634" s="1202"/>
      <c r="G634" s="1396"/>
      <c r="H634" s="457" t="s">
        <v>1172</v>
      </c>
      <c r="I634" s="816"/>
      <c r="J634" s="811"/>
      <c r="K634" s="808"/>
      <c r="L634" s="809"/>
      <c r="M634" s="1403">
        <v>6.5743441803344524E-4</v>
      </c>
      <c r="N634" s="813">
        <f t="shared" si="640"/>
        <v>1</v>
      </c>
      <c r="O634" s="814">
        <v>1</v>
      </c>
      <c r="P634" s="1404">
        <f t="shared" si="641"/>
        <v>6.5743441803344524E-4</v>
      </c>
      <c r="Q634" s="815">
        <v>1</v>
      </c>
      <c r="R634" s="841">
        <f t="shared" si="642"/>
        <v>1</v>
      </c>
      <c r="S634" s="1405">
        <f t="shared" si="638"/>
        <v>6.5743441803344524E-4</v>
      </c>
      <c r="T634" s="1410" t="s">
        <v>46</v>
      </c>
      <c r="U634" s="1398">
        <f t="shared" si="643"/>
        <v>831.33205322842639</v>
      </c>
      <c r="V634" s="927">
        <f t="shared" si="644"/>
        <v>1</v>
      </c>
      <c r="W634" s="1399">
        <v>1</v>
      </c>
      <c r="X634" s="1400">
        <v>0</v>
      </c>
      <c r="Y634" s="928">
        <f t="shared" si="645"/>
        <v>0</v>
      </c>
      <c r="Z634" s="929">
        <f t="shared" si="646"/>
        <v>0.54654630460677966</v>
      </c>
      <c r="AA634" s="823">
        <v>1</v>
      </c>
      <c r="AC634" s="1411">
        <v>1</v>
      </c>
      <c r="AD634" s="1411">
        <v>1</v>
      </c>
      <c r="AE634" s="1411">
        <v>1</v>
      </c>
      <c r="AF634" s="1411">
        <v>1</v>
      </c>
      <c r="AG634" s="824"/>
      <c r="AH634" s="827"/>
      <c r="AI634" s="824"/>
      <c r="AJ634" s="828">
        <f t="shared" si="647"/>
        <v>0</v>
      </c>
      <c r="AK634" s="862"/>
      <c r="AL634" s="828">
        <f t="shared" si="648"/>
        <v>0.54654630460677966</v>
      </c>
      <c r="AM634" s="862"/>
      <c r="AN634" s="824"/>
      <c r="AO634" s="827"/>
      <c r="AP634" s="824"/>
      <c r="AS634" s="828"/>
      <c r="AU634" s="824"/>
      <c r="AV634" s="827"/>
      <c r="AW634" s="824"/>
      <c r="AX634" s="936"/>
      <c r="AY634" s="936"/>
      <c r="AZ634" s="936"/>
      <c r="BA634" s="936"/>
      <c r="BB634" s="936"/>
      <c r="BD634" s="936"/>
      <c r="BE634" s="936"/>
      <c r="BF634" s="936"/>
      <c r="BG634" s="936"/>
      <c r="BH634" s="936"/>
      <c r="BJ634" s="936"/>
      <c r="BK634" s="936"/>
      <c r="BL634" s="936"/>
      <c r="BM634" s="936"/>
      <c r="BN634" s="936"/>
      <c r="BO634" s="936"/>
      <c r="BP634" s="936"/>
      <c r="BQ634" s="1415"/>
      <c r="BR634" s="1415"/>
      <c r="BS634" s="957"/>
      <c r="BT634" s="1415"/>
      <c r="BU634" s="1415"/>
      <c r="BV634" s="1415"/>
      <c r="BW634" s="1415"/>
      <c r="BY634" s="1415"/>
      <c r="CH634" s="936"/>
      <c r="CI634" s="938"/>
    </row>
    <row r="635" spans="1:88" s="1415" customFormat="1" ht="13.9" hidden="1" customHeight="1" outlineLevel="1">
      <c r="A635" s="747"/>
      <c r="B635" s="1231" t="s">
        <v>1934</v>
      </c>
      <c r="C635" s="1412"/>
      <c r="D635" s="1409"/>
      <c r="E635" s="1202"/>
      <c r="F635" s="1202"/>
      <c r="G635" s="1396"/>
      <c r="H635" s="457" t="s">
        <v>1172</v>
      </c>
      <c r="I635" s="816"/>
      <c r="J635" s="811"/>
      <c r="K635" s="808"/>
      <c r="L635" s="809"/>
      <c r="M635" s="1403">
        <v>7.725828129890222E-4</v>
      </c>
      <c r="N635" s="813">
        <f t="shared" si="640"/>
        <v>1</v>
      </c>
      <c r="O635" s="814">
        <v>1</v>
      </c>
      <c r="P635" s="1404">
        <f t="shared" si="641"/>
        <v>7.725828129890222E-4</v>
      </c>
      <c r="Q635" s="815">
        <v>1</v>
      </c>
      <c r="R635" s="841">
        <f t="shared" si="642"/>
        <v>1</v>
      </c>
      <c r="S635" s="1405">
        <f t="shared" si="638"/>
        <v>7.725828129890222E-4</v>
      </c>
      <c r="T635" s="1410" t="s">
        <v>46</v>
      </c>
      <c r="U635" s="1398">
        <f t="shared" si="643"/>
        <v>831.33205322842639</v>
      </c>
      <c r="V635" s="927">
        <f t="shared" si="644"/>
        <v>1</v>
      </c>
      <c r="W635" s="1399">
        <v>1</v>
      </c>
      <c r="X635" s="1400">
        <v>0</v>
      </c>
      <c r="Y635" s="928">
        <f t="shared" si="645"/>
        <v>0</v>
      </c>
      <c r="Z635" s="929">
        <f t="shared" si="646"/>
        <v>0.64227285621115715</v>
      </c>
      <c r="AA635" s="823">
        <v>1</v>
      </c>
      <c r="AB635" s="747"/>
      <c r="AC635" s="1411">
        <v>1</v>
      </c>
      <c r="AD635" s="1411">
        <v>1</v>
      </c>
      <c r="AE635" s="1411">
        <v>1</v>
      </c>
      <c r="AF635" s="1411">
        <v>1</v>
      </c>
      <c r="AG635" s="824"/>
      <c r="AH635" s="827"/>
      <c r="AI635" s="824"/>
      <c r="AJ635" s="828">
        <f t="shared" si="647"/>
        <v>0</v>
      </c>
      <c r="AK635" s="862"/>
      <c r="AL635" s="828">
        <f t="shared" si="648"/>
        <v>0.64227285621115715</v>
      </c>
      <c r="AM635" s="862"/>
      <c r="AN635" s="824"/>
      <c r="AO635" s="827"/>
      <c r="AP635" s="824"/>
      <c r="AQ635" s="747"/>
      <c r="AR635" s="747"/>
      <c r="AS635" s="828"/>
      <c r="AT635" s="747"/>
      <c r="AU635" s="824"/>
      <c r="AV635" s="827"/>
      <c r="AW635" s="824"/>
      <c r="AX635" s="936"/>
      <c r="AY635" s="936"/>
      <c r="AZ635" s="936"/>
      <c r="BA635" s="936"/>
      <c r="BB635" s="936"/>
      <c r="BC635" s="747"/>
      <c r="BD635" s="936"/>
      <c r="BE635" s="936"/>
      <c r="BF635" s="936"/>
      <c r="BG635" s="936"/>
      <c r="BH635" s="936"/>
      <c r="BI635" s="747"/>
      <c r="BJ635" s="936"/>
      <c r="BK635" s="936"/>
      <c r="BL635" s="936"/>
      <c r="BM635" s="936"/>
      <c r="BN635" s="936"/>
      <c r="BO635" s="936"/>
      <c r="BP635" s="936"/>
      <c r="BS635" s="957"/>
      <c r="BX635" s="747"/>
      <c r="BZ635" s="747"/>
      <c r="CA635" s="747"/>
      <c r="CB635" s="747"/>
      <c r="CC635" s="747"/>
      <c r="CD635" s="747"/>
      <c r="CE635" s="747"/>
      <c r="CF635" s="747"/>
      <c r="CG635" s="747"/>
      <c r="CH635" s="936"/>
      <c r="CI635" s="938"/>
      <c r="CJ635" s="747"/>
    </row>
    <row r="636" spans="1:88" s="1415" customFormat="1" ht="13.9" hidden="1" customHeight="1" outlineLevel="1">
      <c r="A636" s="747"/>
      <c r="B636" s="805" t="s">
        <v>1935</v>
      </c>
      <c r="C636" s="806"/>
      <c r="D636" s="1201"/>
      <c r="E636" s="1202"/>
      <c r="F636" s="1202"/>
      <c r="G636" s="1396"/>
      <c r="H636" s="457" t="s">
        <v>1172</v>
      </c>
      <c r="I636" s="816"/>
      <c r="J636" s="811"/>
      <c r="K636" s="808"/>
      <c r="L636" s="809"/>
      <c r="M636" s="1403">
        <v>1.1331331103770284E-3</v>
      </c>
      <c r="N636" s="813">
        <f t="shared" si="640"/>
        <v>1</v>
      </c>
      <c r="O636" s="814">
        <v>1</v>
      </c>
      <c r="P636" s="1404">
        <f t="shared" si="641"/>
        <v>1.1331331103770284E-3</v>
      </c>
      <c r="Q636" s="815">
        <v>1</v>
      </c>
      <c r="R636" s="841">
        <f t="shared" si="642"/>
        <v>1</v>
      </c>
      <c r="S636" s="1405">
        <f t="shared" si="638"/>
        <v>1.1331331103770284E-3</v>
      </c>
      <c r="T636" s="1410" t="s">
        <v>46</v>
      </c>
      <c r="U636" s="1398">
        <f t="shared" si="643"/>
        <v>831.33205322842639</v>
      </c>
      <c r="V636" s="927">
        <f t="shared" si="644"/>
        <v>1</v>
      </c>
      <c r="W636" s="1399">
        <v>1</v>
      </c>
      <c r="X636" s="1400">
        <v>0</v>
      </c>
      <c r="Y636" s="928">
        <f t="shared" si="645"/>
        <v>0</v>
      </c>
      <c r="Z636" s="929">
        <f t="shared" si="646"/>
        <v>0.94200987523084811</v>
      </c>
      <c r="AA636" s="823">
        <v>1</v>
      </c>
      <c r="AB636" s="747"/>
      <c r="AC636" s="1411">
        <v>1</v>
      </c>
      <c r="AD636" s="1411">
        <v>1</v>
      </c>
      <c r="AE636" s="1411">
        <v>1</v>
      </c>
      <c r="AF636" s="1411">
        <v>1</v>
      </c>
      <c r="AG636" s="824"/>
      <c r="AH636" s="827"/>
      <c r="AI636" s="824"/>
      <c r="AJ636" s="828">
        <f t="shared" si="647"/>
        <v>0</v>
      </c>
      <c r="AK636" s="862"/>
      <c r="AL636" s="828">
        <f t="shared" si="648"/>
        <v>0.94200987523084811</v>
      </c>
      <c r="AM636" s="862"/>
      <c r="AN636" s="824"/>
      <c r="AO636" s="827"/>
      <c r="AP636" s="824"/>
      <c r="AQ636" s="747"/>
      <c r="AR636" s="747"/>
      <c r="AS636" s="828"/>
      <c r="AT636" s="747"/>
      <c r="AU636" s="824"/>
      <c r="AV636" s="827"/>
      <c r="AW636" s="824"/>
      <c r="AX636" s="936"/>
      <c r="AY636" s="936"/>
      <c r="AZ636" s="936"/>
      <c r="BA636" s="936"/>
      <c r="BB636" s="936"/>
      <c r="BC636" s="747"/>
      <c r="BD636" s="936"/>
      <c r="BE636" s="936"/>
      <c r="BF636" s="936"/>
      <c r="BG636" s="936"/>
      <c r="BH636" s="936"/>
      <c r="BI636" s="747"/>
      <c r="BJ636" s="936"/>
      <c r="BK636" s="936"/>
      <c r="BL636" s="936"/>
      <c r="BM636" s="936"/>
      <c r="BN636" s="936"/>
      <c r="BO636" s="936"/>
      <c r="BP636" s="936"/>
      <c r="BS636" s="957"/>
      <c r="CH636" s="936"/>
      <c r="CI636" s="938"/>
    </row>
    <row r="637" spans="1:88" s="1415" customFormat="1" ht="13.9" hidden="1" customHeight="1" outlineLevel="1">
      <c r="A637" s="747"/>
      <c r="B637" s="1231" t="s">
        <v>1936</v>
      </c>
      <c r="C637" s="1412"/>
      <c r="D637" s="1409"/>
      <c r="E637" s="1202"/>
      <c r="F637" s="1202"/>
      <c r="G637" s="1396"/>
      <c r="H637" s="457" t="s">
        <v>1172</v>
      </c>
      <c r="I637" s="816"/>
      <c r="J637" s="811"/>
      <c r="K637" s="808"/>
      <c r="L637" s="809"/>
      <c r="M637" s="1403">
        <v>7.3603093740034811E-5</v>
      </c>
      <c r="N637" s="813">
        <f t="shared" si="640"/>
        <v>1</v>
      </c>
      <c r="O637" s="814">
        <v>1</v>
      </c>
      <c r="P637" s="1404">
        <f t="shared" si="641"/>
        <v>7.3603093740034811E-5</v>
      </c>
      <c r="Q637" s="815">
        <v>1</v>
      </c>
      <c r="R637" s="841">
        <f t="shared" si="642"/>
        <v>1</v>
      </c>
      <c r="S637" s="1405">
        <f t="shared" si="638"/>
        <v>7.3603093740034811E-5</v>
      </c>
      <c r="T637" s="1410" t="s">
        <v>46</v>
      </c>
      <c r="U637" s="1398">
        <f t="shared" si="643"/>
        <v>831.33205322842639</v>
      </c>
      <c r="V637" s="927">
        <f t="shared" si="644"/>
        <v>1</v>
      </c>
      <c r="W637" s="1399">
        <v>1</v>
      </c>
      <c r="X637" s="1400">
        <v>0</v>
      </c>
      <c r="Y637" s="928">
        <f t="shared" si="645"/>
        <v>0</v>
      </c>
      <c r="Z637" s="929">
        <f t="shared" si="646"/>
        <v>6.1188611042867477E-2</v>
      </c>
      <c r="AA637" s="823">
        <v>1</v>
      </c>
      <c r="AB637" s="747"/>
      <c r="AC637" s="1411">
        <v>1</v>
      </c>
      <c r="AD637" s="1411">
        <v>1</v>
      </c>
      <c r="AE637" s="1411">
        <v>1</v>
      </c>
      <c r="AF637" s="1411">
        <v>1</v>
      </c>
      <c r="AG637" s="824"/>
      <c r="AH637" s="827"/>
      <c r="AI637" s="824"/>
      <c r="AJ637" s="828">
        <f t="shared" si="647"/>
        <v>0</v>
      </c>
      <c r="AK637" s="862"/>
      <c r="AL637" s="828">
        <f t="shared" si="648"/>
        <v>6.1188611042867477E-2</v>
      </c>
      <c r="AM637" s="862"/>
      <c r="AN637" s="824"/>
      <c r="AO637" s="827"/>
      <c r="AP637" s="824"/>
      <c r="AQ637" s="747"/>
      <c r="AR637" s="747"/>
      <c r="AS637" s="828"/>
      <c r="AT637" s="747"/>
      <c r="AU637" s="824"/>
      <c r="AV637" s="827"/>
      <c r="AW637" s="824"/>
      <c r="AX637" s="936"/>
      <c r="AY637" s="936"/>
      <c r="AZ637" s="936"/>
      <c r="BA637" s="936"/>
      <c r="BB637" s="936"/>
      <c r="BC637" s="747"/>
      <c r="BD637" s="936"/>
      <c r="BE637" s="936"/>
      <c r="BF637" s="936"/>
      <c r="BG637" s="936"/>
      <c r="BH637" s="936"/>
      <c r="BI637" s="747"/>
      <c r="BJ637" s="936"/>
      <c r="BK637" s="936"/>
      <c r="BL637" s="936"/>
      <c r="BM637" s="936"/>
      <c r="BN637" s="936"/>
      <c r="BO637" s="936"/>
      <c r="BP637" s="936"/>
      <c r="BS637" s="957"/>
      <c r="CH637" s="936"/>
      <c r="CI637" s="938"/>
    </row>
    <row r="638" spans="1:88" s="1415" customFormat="1" ht="13.9" hidden="1" customHeight="1" outlineLevel="1">
      <c r="A638" s="747"/>
      <c r="B638" s="1015" t="s">
        <v>1937</v>
      </c>
      <c r="C638" s="1416"/>
      <c r="D638" s="1207"/>
      <c r="E638" s="1187"/>
      <c r="F638" s="1187"/>
      <c r="G638" s="1417"/>
      <c r="H638" s="988" t="s">
        <v>1172</v>
      </c>
      <c r="I638" s="1189"/>
      <c r="J638" s="989"/>
      <c r="K638" s="990"/>
      <c r="L638" s="987"/>
      <c r="M638" s="1418">
        <v>1.9474359944785332E-5</v>
      </c>
      <c r="N638" s="993">
        <f t="shared" si="640"/>
        <v>1</v>
      </c>
      <c r="O638" s="994">
        <v>1</v>
      </c>
      <c r="P638" s="1419">
        <f t="shared" si="641"/>
        <v>1.9474359944785332E-5</v>
      </c>
      <c r="Q638" s="1007">
        <v>1</v>
      </c>
      <c r="R638" s="1010">
        <f t="shared" si="642"/>
        <v>1</v>
      </c>
      <c r="S638" s="1420">
        <f t="shared" si="638"/>
        <v>1.9474359944785332E-5</v>
      </c>
      <c r="T638" s="1421" t="s">
        <v>46</v>
      </c>
      <c r="U638" s="1422">
        <f t="shared" si="643"/>
        <v>831.33205322842639</v>
      </c>
      <c r="V638" s="1000">
        <f t="shared" si="644"/>
        <v>1</v>
      </c>
      <c r="W638" s="1423">
        <v>1</v>
      </c>
      <c r="X638" s="1424">
        <v>0</v>
      </c>
      <c r="Y638" s="1079">
        <f t="shared" si="645"/>
        <v>0</v>
      </c>
      <c r="Z638" s="1080">
        <f t="shared" si="646"/>
        <v>1.6189659638207815E-2</v>
      </c>
      <c r="AA638" s="1004">
        <v>1</v>
      </c>
      <c r="AB638" s="747"/>
      <c r="AC638" s="1425">
        <v>1</v>
      </c>
      <c r="AD638" s="1425">
        <v>1</v>
      </c>
      <c r="AE638" s="1425">
        <v>1</v>
      </c>
      <c r="AF638" s="1425">
        <v>1</v>
      </c>
      <c r="AG638" s="824"/>
      <c r="AH638" s="827"/>
      <c r="AI638" s="824"/>
      <c r="AJ638" s="828">
        <f t="shared" si="647"/>
        <v>0</v>
      </c>
      <c r="AK638" s="862"/>
      <c r="AL638" s="828">
        <f t="shared" si="648"/>
        <v>1.6189659638207815E-2</v>
      </c>
      <c r="AM638" s="862"/>
      <c r="AN638" s="824"/>
      <c r="AO638" s="827"/>
      <c r="AP638" s="824"/>
      <c r="AQ638" s="747"/>
      <c r="AR638" s="747"/>
      <c r="AS638" s="828"/>
      <c r="AT638" s="747"/>
      <c r="AU638" s="824"/>
      <c r="AV638" s="827"/>
      <c r="AW638" s="824"/>
      <c r="AX638" s="936"/>
      <c r="AY638" s="936"/>
      <c r="AZ638" s="936"/>
      <c r="BA638" s="936"/>
      <c r="BB638" s="936"/>
      <c r="BC638" s="747"/>
      <c r="BD638" s="936"/>
      <c r="BE638" s="936"/>
      <c r="BF638" s="936"/>
      <c r="BG638" s="936"/>
      <c r="BH638" s="936"/>
      <c r="BI638" s="747"/>
      <c r="BJ638" s="936"/>
      <c r="BK638" s="936"/>
      <c r="BL638" s="936"/>
      <c r="BM638" s="936"/>
      <c r="BN638" s="936"/>
      <c r="BO638" s="936"/>
      <c r="BP638" s="936"/>
      <c r="BS638" s="957"/>
      <c r="CH638" s="936"/>
      <c r="CI638" s="938"/>
    </row>
    <row r="639" spans="1:88" s="476" customFormat="1" ht="15" collapsed="1">
      <c r="A639" s="370"/>
      <c r="B639" s="783" t="s">
        <v>1938</v>
      </c>
      <c r="C639" s="784"/>
      <c r="D639" s="785"/>
      <c r="E639" s="786"/>
      <c r="F639" s="786"/>
      <c r="G639" s="802"/>
      <c r="H639" s="788" t="s">
        <v>30</v>
      </c>
      <c r="I639" s="789" t="s">
        <v>1162</v>
      </c>
      <c r="J639" s="790" t="s">
        <v>1071</v>
      </c>
      <c r="K639" s="786" t="s">
        <v>1072</v>
      </c>
      <c r="L639" s="787" t="s">
        <v>21</v>
      </c>
      <c r="M639" s="791" t="s">
        <v>82</v>
      </c>
      <c r="N639" s="839" t="s">
        <v>1163</v>
      </c>
      <c r="O639" s="786" t="s">
        <v>1154</v>
      </c>
      <c r="P639" s="790" t="s">
        <v>1164</v>
      </c>
      <c r="Q639" s="793" t="s">
        <v>34</v>
      </c>
      <c r="R639" s="791">
        <v>1</v>
      </c>
      <c r="S639" s="793" t="s">
        <v>13</v>
      </c>
      <c r="T639" s="794" t="s">
        <v>128</v>
      </c>
      <c r="U639" s="794" t="s">
        <v>111</v>
      </c>
      <c r="V639" s="795" t="s">
        <v>32</v>
      </c>
      <c r="W639" s="796" t="s">
        <v>33</v>
      </c>
      <c r="X639" s="797"/>
      <c r="Y639" s="798">
        <f>SUM(Y640:Y645)</f>
        <v>0</v>
      </c>
      <c r="Z639" s="799">
        <f>SUM(Z640:Z645)</f>
        <v>0</v>
      </c>
      <c r="AA639" s="800" t="str">
        <f>+AA$2</f>
        <v>SCU75M1</v>
      </c>
      <c r="AB639" s="369"/>
      <c r="AC639" s="801" t="str">
        <f>+AC$2</f>
        <v>SCU75M1</v>
      </c>
      <c r="AD639" s="801" t="str">
        <f>+AD$2</f>
        <v>SCU100M1</v>
      </c>
      <c r="AE639" s="801" t="str">
        <f>+AE$2</f>
        <v>SCU125M1</v>
      </c>
      <c r="AF639" s="802" t="str">
        <f>+AF$2</f>
        <v>SCU150M1</v>
      </c>
      <c r="AG639" s="370"/>
      <c r="AH639" s="521"/>
      <c r="AI639" s="370"/>
      <c r="AJ639" s="483"/>
      <c r="AK639" s="522">
        <f>SUM(AJ640:AJ645)</f>
        <v>0</v>
      </c>
      <c r="AL639" s="401"/>
      <c r="AM639" s="523">
        <f>SUM(AL640:AL645)</f>
        <v>0</v>
      </c>
      <c r="AN639" s="370"/>
      <c r="AO639" s="521"/>
      <c r="AP639" s="370"/>
      <c r="AQ639" s="369"/>
      <c r="AR639" s="418"/>
      <c r="AS639" s="483"/>
      <c r="AT639" s="418"/>
      <c r="AU639" s="370"/>
      <c r="AV639" s="521"/>
      <c r="AW639" s="370"/>
      <c r="AX639" s="395"/>
      <c r="AY639" s="395"/>
      <c r="AZ639" s="395"/>
      <c r="BA639" s="395"/>
      <c r="BB639" s="395"/>
      <c r="BC639" s="369"/>
      <c r="BD639" s="395"/>
      <c r="BE639" s="395"/>
      <c r="BF639" s="395"/>
      <c r="BG639" s="395"/>
      <c r="BH639" s="395"/>
      <c r="BI639" s="369"/>
      <c r="BJ639" s="395"/>
      <c r="BK639" s="395"/>
      <c r="BL639" s="395"/>
      <c r="BM639" s="395"/>
      <c r="BN639" s="395"/>
      <c r="BO639" s="395"/>
      <c r="BP639" s="395"/>
      <c r="BS639" s="510"/>
      <c r="CH639" s="395"/>
      <c r="CI639" s="511"/>
    </row>
    <row r="640" spans="1:88" s="1415" customFormat="1" ht="13.9" hidden="1" customHeight="1" outlineLevel="1">
      <c r="A640" s="747"/>
      <c r="B640" s="1426" t="s">
        <v>1939</v>
      </c>
      <c r="C640" s="1427"/>
      <c r="D640" s="1351"/>
      <c r="E640" s="1380"/>
      <c r="F640" s="1380"/>
      <c r="G640" s="1428"/>
      <c r="H640" s="1397" t="s">
        <v>1172</v>
      </c>
      <c r="I640" s="1429"/>
      <c r="J640" s="1341"/>
      <c r="K640" s="1430"/>
      <c r="L640" s="1333"/>
      <c r="M640" s="860">
        <v>1</v>
      </c>
      <c r="N640" s="1431">
        <f t="shared" ref="N640:N645" si="649">IF(I640&gt;0,22/28*((I640/1000)^2-(I640/1000-2*J640/1000)^2)*K640/1000,IF(J640&gt;0,J640/1000*K640/1000*L640/1000, IF(K640&gt;0,K640/1000*L640/1000, IF(L640=0,1,L640/1000))))</f>
        <v>1</v>
      </c>
      <c r="O640" s="1340">
        <v>1</v>
      </c>
      <c r="P640" s="1341">
        <f t="shared" ref="P640:P645" si="650">M640*N640*O640</f>
        <v>1</v>
      </c>
      <c r="Q640" s="1342">
        <v>1</v>
      </c>
      <c r="R640" s="1280">
        <f>+U$8</f>
        <v>0</v>
      </c>
      <c r="S640" s="978">
        <f t="shared" si="638"/>
        <v>0</v>
      </c>
      <c r="T640" s="1432" t="s">
        <v>115</v>
      </c>
      <c r="U640" s="1433">
        <v>5500000</v>
      </c>
      <c r="V640" s="1339">
        <f t="shared" ref="V640:V645" si="651">1/VLOOKUP(T640,Y$12:Z$18,2,FALSE)</f>
        <v>6.8240753377917299E-5</v>
      </c>
      <c r="W640" s="1434">
        <v>1</v>
      </c>
      <c r="X640" s="1435">
        <v>0</v>
      </c>
      <c r="Y640" s="1436">
        <f t="shared" ref="Y640:Y645" si="652">+P640*R640*AA640*X640</f>
        <v>0</v>
      </c>
      <c r="Z640" s="1347">
        <f t="shared" ref="Z640:Z645" si="653">S640*U640*V640*W640</f>
        <v>0</v>
      </c>
      <c r="AA640" s="1348">
        <v>1</v>
      </c>
      <c r="AB640" s="747"/>
      <c r="AC640" s="1437">
        <v>1</v>
      </c>
      <c r="AD640" s="1437">
        <v>1</v>
      </c>
      <c r="AE640" s="1437">
        <v>1</v>
      </c>
      <c r="AF640" s="1437">
        <v>1</v>
      </c>
      <c r="AG640" s="824"/>
      <c r="AH640" s="827"/>
      <c r="AI640" s="824"/>
      <c r="AJ640" s="828">
        <f t="shared" ref="AJ640:AJ645" si="654">+Y640</f>
        <v>0</v>
      </c>
      <c r="AK640" s="862"/>
      <c r="AL640" s="828">
        <f t="shared" ref="AL640:AL645" si="655">+Z640</f>
        <v>0</v>
      </c>
      <c r="AM640" s="862"/>
      <c r="AN640" s="824"/>
      <c r="AO640" s="827"/>
      <c r="AP640" s="824"/>
      <c r="AQ640" s="747"/>
      <c r="AR640" s="747"/>
      <c r="AS640" s="828"/>
      <c r="AT640" s="747"/>
      <c r="AU640" s="824"/>
      <c r="AV640" s="827"/>
      <c r="AW640" s="824"/>
      <c r="AX640" s="936"/>
      <c r="AY640" s="936"/>
      <c r="AZ640" s="936"/>
      <c r="BA640" s="936"/>
      <c r="BB640" s="936"/>
      <c r="BC640" s="747"/>
      <c r="BD640" s="936"/>
      <c r="BE640" s="936"/>
      <c r="BF640" s="936"/>
      <c r="BG640" s="936"/>
      <c r="BH640" s="936"/>
      <c r="BI640" s="747"/>
      <c r="BJ640" s="936"/>
      <c r="BK640" s="936"/>
      <c r="BL640" s="936"/>
      <c r="BM640" s="936"/>
      <c r="BN640" s="936"/>
      <c r="BO640" s="936"/>
      <c r="BP640" s="936"/>
      <c r="BS640" s="957"/>
      <c r="CH640" s="936"/>
      <c r="CI640" s="938"/>
    </row>
    <row r="641" spans="1:88" s="1415" customFormat="1" ht="13.9" hidden="1" customHeight="1" outlineLevel="1">
      <c r="A641" s="747"/>
      <c r="B641" s="1231" t="s">
        <v>1940</v>
      </c>
      <c r="C641" s="1412"/>
      <c r="D641" s="1409"/>
      <c r="E641" s="1202"/>
      <c r="F641" s="1202"/>
      <c r="G641" s="1396"/>
      <c r="H641" s="457" t="s">
        <v>1172</v>
      </c>
      <c r="I641" s="816"/>
      <c r="J641" s="811"/>
      <c r="K641" s="808"/>
      <c r="L641" s="809"/>
      <c r="M641" s="860">
        <v>1</v>
      </c>
      <c r="N641" s="813">
        <f t="shared" si="649"/>
        <v>1</v>
      </c>
      <c r="O641" s="814">
        <v>1</v>
      </c>
      <c r="P641" s="811">
        <f t="shared" si="650"/>
        <v>1</v>
      </c>
      <c r="Q641" s="815">
        <v>1</v>
      </c>
      <c r="R641" s="841">
        <f>+V$8</f>
        <v>0</v>
      </c>
      <c r="S641" s="978">
        <f t="shared" si="638"/>
        <v>0</v>
      </c>
      <c r="T641" s="1438" t="s">
        <v>115</v>
      </c>
      <c r="U641" s="1398">
        <v>13500000</v>
      </c>
      <c r="V641" s="927">
        <f t="shared" si="651"/>
        <v>6.8240753377917299E-5</v>
      </c>
      <c r="W641" s="1439">
        <v>1</v>
      </c>
      <c r="X641" s="1400">
        <v>0</v>
      </c>
      <c r="Y641" s="928">
        <f t="shared" si="652"/>
        <v>0</v>
      </c>
      <c r="Z641" s="929">
        <f t="shared" si="653"/>
        <v>0</v>
      </c>
      <c r="AA641" s="823">
        <v>1</v>
      </c>
      <c r="AB641" s="747"/>
      <c r="AC641" s="1411">
        <v>1</v>
      </c>
      <c r="AD641" s="1411">
        <v>1</v>
      </c>
      <c r="AE641" s="1411">
        <v>1</v>
      </c>
      <c r="AF641" s="1411">
        <v>1</v>
      </c>
      <c r="AG641" s="824"/>
      <c r="AH641" s="827"/>
      <c r="AI641" s="824"/>
      <c r="AJ641" s="828">
        <f t="shared" si="654"/>
        <v>0</v>
      </c>
      <c r="AK641" s="862"/>
      <c r="AL641" s="828">
        <f t="shared" si="655"/>
        <v>0</v>
      </c>
      <c r="AM641" s="862"/>
      <c r="AN641" s="824"/>
      <c r="AO641" s="827"/>
      <c r="AP641" s="824"/>
      <c r="AQ641" s="747"/>
      <c r="AR641" s="747"/>
      <c r="AS641" s="828"/>
      <c r="AT641" s="747"/>
      <c r="AU641" s="824"/>
      <c r="AV641" s="827"/>
      <c r="AW641" s="824"/>
      <c r="AX641" s="936"/>
      <c r="AY641" s="936"/>
      <c r="AZ641" s="936"/>
      <c r="BA641" s="936"/>
      <c r="BB641" s="936"/>
      <c r="BC641" s="747"/>
      <c r="BD641" s="936"/>
      <c r="BE641" s="936"/>
      <c r="BF641" s="936"/>
      <c r="BG641" s="936"/>
      <c r="BH641" s="936"/>
      <c r="BI641" s="747"/>
      <c r="BJ641" s="936"/>
      <c r="BK641" s="936"/>
      <c r="BL641" s="936"/>
      <c r="BM641" s="936"/>
      <c r="BN641" s="936"/>
      <c r="BO641" s="936"/>
      <c r="BP641" s="936"/>
      <c r="BS641" s="957"/>
      <c r="CH641" s="936"/>
      <c r="CI641" s="938"/>
    </row>
    <row r="642" spans="1:88" s="1415" customFormat="1" ht="13.9" hidden="1" customHeight="1" outlineLevel="1">
      <c r="A642" s="747"/>
      <c r="B642" s="1231" t="s">
        <v>1941</v>
      </c>
      <c r="C642" s="1412"/>
      <c r="D642" s="1409"/>
      <c r="E642" s="1202"/>
      <c r="F642" s="1202"/>
      <c r="G642" s="1396"/>
      <c r="H642" s="457" t="s">
        <v>1172</v>
      </c>
      <c r="I642" s="816"/>
      <c r="J642" s="811"/>
      <c r="K642" s="808"/>
      <c r="L642" s="809"/>
      <c r="M642" s="860">
        <v>1</v>
      </c>
      <c r="N642" s="813">
        <f t="shared" si="649"/>
        <v>1</v>
      </c>
      <c r="O642" s="814">
        <v>1</v>
      </c>
      <c r="P642" s="811">
        <f t="shared" si="650"/>
        <v>1</v>
      </c>
      <c r="Q642" s="815">
        <v>1</v>
      </c>
      <c r="R642" s="841">
        <f>+W$8</f>
        <v>0</v>
      </c>
      <c r="S642" s="978">
        <f t="shared" si="638"/>
        <v>0</v>
      </c>
      <c r="T642" s="1438" t="s">
        <v>115</v>
      </c>
      <c r="U642" s="1398">
        <v>5500000</v>
      </c>
      <c r="V642" s="927">
        <f t="shared" si="651"/>
        <v>6.8240753377917299E-5</v>
      </c>
      <c r="W642" s="1439">
        <v>1</v>
      </c>
      <c r="X642" s="1400">
        <v>0</v>
      </c>
      <c r="Y642" s="928">
        <f t="shared" si="652"/>
        <v>0</v>
      </c>
      <c r="Z642" s="929">
        <f t="shared" si="653"/>
        <v>0</v>
      </c>
      <c r="AA642" s="823">
        <v>1</v>
      </c>
      <c r="AB642" s="747"/>
      <c r="AC642" s="1411">
        <v>1</v>
      </c>
      <c r="AD642" s="1411">
        <v>1</v>
      </c>
      <c r="AE642" s="1411">
        <v>1</v>
      </c>
      <c r="AF642" s="1411">
        <v>1</v>
      </c>
      <c r="AG642" s="824"/>
      <c r="AH642" s="827"/>
      <c r="AI642" s="824"/>
      <c r="AJ642" s="828">
        <f t="shared" si="654"/>
        <v>0</v>
      </c>
      <c r="AK642" s="862"/>
      <c r="AL642" s="828">
        <f t="shared" si="655"/>
        <v>0</v>
      </c>
      <c r="AM642" s="862"/>
      <c r="AN642" s="824"/>
      <c r="AO642" s="827"/>
      <c r="AP642" s="824"/>
      <c r="AQ642" s="747"/>
      <c r="AR642" s="747"/>
      <c r="AS642" s="828"/>
      <c r="AT642" s="747"/>
      <c r="AU642" s="824"/>
      <c r="AV642" s="827"/>
      <c r="AW642" s="824"/>
      <c r="AX642" s="936"/>
      <c r="AY642" s="936"/>
      <c r="AZ642" s="936"/>
      <c r="BA642" s="936"/>
      <c r="BB642" s="936"/>
      <c r="BC642" s="747"/>
      <c r="BD642" s="936"/>
      <c r="BE642" s="936"/>
      <c r="BF642" s="936"/>
      <c r="BG642" s="936"/>
      <c r="BH642" s="936"/>
      <c r="BI642" s="747"/>
      <c r="BJ642" s="936"/>
      <c r="BK642" s="936"/>
      <c r="BL642" s="936"/>
      <c r="BM642" s="936"/>
      <c r="BN642" s="936"/>
      <c r="BO642" s="936"/>
      <c r="BP642" s="936"/>
      <c r="BS642" s="957"/>
      <c r="CH642" s="936"/>
      <c r="CI642" s="938"/>
    </row>
    <row r="643" spans="1:88" s="1415" customFormat="1" ht="13.9" hidden="1" customHeight="1" outlineLevel="1">
      <c r="A643" s="747"/>
      <c r="B643" s="1231" t="s">
        <v>1942</v>
      </c>
      <c r="C643" s="1412"/>
      <c r="D643" s="1409"/>
      <c r="E643" s="1202"/>
      <c r="F643" s="1202"/>
      <c r="G643" s="1396"/>
      <c r="H643" s="457" t="s">
        <v>1172</v>
      </c>
      <c r="I643" s="816"/>
      <c r="J643" s="811"/>
      <c r="K643" s="808"/>
      <c r="L643" s="809"/>
      <c r="M643" s="860">
        <v>1</v>
      </c>
      <c r="N643" s="813">
        <f t="shared" si="649"/>
        <v>1</v>
      </c>
      <c r="O643" s="814">
        <v>1</v>
      </c>
      <c r="P643" s="811">
        <f t="shared" si="650"/>
        <v>1</v>
      </c>
      <c r="Q643" s="815">
        <v>1</v>
      </c>
      <c r="R643" s="841">
        <f>+X$8</f>
        <v>0</v>
      </c>
      <c r="S643" s="978">
        <f t="shared" si="638"/>
        <v>0</v>
      </c>
      <c r="T643" s="1438" t="s">
        <v>115</v>
      </c>
      <c r="U643" s="1398">
        <v>3000000</v>
      </c>
      <c r="V643" s="927">
        <f t="shared" si="651"/>
        <v>6.8240753377917299E-5</v>
      </c>
      <c r="W643" s="1439">
        <v>1</v>
      </c>
      <c r="X643" s="1400">
        <v>0</v>
      </c>
      <c r="Y643" s="928">
        <f t="shared" si="652"/>
        <v>0</v>
      </c>
      <c r="Z643" s="929">
        <f t="shared" si="653"/>
        <v>0</v>
      </c>
      <c r="AA643" s="823">
        <v>1</v>
      </c>
      <c r="AB643" s="747"/>
      <c r="AC643" s="1411">
        <v>1</v>
      </c>
      <c r="AD643" s="1411">
        <v>1</v>
      </c>
      <c r="AE643" s="1411">
        <v>1</v>
      </c>
      <c r="AF643" s="1411">
        <v>1</v>
      </c>
      <c r="AG643" s="824"/>
      <c r="AH643" s="827"/>
      <c r="AI643" s="824"/>
      <c r="AJ643" s="828">
        <f t="shared" si="654"/>
        <v>0</v>
      </c>
      <c r="AK643" s="862"/>
      <c r="AL643" s="828">
        <f t="shared" si="655"/>
        <v>0</v>
      </c>
      <c r="AM643" s="862"/>
      <c r="AN643" s="824"/>
      <c r="AO643" s="827"/>
      <c r="AP643" s="824"/>
      <c r="AQ643" s="747"/>
      <c r="AR643" s="747"/>
      <c r="AS643" s="828"/>
      <c r="AT643" s="747"/>
      <c r="AU643" s="824"/>
      <c r="AV643" s="827"/>
      <c r="AW643" s="824"/>
      <c r="AX643" s="936"/>
      <c r="AY643" s="936"/>
      <c r="AZ643" s="936"/>
      <c r="BA643" s="936"/>
      <c r="BB643" s="936"/>
      <c r="BC643" s="747"/>
      <c r="BD643" s="936"/>
      <c r="BE643" s="936"/>
      <c r="BF643" s="936"/>
      <c r="BG643" s="936"/>
      <c r="BH643" s="936"/>
      <c r="BI643" s="747"/>
      <c r="BJ643" s="936"/>
      <c r="BK643" s="936"/>
      <c r="BL643" s="936"/>
      <c r="BM643" s="936"/>
      <c r="BN643" s="936"/>
      <c r="BO643" s="936"/>
      <c r="BP643" s="936"/>
      <c r="BS643" s="957"/>
      <c r="CH643" s="936"/>
      <c r="CI643" s="938"/>
    </row>
    <row r="644" spans="1:88" s="1415" customFormat="1" ht="13.9" hidden="1" customHeight="1" outlineLevel="1">
      <c r="A644" s="747"/>
      <c r="B644" s="1231" t="s">
        <v>1150</v>
      </c>
      <c r="C644" s="1412"/>
      <c r="D644" s="1409"/>
      <c r="E644" s="1202"/>
      <c r="F644" s="1202"/>
      <c r="G644" s="1396"/>
      <c r="H644" s="457" t="s">
        <v>1172</v>
      </c>
      <c r="I644" s="816"/>
      <c r="J644" s="811"/>
      <c r="K644" s="808"/>
      <c r="L644" s="809"/>
      <c r="M644" s="860">
        <v>1</v>
      </c>
      <c r="N644" s="813">
        <f t="shared" si="649"/>
        <v>1</v>
      </c>
      <c r="O644" s="814">
        <v>1</v>
      </c>
      <c r="P644" s="811">
        <f t="shared" si="650"/>
        <v>1</v>
      </c>
      <c r="Q644" s="815">
        <v>1</v>
      </c>
      <c r="R644" s="841">
        <f>+Y$8</f>
        <v>0</v>
      </c>
      <c r="S644" s="978">
        <f t="shared" si="638"/>
        <v>0</v>
      </c>
      <c r="T644" s="1438" t="s">
        <v>115</v>
      </c>
      <c r="U644" s="1398">
        <v>450000</v>
      </c>
      <c r="V644" s="927">
        <f t="shared" si="651"/>
        <v>6.8240753377917299E-5</v>
      </c>
      <c r="W644" s="1439">
        <v>1</v>
      </c>
      <c r="X644" s="1400">
        <v>0</v>
      </c>
      <c r="Y644" s="928">
        <f t="shared" si="652"/>
        <v>0</v>
      </c>
      <c r="Z644" s="929">
        <f t="shared" si="653"/>
        <v>0</v>
      </c>
      <c r="AA644" s="823">
        <v>3</v>
      </c>
      <c r="AB644" s="747"/>
      <c r="AC644" s="1411">
        <v>3</v>
      </c>
      <c r="AD644" s="1411">
        <v>3</v>
      </c>
      <c r="AE644" s="1411">
        <v>3</v>
      </c>
      <c r="AF644" s="1411">
        <v>3</v>
      </c>
      <c r="AG644" s="824"/>
      <c r="AH644" s="827"/>
      <c r="AI644" s="824"/>
      <c r="AJ644" s="828">
        <f t="shared" si="654"/>
        <v>0</v>
      </c>
      <c r="AK644" s="862"/>
      <c r="AL644" s="828">
        <f t="shared" si="655"/>
        <v>0</v>
      </c>
      <c r="AM644" s="862"/>
      <c r="AN644" s="824"/>
      <c r="AO644" s="827"/>
      <c r="AP644" s="824"/>
      <c r="AQ644" s="747"/>
      <c r="AR644" s="747"/>
      <c r="AS644" s="828"/>
      <c r="AT644" s="747"/>
      <c r="AU644" s="824"/>
      <c r="AV644" s="827"/>
      <c r="AW644" s="824"/>
      <c r="AX644" s="936"/>
      <c r="AY644" s="936"/>
      <c r="AZ644" s="936"/>
      <c r="BA644" s="936"/>
      <c r="BB644" s="936"/>
      <c r="BC644" s="747"/>
      <c r="BD644" s="936"/>
      <c r="BE644" s="936"/>
      <c r="BF644" s="936"/>
      <c r="BG644" s="936"/>
      <c r="BH644" s="936"/>
      <c r="BI644" s="747"/>
      <c r="BJ644" s="936"/>
      <c r="BK644" s="936"/>
      <c r="BL644" s="936"/>
      <c r="BM644" s="936"/>
      <c r="BN644" s="936"/>
      <c r="BO644" s="936"/>
      <c r="BP644" s="936"/>
      <c r="BS644" s="957"/>
      <c r="CH644" s="936"/>
      <c r="CI644" s="938"/>
    </row>
    <row r="645" spans="1:88" s="1415" customFormat="1" ht="13.9" hidden="1" customHeight="1" outlineLevel="1">
      <c r="A645" s="747"/>
      <c r="B645" s="1440" t="s">
        <v>1943</v>
      </c>
      <c r="C645" s="1441"/>
      <c r="D645" s="1407"/>
      <c r="E645" s="1187"/>
      <c r="F645" s="1187"/>
      <c r="G645" s="1417"/>
      <c r="H645" s="988" t="s">
        <v>1172</v>
      </c>
      <c r="I645" s="1189"/>
      <c r="J645" s="989"/>
      <c r="K645" s="990"/>
      <c r="L645" s="987"/>
      <c r="M645" s="992">
        <v>1</v>
      </c>
      <c r="N645" s="993">
        <f t="shared" si="649"/>
        <v>1</v>
      </c>
      <c r="O645" s="994">
        <v>1</v>
      </c>
      <c r="P645" s="989">
        <f t="shared" si="650"/>
        <v>1</v>
      </c>
      <c r="Q645" s="1007">
        <v>1</v>
      </c>
      <c r="R645" s="1010">
        <f>+Z$8</f>
        <v>0</v>
      </c>
      <c r="S645" s="995">
        <f t="shared" si="638"/>
        <v>0</v>
      </c>
      <c r="T645" s="1421" t="s">
        <v>46</v>
      </c>
      <c r="U645" s="1020">
        <v>0</v>
      </c>
      <c r="V645" s="1000">
        <f t="shared" si="651"/>
        <v>1</v>
      </c>
      <c r="W645" s="1423">
        <v>1</v>
      </c>
      <c r="X645" s="1424">
        <v>0</v>
      </c>
      <c r="Y645" s="1079">
        <f t="shared" si="652"/>
        <v>0</v>
      </c>
      <c r="Z645" s="1080">
        <f t="shared" si="653"/>
        <v>0</v>
      </c>
      <c r="AA645" s="1004">
        <v>1</v>
      </c>
      <c r="AB645" s="747"/>
      <c r="AC645" s="1425">
        <v>1</v>
      </c>
      <c r="AD645" s="1425">
        <v>1</v>
      </c>
      <c r="AE645" s="1425">
        <v>1</v>
      </c>
      <c r="AF645" s="1425">
        <v>1</v>
      </c>
      <c r="AG645" s="824"/>
      <c r="AH645" s="827"/>
      <c r="AI645" s="824"/>
      <c r="AJ645" s="1077">
        <f t="shared" si="654"/>
        <v>0</v>
      </c>
      <c r="AK645" s="1442"/>
      <c r="AL645" s="1077">
        <f t="shared" si="655"/>
        <v>0</v>
      </c>
      <c r="AM645" s="1442"/>
      <c r="AN645" s="824"/>
      <c r="AO645" s="827"/>
      <c r="AP645" s="824"/>
      <c r="AQ645" s="747"/>
      <c r="AR645" s="747"/>
      <c r="AS645" s="828"/>
      <c r="AT645" s="747"/>
      <c r="AU645" s="824"/>
      <c r="AV645" s="827"/>
      <c r="AW645" s="824"/>
      <c r="AX645" s="936"/>
      <c r="AY645" s="936"/>
      <c r="AZ645" s="936"/>
      <c r="BA645" s="936"/>
      <c r="BB645" s="936"/>
      <c r="BC645" s="747"/>
      <c r="BD645" s="936"/>
      <c r="BE645" s="936"/>
      <c r="BF645" s="936"/>
      <c r="BG645" s="936"/>
      <c r="BH645" s="936"/>
      <c r="BI645" s="747"/>
      <c r="BJ645" s="936"/>
      <c r="BK645" s="936"/>
      <c r="BL645" s="936"/>
      <c r="BM645" s="936"/>
      <c r="BN645" s="936"/>
      <c r="BO645" s="936"/>
      <c r="BP645" s="936"/>
      <c r="BS645" s="957"/>
      <c r="CH645" s="936"/>
      <c r="CI645" s="938"/>
    </row>
    <row r="646" spans="1:88" ht="15" collapsed="1">
      <c r="A646" s="413"/>
      <c r="B646" s="1443" t="s">
        <v>1944</v>
      </c>
      <c r="C646" s="1443"/>
      <c r="D646" s="1443"/>
      <c r="E646" s="460"/>
      <c r="F646" s="460"/>
      <c r="G646" s="460"/>
      <c r="H646" s="375"/>
      <c r="I646" s="375"/>
      <c r="J646" s="386"/>
      <c r="K646" s="386"/>
      <c r="L646" s="386"/>
      <c r="M646" s="1444"/>
      <c r="N646" s="1173"/>
      <c r="O646" s="386"/>
      <c r="P646" s="375"/>
      <c r="Q646" s="386"/>
      <c r="R646" s="375"/>
      <c r="S646" s="1445"/>
      <c r="T646" s="1446"/>
      <c r="U646" s="386"/>
      <c r="V646" s="386"/>
      <c r="W646" s="386"/>
      <c r="X646" s="1444"/>
      <c r="Y646" s="1447">
        <f>SUM(Y85:Y645)/2</f>
        <v>177.79685984045551</v>
      </c>
      <c r="Z646" s="1448">
        <f>SUM(Z85:Z645)/2</f>
        <v>878.47470161734736</v>
      </c>
      <c r="AA646" s="389">
        <f>IF($AA2=AA2,SUMPRODUCT($P85:$P645,$Q85:$Q645,$R85:$R645,$U85:$U645,$V85:$V645,$W85:$W645,AA85:AA645),0)</f>
        <v>1495.9441281952325</v>
      </c>
      <c r="AB646" s="747"/>
      <c r="AC646" s="434">
        <f>IF($AA2=AC2,SUMPRODUCT($P85:$P645,$Q85:$Q645,$R85:$R645,$U85:$U645,$V85:$V645,$W85:$W645,AC85:AC645),0)</f>
        <v>1495.9441281952325</v>
      </c>
      <c r="AD646" s="434">
        <f>IF($AA2=AD2,SUMPRODUCT($P85:$P645,$Q85:$Q645,$R85:$R645,$U85:$U645,$V85:$V645,$W85:$W645,AD85:AD645),0)</f>
        <v>0</v>
      </c>
      <c r="AE646" s="434">
        <f>IF($AA2=AE2,SUMPRODUCT($P85:$P645,$Q85:$Q645,$R85:$R645,$U85:$U645,$V85:$V645,$W85:$W645,AE85:AE645),0)</f>
        <v>0</v>
      </c>
      <c r="AF646" s="434">
        <f>IF($AA2=AF2,SUMPRODUCT($P85:$P645,$Q85:$Q645,$R85:$R645,$U85:$U645,$V85:$V645,$W85:$W645,AF85:AF645),0)</f>
        <v>0</v>
      </c>
      <c r="AG646" s="1449"/>
      <c r="AH646" s="521"/>
      <c r="AI646" s="370"/>
      <c r="AJ646" s="1450">
        <f>SUM(AJ85:AJ639)</f>
        <v>177.79685984045568</v>
      </c>
      <c r="AK646" s="1451">
        <f>SUM(AK85:AK639)</f>
        <v>177.79685984045571</v>
      </c>
      <c r="AL646" s="1452">
        <f>SUM(AL85:AL645)</f>
        <v>878.47470161734748</v>
      </c>
      <c r="AM646" s="1453">
        <f>SUM(AM85:AM645)</f>
        <v>878.47470161734725</v>
      </c>
      <c r="AN646" s="370"/>
      <c r="AO646" s="521"/>
      <c r="AP646" s="370"/>
      <c r="AQ646" s="413"/>
      <c r="AR646" s="425"/>
      <c r="AS646" s="483"/>
      <c r="AT646" s="425"/>
      <c r="AU646" s="370"/>
      <c r="AV646" s="521"/>
      <c r="AW646" s="370"/>
      <c r="AX646" s="375"/>
      <c r="AY646" s="375"/>
      <c r="AZ646" s="375"/>
      <c r="BA646" s="375"/>
      <c r="BB646" s="375"/>
      <c r="BC646" s="413"/>
      <c r="BD646" s="375"/>
      <c r="BE646" s="395"/>
      <c r="BF646" s="395"/>
      <c r="BG646" s="395"/>
      <c r="BH646" s="395"/>
      <c r="BI646" s="413"/>
      <c r="BJ646" s="375"/>
      <c r="BK646" s="375"/>
      <c r="BL646" s="375"/>
      <c r="BM646" s="395"/>
      <c r="BN646" s="395"/>
      <c r="BO646" s="395"/>
      <c r="BP646" s="395"/>
      <c r="CA646" s="476"/>
      <c r="CB646" s="476"/>
      <c r="CC646" s="476"/>
      <c r="CD646" s="476"/>
      <c r="CE646" s="476"/>
      <c r="CF646" s="476"/>
      <c r="CG646" s="476"/>
      <c r="CH646" s="395"/>
      <c r="CI646" s="511"/>
      <c r="CJ646" s="476"/>
    </row>
    <row r="647" spans="1:88" ht="15">
      <c r="A647" s="413"/>
      <c r="B647" s="1443"/>
      <c r="C647" s="1443"/>
      <c r="D647" s="1443"/>
      <c r="E647" s="460"/>
      <c r="F647" s="460"/>
      <c r="G647" s="460"/>
      <c r="H647" s="375"/>
      <c r="I647" s="375"/>
      <c r="J647" s="386"/>
      <c r="K647" s="386"/>
      <c r="L647" s="386"/>
      <c r="M647" s="1444"/>
      <c r="N647" s="1173"/>
      <c r="O647" s="386"/>
      <c r="P647" s="375"/>
      <c r="Q647" s="386"/>
      <c r="R647" s="375"/>
      <c r="S647" s="1445"/>
      <c r="T647" s="1446"/>
      <c r="U647" s="386"/>
      <c r="V647" s="386"/>
      <c r="W647" s="386"/>
      <c r="X647" s="1444"/>
      <c r="Y647" s="1447"/>
      <c r="Z647" s="488"/>
      <c r="AA647" s="1454"/>
      <c r="AB647" s="747"/>
      <c r="AC647" s="434"/>
      <c r="AD647" s="434"/>
      <c r="AE647" s="434"/>
      <c r="AF647" s="434"/>
      <c r="AG647" s="1449"/>
      <c r="AH647" s="521"/>
      <c r="AI647" s="370"/>
      <c r="AJ647" s="483"/>
      <c r="AK647" s="522"/>
      <c r="AL647" s="401"/>
      <c r="AM647" s="523"/>
      <c r="AN647" s="370"/>
      <c r="AO647" s="521"/>
      <c r="AP647" s="370"/>
      <c r="AQ647" s="413"/>
      <c r="AR647" s="425"/>
      <c r="AS647" s="483"/>
      <c r="AT647" s="425"/>
      <c r="AU647" s="370"/>
      <c r="AV647" s="521"/>
      <c r="AW647" s="370"/>
      <c r="AX647" s="375"/>
      <c r="AY647" s="375"/>
      <c r="AZ647" s="375"/>
      <c r="BA647" s="375"/>
      <c r="BB647" s="375"/>
      <c r="BC647" s="413"/>
      <c r="BD647" s="375"/>
      <c r="BE647" s="375"/>
      <c r="BF647" s="375"/>
      <c r="BG647" s="375"/>
      <c r="BH647" s="375"/>
      <c r="BI647" s="369"/>
      <c r="BJ647" s="395"/>
      <c r="BK647" s="395"/>
      <c r="BL647" s="395"/>
      <c r="BM647" s="375"/>
      <c r="BN647" s="375"/>
      <c r="BO647" s="375"/>
      <c r="BP647" s="375"/>
      <c r="CH647" s="375"/>
      <c r="CI647" s="511"/>
    </row>
    <row r="648" spans="1:88" ht="15">
      <c r="A648" s="413"/>
      <c r="B648" s="1443"/>
      <c r="C648" s="1443"/>
      <c r="D648" s="1443"/>
      <c r="E648" s="460"/>
      <c r="F648" s="460"/>
      <c r="G648" s="460"/>
      <c r="H648" s="375"/>
      <c r="I648" s="375"/>
      <c r="J648" s="386"/>
      <c r="K648" s="386"/>
      <c r="L648" s="386"/>
      <c r="M648" s="1444"/>
      <c r="N648" s="1173"/>
      <c r="O648" s="386"/>
      <c r="P648" s="375"/>
      <c r="Q648" s="386"/>
      <c r="R648" s="375"/>
      <c r="S648" s="1445"/>
      <c r="T648" s="1446"/>
      <c r="U648" s="386"/>
      <c r="V648" s="386"/>
      <c r="W648" s="386"/>
      <c r="X648" s="1444" t="s">
        <v>35</v>
      </c>
      <c r="Y648" s="1455">
        <f>+Z9</f>
        <v>14654</v>
      </c>
      <c r="Z648" s="1456">
        <f>+Z646</f>
        <v>878.47470161734736</v>
      </c>
      <c r="AA648" s="1454"/>
      <c r="AB648" s="747"/>
      <c r="AC648" s="434"/>
      <c r="AD648" s="434"/>
      <c r="AE648" s="434"/>
      <c r="AF648" s="434"/>
      <c r="AG648" s="1449"/>
      <c r="AH648" s="521"/>
      <c r="AI648" s="370"/>
      <c r="AJ648" s="483"/>
      <c r="AK648" s="522"/>
      <c r="AL648" s="401"/>
      <c r="AM648" s="523"/>
      <c r="AN648" s="370"/>
      <c r="AO648" s="521"/>
      <c r="AP648" s="370"/>
      <c r="AQ648" s="413"/>
      <c r="AR648" s="425"/>
      <c r="AS648" s="483"/>
      <c r="AT648" s="425"/>
      <c r="AU648" s="370"/>
      <c r="AV648" s="521"/>
      <c r="AW648" s="370"/>
      <c r="AX648" s="375"/>
      <c r="AY648" s="375"/>
      <c r="AZ648" s="375"/>
      <c r="BA648" s="375"/>
      <c r="BB648" s="375"/>
      <c r="BC648" s="413"/>
      <c r="BD648" s="375"/>
      <c r="BE648" s="375"/>
      <c r="BF648" s="375"/>
      <c r="BG648" s="375"/>
      <c r="BH648" s="375"/>
      <c r="BI648" s="369"/>
      <c r="BJ648" s="395"/>
      <c r="BK648" s="395"/>
      <c r="BL648" s="395"/>
      <c r="BM648" s="375"/>
      <c r="BN648" s="375"/>
      <c r="BO648" s="375"/>
      <c r="BP648" s="375"/>
      <c r="CH648" s="375"/>
      <c r="CI648" s="511"/>
    </row>
    <row r="649" spans="1:88" ht="15">
      <c r="A649" s="413"/>
      <c r="B649" s="1443"/>
      <c r="C649" s="1443"/>
      <c r="D649" s="1443"/>
      <c r="E649" s="460"/>
      <c r="F649" s="460"/>
      <c r="G649" s="460"/>
      <c r="H649" s="375"/>
      <c r="I649" s="375"/>
      <c r="J649" s="386"/>
      <c r="K649" s="386"/>
      <c r="L649" s="386"/>
      <c r="M649" s="1444"/>
      <c r="N649" s="1173"/>
      <c r="O649" s="386"/>
      <c r="P649" s="375"/>
      <c r="Q649" s="386"/>
      <c r="R649" s="375"/>
      <c r="S649" s="1445"/>
      <c r="T649" s="1446"/>
      <c r="U649" s="386"/>
      <c r="V649" s="386"/>
      <c r="W649" s="386"/>
      <c r="X649" s="1444" t="s">
        <v>110</v>
      </c>
      <c r="Y649" s="1457">
        <v>0.15</v>
      </c>
      <c r="Z649" s="1456"/>
      <c r="AA649" s="1454"/>
      <c r="AB649" s="747"/>
      <c r="AC649" s="434"/>
      <c r="AD649" s="434"/>
      <c r="AE649" s="434"/>
      <c r="AF649" s="434"/>
      <c r="AG649" s="1449"/>
      <c r="AH649" s="521"/>
      <c r="AI649" s="370"/>
      <c r="AJ649" s="483"/>
      <c r="AK649" s="522"/>
      <c r="AL649" s="401"/>
      <c r="AM649" s="523"/>
      <c r="AN649" s="370"/>
      <c r="AO649" s="521"/>
      <c r="AP649" s="370"/>
      <c r="AQ649" s="413"/>
      <c r="AR649" s="425"/>
      <c r="AS649" s="483"/>
      <c r="AT649" s="425"/>
      <c r="AU649" s="370"/>
      <c r="AV649" s="521"/>
      <c r="AW649" s="370"/>
      <c r="AX649" s="375"/>
      <c r="AY649" s="375"/>
      <c r="AZ649" s="375"/>
      <c r="BA649" s="375"/>
      <c r="BB649" s="375"/>
      <c r="BC649" s="413"/>
      <c r="BD649" s="375"/>
      <c r="BE649" s="375"/>
      <c r="BF649" s="375"/>
      <c r="BG649" s="375"/>
      <c r="BH649" s="375"/>
      <c r="BI649" s="369"/>
      <c r="BJ649" s="395"/>
      <c r="BK649" s="395"/>
      <c r="BL649" s="395"/>
      <c r="BM649" s="375"/>
      <c r="BN649" s="375"/>
      <c r="BO649" s="375"/>
      <c r="BP649" s="375"/>
      <c r="CH649" s="375"/>
      <c r="CI649" s="511"/>
    </row>
    <row r="650" spans="1:88" ht="15">
      <c r="A650" s="413"/>
      <c r="B650" s="1443"/>
      <c r="C650" s="1443"/>
      <c r="D650" s="1443"/>
      <c r="E650" s="460"/>
      <c r="F650" s="460"/>
      <c r="G650" s="460"/>
      <c r="H650" s="375"/>
      <c r="I650" s="375"/>
      <c r="J650" s="386"/>
      <c r="K650" s="386"/>
      <c r="L650" s="386"/>
      <c r="M650" s="1444"/>
      <c r="N650" s="1173"/>
      <c r="O650" s="386"/>
      <c r="P650" s="375"/>
      <c r="Q650" s="386"/>
      <c r="R650" s="375"/>
      <c r="S650" s="1445"/>
      <c r="T650" s="1446"/>
      <c r="U650" s="386"/>
      <c r="V650" s="386"/>
      <c r="W650" s="386"/>
      <c r="X650" s="1444" t="s">
        <v>111</v>
      </c>
      <c r="Y650" s="413"/>
      <c r="Z650" s="1456">
        <f>+Z648/(1-Y649)</f>
        <v>1033.4996489615851</v>
      </c>
      <c r="AA650" s="1454"/>
      <c r="AB650" s="747"/>
      <c r="AC650" s="434"/>
      <c r="AD650" s="434"/>
      <c r="AE650" s="434"/>
      <c r="AF650" s="434"/>
      <c r="AG650" s="1449"/>
      <c r="AH650" s="521"/>
      <c r="AI650" s="370"/>
      <c r="AJ650" s="483"/>
      <c r="AK650" s="522"/>
      <c r="AL650" s="401"/>
      <c r="AM650" s="523"/>
      <c r="AN650" s="370"/>
      <c r="AO650" s="521"/>
      <c r="AP650" s="370"/>
      <c r="AQ650" s="413"/>
      <c r="AR650" s="425"/>
      <c r="AS650" s="483"/>
      <c r="AT650" s="425"/>
      <c r="AU650" s="370"/>
      <c r="AV650" s="521"/>
      <c r="AW650" s="370"/>
      <c r="AX650" s="375"/>
      <c r="AY650" s="375"/>
      <c r="AZ650" s="375"/>
      <c r="BA650" s="375"/>
      <c r="BB650" s="375"/>
      <c r="BC650" s="413"/>
      <c r="BD650" s="375"/>
      <c r="BE650" s="375"/>
      <c r="BF650" s="375"/>
      <c r="BG650" s="375"/>
      <c r="BH650" s="375"/>
      <c r="BI650" s="369"/>
      <c r="BJ650" s="395"/>
      <c r="BK650" s="395"/>
      <c r="BL650" s="395"/>
      <c r="BM650" s="375"/>
      <c r="BN650" s="375"/>
      <c r="BO650" s="375"/>
      <c r="BP650" s="375"/>
      <c r="CH650" s="375"/>
      <c r="CI650" s="511"/>
    </row>
    <row r="651" spans="1:88" ht="15">
      <c r="A651" s="369"/>
      <c r="B651" s="369"/>
      <c r="C651" s="369"/>
      <c r="D651" s="369"/>
      <c r="E651" s="438"/>
      <c r="F651" s="438"/>
      <c r="G651" s="438"/>
      <c r="H651" s="395"/>
      <c r="I651" s="397"/>
      <c r="J651" s="400"/>
      <c r="K651" s="438"/>
      <c r="L651" s="438"/>
      <c r="M651" s="1458"/>
      <c r="N651" s="1459"/>
      <c r="O651" s="400"/>
      <c r="P651" s="391"/>
      <c r="Q651" s="403"/>
      <c r="R651" s="374"/>
      <c r="S651" s="484"/>
      <c r="T651" s="412"/>
      <c r="U651" s="497"/>
      <c r="V651" s="376"/>
      <c r="W651" s="386"/>
      <c r="X651" s="401"/>
      <c r="Y651" s="2142">
        <f>+Y648*Z650</f>
        <v>15144903.855883067</v>
      </c>
      <c r="Z651" s="2142"/>
      <c r="AA651" s="1460"/>
      <c r="AB651" s="747"/>
      <c r="AC651" s="1461"/>
      <c r="AD651" s="1462"/>
      <c r="AE651" s="1462"/>
      <c r="AF651" s="1462"/>
      <c r="AG651" s="370"/>
      <c r="AH651" s="521"/>
      <c r="AI651" s="370"/>
      <c r="AJ651" s="483"/>
      <c r="AK651" s="522"/>
      <c r="AL651" s="401"/>
      <c r="AM651" s="523"/>
      <c r="AN651" s="370"/>
      <c r="AO651" s="521"/>
      <c r="AP651" s="370"/>
      <c r="AQ651" s="369"/>
      <c r="AR651" s="418"/>
      <c r="AS651" s="483"/>
      <c r="AT651" s="418"/>
      <c r="AU651" s="370"/>
      <c r="AV651" s="521"/>
      <c r="AW651" s="370"/>
      <c r="AX651" s="395"/>
      <c r="AY651" s="395"/>
      <c r="AZ651" s="395"/>
      <c r="BA651" s="395"/>
      <c r="BB651" s="395"/>
      <c r="BC651" s="369"/>
      <c r="BD651" s="395"/>
      <c r="BE651" s="375"/>
      <c r="BF651" s="375"/>
      <c r="BG651" s="375"/>
      <c r="BH651" s="375"/>
      <c r="BI651" s="369"/>
      <c r="BJ651" s="395"/>
      <c r="BK651" s="395"/>
      <c r="BL651" s="395"/>
      <c r="BM651" s="375"/>
      <c r="BN651" s="375"/>
      <c r="BO651" s="375"/>
      <c r="BP651" s="375"/>
      <c r="CH651" s="375"/>
      <c r="CI651" s="511"/>
    </row>
    <row r="652" spans="1:88" ht="15">
      <c r="A652" s="524"/>
      <c r="B652" s="524"/>
      <c r="C652" s="524"/>
      <c r="D652" s="524"/>
      <c r="E652" s="1463"/>
      <c r="F652" s="1463"/>
      <c r="G652" s="1463"/>
      <c r="H652" s="511"/>
      <c r="I652" s="1464"/>
      <c r="J652" s="1465"/>
      <c r="K652" s="1463"/>
      <c r="L652" s="1463"/>
      <c r="M652" s="1466"/>
      <c r="N652" s="1467"/>
      <c r="O652" s="1465"/>
      <c r="P652" s="1468"/>
      <c r="Q652" s="1469"/>
      <c r="R652" s="1470"/>
      <c r="S652" s="1469"/>
      <c r="T652" s="1471"/>
      <c r="U652" s="1472"/>
      <c r="V652" s="1473"/>
      <c r="W652" s="1473"/>
      <c r="X652" s="1474"/>
      <c r="Y652" s="1469"/>
      <c r="Z652" s="1469"/>
      <c r="AA652" s="1475"/>
      <c r="AB652" s="369"/>
      <c r="AC652" s="1469"/>
      <c r="AD652" s="1469"/>
      <c r="AE652" s="1469"/>
      <c r="AF652" s="1469"/>
      <c r="AG652" s="369"/>
      <c r="AH652" s="521"/>
      <c r="AI652" s="370"/>
      <c r="AN652" s="370"/>
      <c r="AO652" s="521"/>
      <c r="AP652" s="370"/>
      <c r="AQ652" s="369"/>
      <c r="AR652" s="418"/>
      <c r="AS652" s="483"/>
      <c r="AT652" s="418"/>
      <c r="AU652" s="370"/>
      <c r="AV652" s="521"/>
      <c r="AW652" s="370"/>
      <c r="AX652" s="395"/>
      <c r="AY652" s="395"/>
      <c r="AZ652" s="395"/>
      <c r="BA652" s="395"/>
      <c r="BB652" s="395"/>
      <c r="BC652" s="369"/>
      <c r="BD652" s="395"/>
      <c r="BE652" s="395"/>
      <c r="BF652" s="395"/>
      <c r="BG652" s="395"/>
      <c r="BH652" s="395"/>
      <c r="BI652" s="369"/>
      <c r="BJ652" s="395"/>
      <c r="BK652" s="395"/>
      <c r="BL652" s="395"/>
      <c r="BM652" s="395"/>
      <c r="BN652" s="395"/>
      <c r="BO652" s="395"/>
      <c r="BP652" s="395"/>
      <c r="CH652" s="395"/>
      <c r="CI652" s="511"/>
    </row>
    <row r="653" spans="1:88" ht="15">
      <c r="Z653" s="1481"/>
      <c r="AN653" s="370"/>
      <c r="AP653" s="370"/>
      <c r="AU653" s="370"/>
      <c r="AV653" s="521"/>
      <c r="AW653" s="370"/>
      <c r="BE653" s="395"/>
      <c r="BF653" s="395"/>
      <c r="BG653" s="395"/>
      <c r="BH653" s="395"/>
      <c r="BM653" s="395"/>
      <c r="BN653" s="395"/>
      <c r="BO653" s="395"/>
      <c r="BP653" s="395"/>
      <c r="CH653" s="395"/>
      <c r="CI653" s="511"/>
    </row>
    <row r="654" spans="1:88" ht="15">
      <c r="U654" s="1483"/>
      <c r="V654" s="1483"/>
      <c r="Z654" s="368"/>
      <c r="AN654" s="370"/>
      <c r="AU654" s="370"/>
      <c r="AW654" s="370"/>
      <c r="CI654" s="511"/>
    </row>
    <row r="655" spans="1:88" ht="15">
      <c r="Z655" s="368"/>
      <c r="AN655" s="370"/>
      <c r="CI655" s="511"/>
    </row>
    <row r="656" spans="1:88" ht="15">
      <c r="U656" s="1483"/>
      <c r="V656" s="1483"/>
      <c r="Z656" s="368"/>
      <c r="AN656" s="370"/>
      <c r="CI656" s="511"/>
    </row>
    <row r="657" spans="22:87">
      <c r="V657" s="1483"/>
      <c r="Z657" s="368"/>
      <c r="CI657" s="1484"/>
    </row>
    <row r="658" spans="22:87">
      <c r="CI658" s="511"/>
    </row>
    <row r="659" spans="22:87">
      <c r="CI659" s="511"/>
    </row>
  </sheetData>
  <mergeCells count="79">
    <mergeCell ref="V9:W9"/>
    <mergeCell ref="G3:H3"/>
    <mergeCell ref="I3:J3"/>
    <mergeCell ref="D5:E5"/>
    <mergeCell ref="F5:G5"/>
    <mergeCell ref="H5:I5"/>
    <mergeCell ref="D9:F9"/>
    <mergeCell ref="G9:I9"/>
    <mergeCell ref="J9:K9"/>
    <mergeCell ref="L9:M9"/>
    <mergeCell ref="N9:O9"/>
    <mergeCell ref="P9:Q9"/>
    <mergeCell ref="R9:S9"/>
    <mergeCell ref="T9:U9"/>
    <mergeCell ref="R19:Z19"/>
    <mergeCell ref="D41:G41"/>
    <mergeCell ref="H41:M41"/>
    <mergeCell ref="N41:O41"/>
    <mergeCell ref="P41:Q41"/>
    <mergeCell ref="R41:U41"/>
    <mergeCell ref="V41:Y41"/>
    <mergeCell ref="D19:E19"/>
    <mergeCell ref="F19:G19"/>
    <mergeCell ref="H19:I19"/>
    <mergeCell ref="J19:K19"/>
    <mergeCell ref="L19:M19"/>
    <mergeCell ref="N19:Q19"/>
    <mergeCell ref="D63:F63"/>
    <mergeCell ref="G63:H63"/>
    <mergeCell ref="I63:J63"/>
    <mergeCell ref="K63:M63"/>
    <mergeCell ref="N63:P63"/>
    <mergeCell ref="AQ170:AT170"/>
    <mergeCell ref="AX170:BD170"/>
    <mergeCell ref="T63:V63"/>
    <mergeCell ref="Q78:R78"/>
    <mergeCell ref="S78:T78"/>
    <mergeCell ref="U78:V78"/>
    <mergeCell ref="W78:X78"/>
    <mergeCell ref="AQ138:AT138"/>
    <mergeCell ref="Q63:S63"/>
    <mergeCell ref="AX138:BD138"/>
    <mergeCell ref="AQ145:AT145"/>
    <mergeCell ref="AX145:BD145"/>
    <mergeCell ref="AQ152:AT152"/>
    <mergeCell ref="AX152:BD152"/>
    <mergeCell ref="AQ219:AT219"/>
    <mergeCell ref="AX219:BD219"/>
    <mergeCell ref="AQ227:AT227"/>
    <mergeCell ref="AX227:BD227"/>
    <mergeCell ref="AQ235:AT235"/>
    <mergeCell ref="AX235:BD235"/>
    <mergeCell ref="AQ243:AT243"/>
    <mergeCell ref="AX243:BD243"/>
    <mergeCell ref="AQ251:AT251"/>
    <mergeCell ref="AX251:BD251"/>
    <mergeCell ref="AQ278:AT278"/>
    <mergeCell ref="AX278:BD278"/>
    <mergeCell ref="BH278:BO278"/>
    <mergeCell ref="AQ298:AT298"/>
    <mergeCell ref="AX298:BD298"/>
    <mergeCell ref="BH298:BO298"/>
    <mergeCell ref="AQ330:AT330"/>
    <mergeCell ref="AX330:BD330"/>
    <mergeCell ref="BH330:BO330"/>
    <mergeCell ref="AQ341:AT341"/>
    <mergeCell ref="AX341:BD341"/>
    <mergeCell ref="AQ352:AT352"/>
    <mergeCell ref="AX352:BD352"/>
    <mergeCell ref="AQ372:AT372"/>
    <mergeCell ref="AX372:BD372"/>
    <mergeCell ref="Y651:Z651"/>
    <mergeCell ref="BH372:BO372"/>
    <mergeCell ref="AQ501:AT501"/>
    <mergeCell ref="AX501:BD501"/>
    <mergeCell ref="BH501:BO501"/>
    <mergeCell ref="AQ533:AT533"/>
    <mergeCell ref="AX533:BD533"/>
    <mergeCell ref="BH533:BO533"/>
  </mergeCells>
  <dataValidations count="31">
    <dataValidation type="list" allowBlank="1" showInputMessage="1" showErrorMessage="1" sqref="I6:J6" xr:uid="{00000000-0002-0000-0800-000000000000}">
      <formula1>"1.0, 1.2, 1.5, 2.0, 2.5"</formula1>
    </dataValidation>
    <dataValidation type="list" allowBlank="1" showInputMessage="1" showErrorMessage="1" sqref="K4" xr:uid="{00000000-0002-0000-0800-000001000000}">
      <formula1>$V$43:$V$57</formula1>
    </dataValidation>
    <dataValidation type="list" allowBlank="1" showInputMessage="1" showErrorMessage="1" sqref="D4" xr:uid="{00000000-0002-0000-0800-000002000000}">
      <formula1>$C$22:$C$35</formula1>
    </dataValidation>
    <dataValidation type="list" allowBlank="1" showInputMessage="1" showErrorMessage="1" sqref="Y11" xr:uid="{00000000-0002-0000-0800-000003000000}">
      <formula1>"Sch40, Copper"</formula1>
    </dataValidation>
    <dataValidation type="list" allowBlank="1" showInputMessage="1" showErrorMessage="1" sqref="W65" xr:uid="{00000000-0002-0000-0800-000004000000}">
      <formula1>"SGCC, SS304, SS316"</formula1>
    </dataValidation>
    <dataValidation type="list" allowBlank="1" showInputMessage="1" showErrorMessage="1" sqref="Q65" xr:uid="{00000000-0002-0000-0800-000005000000}">
      <formula1>"Aluminium, Copper, SGCC, Brass, SUS304, SUS316L"</formula1>
    </dataValidation>
    <dataValidation type="list" allowBlank="1" showInputMessage="1" showErrorMessage="1" sqref="N65" xr:uid="{00000000-0002-0000-0800-000006000000}">
      <formula1>"Al, Cu, Cu-IG, Cu-HA, SUS304, SUS3316L"</formula1>
    </dataValidation>
    <dataValidation type="list" allowBlank="1" showInputMessage="1" showErrorMessage="1" sqref="K65" xr:uid="{00000000-0002-0000-0800-000007000000}">
      <formula1>"Al1100, BF1100, GF1100, Cu1020,SUS304, SUS316L"</formula1>
    </dataValidation>
    <dataValidation type="list" allowBlank="1" showInputMessage="1" showErrorMessage="1" sqref="R6 H6" xr:uid="{00000000-0002-0000-0800-000008000000}">
      <formula1>$Q$66:$Q$71</formula1>
    </dataValidation>
    <dataValidation type="list" allowBlank="1" showInputMessage="1" showErrorMessage="1" sqref="X6:Y6" xr:uid="{00000000-0002-0000-0800-000009000000}">
      <formula1>"Copper, Sch40, SUS304, SUS316L"</formula1>
    </dataValidation>
    <dataValidation type="list" allowBlank="1" showInputMessage="1" showErrorMessage="1" sqref="Q6 G6" xr:uid="{00000000-0002-0000-0800-00000A000000}">
      <formula1>"0.30, 0.33, 0.34, 0.41, 0.51, 1.00, 1.10"</formula1>
    </dataValidation>
    <dataValidation type="list" allowBlank="1" showInputMessage="1" showErrorMessage="1" sqref="P6 F6" xr:uid="{00000000-0002-0000-0800-00000B000000}">
      <formula1>$N$66:$N$71</formula1>
    </dataValidation>
    <dataValidation type="list" allowBlank="1" showInputMessage="1" showErrorMessage="1" sqref="N6 D6" xr:uid="{00000000-0002-0000-0800-00000C000000}">
      <formula1>$K$66:$K$71</formula1>
    </dataValidation>
    <dataValidation type="list" allowBlank="1" showInputMessage="1" showErrorMessage="1" sqref="T6:V6 S4 X11 N4 F4 P4:Q4 K6:M6 K8:N8 H8 K4 U8:Z8" xr:uid="{00000000-0002-0000-0800-00000D000000}">
      <formula1>"0, 1"</formula1>
    </dataValidation>
    <dataValidation type="list" allowBlank="1" showInputMessage="1" showErrorMessage="1" sqref="S6" xr:uid="{00000000-0002-0000-0800-00000E000000}">
      <formula1>"1.2, 1.5, 2.0, 2.5"</formula1>
    </dataValidation>
    <dataValidation type="list" allowBlank="1" showInputMessage="1" showErrorMessage="1" sqref="O6 E6" xr:uid="{00000000-0002-0000-0800-00000F000000}">
      <formula1>"0.100, 0.110, 0.115, 0.120, 0.14"</formula1>
    </dataValidation>
    <dataValidation type="list" allowBlank="1" showInputMessage="1" showErrorMessage="1" sqref="S27" xr:uid="{00000000-0002-0000-0800-000010000000}">
      <formula1>"NA6, NA20"</formula1>
    </dataValidation>
    <dataValidation type="list" allowBlank="1" showInputMessage="1" showErrorMessage="1" sqref="W6 J6" xr:uid="{00000000-0002-0000-0800-000011000000}">
      <formula1>$T$66:$T$71</formula1>
    </dataValidation>
    <dataValidation type="list" allowBlank="1" showInputMessage="1" showErrorMessage="1" sqref="I4" xr:uid="{00000000-0002-0000-0800-000012000000}">
      <formula1>$V$44:$V$58</formula1>
    </dataValidation>
    <dataValidation type="list" allowBlank="1" showInputMessage="1" showErrorMessage="1" sqref="L4" xr:uid="{00000000-0002-0000-0800-000013000000}">
      <formula1>$E$44:$E$58</formula1>
    </dataValidation>
    <dataValidation type="list" allowBlank="1" showInputMessage="1" showErrorMessage="1" sqref="G4" xr:uid="{00000000-0002-0000-0800-000014000000}">
      <formula1>$R$44:$R$58</formula1>
    </dataValidation>
    <dataValidation type="list" allowBlank="1" showInputMessage="1" showErrorMessage="1" sqref="R4" xr:uid="{00000000-0002-0000-0800-000015000000}">
      <formula1>$G$12:$G$17</formula1>
    </dataValidation>
    <dataValidation type="list" allowBlank="1" showInputMessage="1" showErrorMessage="1" sqref="O4 M4" xr:uid="{00000000-0002-0000-0800-000016000000}">
      <formula1>$D$12:$D$17</formula1>
    </dataValidation>
    <dataValidation type="list" allowBlank="1" showInputMessage="1" showErrorMessage="1" sqref="E4" xr:uid="{00000000-0002-0000-0800-000017000000}">
      <formula1>"SA, HA, CR, Ex, SE"</formula1>
    </dataValidation>
    <dataValidation type="list" allowBlank="1" showInputMessage="1" showErrorMessage="1" sqref="E8" xr:uid="{00000000-0002-0000-0800-000018000000}">
      <formula1>"GI-Std, GI-ExNa, 316L-CR, 316L-ExNa"</formula1>
    </dataValidation>
    <dataValidation type="list" allowBlank="1" showInputMessage="1" showErrorMessage="1" sqref="G8" xr:uid="{00000000-0002-0000-0800-000019000000}">
      <formula1>"Std IP44, ABS IP54, SUS IP55, Ex d IP65"</formula1>
    </dataValidation>
    <dataValidation type="list" allowBlank="1" showInputMessage="1" showErrorMessage="1" sqref="I8:J8" xr:uid="{00000000-0002-0000-0800-00001A000000}">
      <formula1>"0, 1, 2, 4"</formula1>
    </dataValidation>
    <dataValidation type="list" allowBlank="1" showInputMessage="1" showErrorMessage="1" sqref="F8" xr:uid="{00000000-0002-0000-0800-00001B000000}">
      <formula1>"WeiGuang, Maer, MW-PPG, MW-PAGAS"</formula1>
    </dataValidation>
    <dataValidation type="list" allowBlank="1" showInputMessage="1" showErrorMessage="1" sqref="E8" xr:uid="{00000000-0002-0000-0800-00001C000000}">
      <formula1>"NA, GI-Std, GI-ExNa, 316-ExNa"</formula1>
    </dataValidation>
    <dataValidation type="list" allowBlank="1" showInputMessage="1" showErrorMessage="1" sqref="D8" xr:uid="{00000000-0002-0000-0800-00001D000000}">
      <formula1>"Copeland, Copeland-ExNa, Danfoss, Danfoss-ExNa, Daikin, Invotech, Dorin, Dorin-ExNa"</formula1>
    </dataValidation>
    <dataValidation type="list" allowBlank="1" showInputMessage="1" showErrorMessage="1" sqref="O8" xr:uid="{00000000-0002-0000-0800-00001E000000}">
      <formula1>"1 Core, MultiCore"</formula1>
    </dataValidation>
  </dataValidations>
  <pageMargins left="0.7" right="0.7" top="0.75" bottom="0.75" header="0.3" footer="0.3"/>
  <pageSetup paperSize="9" orientation="portrait" horizontalDpi="4294967292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BF60-6891-4239-880C-7DE229983F43}">
  <sheetPr>
    <tabColor rgb="FFFFFF00"/>
  </sheetPr>
  <dimension ref="A1:AL230"/>
  <sheetViews>
    <sheetView tabSelected="1" zoomScale="85" zoomScaleNormal="85" workbookViewId="0">
      <selection activeCell="O11" sqref="O11"/>
    </sheetView>
  </sheetViews>
  <sheetFormatPr defaultColWidth="9.140625" defaultRowHeight="12.75"/>
  <cols>
    <col min="1" max="1" width="10" style="2" bestFit="1" customWidth="1"/>
    <col min="2" max="2" width="3.28515625" style="2" bestFit="1" customWidth="1"/>
    <col min="3" max="3" width="39.7109375" style="2" bestFit="1" customWidth="1"/>
    <col min="4" max="4" width="12.42578125" style="9" bestFit="1" customWidth="1"/>
    <col min="5" max="5" width="8.42578125" style="4" bestFit="1" customWidth="1"/>
    <col min="6" max="6" width="5.28515625" style="4" bestFit="1" customWidth="1"/>
    <col min="7" max="7" width="15.140625" style="2" bestFit="1" customWidth="1"/>
    <col min="8" max="8" width="7.7109375" style="2" bestFit="1" customWidth="1"/>
    <col min="9" max="9" width="5.5703125" style="2" bestFit="1" customWidth="1"/>
    <col min="10" max="10" width="6.42578125" style="2" bestFit="1" customWidth="1"/>
    <col min="11" max="11" width="11.42578125" style="2" bestFit="1" customWidth="1"/>
    <col min="12" max="12" width="10.85546875" style="2" bestFit="1" customWidth="1"/>
    <col min="13" max="13" width="15.140625" style="2" customWidth="1"/>
    <col min="14" max="14" width="9.5703125" style="2" customWidth="1"/>
    <col min="15" max="15" width="12" style="2" customWidth="1"/>
    <col min="16" max="16" width="13.5703125" style="2" bestFit="1" customWidth="1"/>
    <col min="17" max="21" width="12" style="2" customWidth="1"/>
    <col min="22" max="22" width="9" style="2" customWidth="1"/>
    <col min="23" max="23" width="5.140625" style="2" customWidth="1"/>
    <col min="24" max="24" width="13.7109375" style="2" customWidth="1"/>
    <col min="25" max="33" width="8.5703125" style="2" customWidth="1"/>
    <col min="34" max="34" width="9.140625" style="2" customWidth="1"/>
    <col min="35" max="35" width="9.140625" style="2"/>
    <col min="36" max="36" width="9.7109375" style="2" bestFit="1" customWidth="1"/>
    <col min="37" max="37" width="9.7109375" style="2" customWidth="1"/>
    <col min="38" max="38" width="11.140625" style="2" bestFit="1" customWidth="1"/>
    <col min="39" max="16384" width="9.140625" style="2"/>
  </cols>
  <sheetData>
    <row r="1" spans="2:38" ht="12.75" customHeight="1">
      <c r="B1" s="203"/>
      <c r="C1" s="2178"/>
      <c r="D1" s="208" t="s">
        <v>19</v>
      </c>
      <c r="E1" s="208" t="s">
        <v>20</v>
      </c>
      <c r="F1" s="208" t="s">
        <v>21</v>
      </c>
      <c r="G1" s="204"/>
      <c r="H1" s="204"/>
      <c r="I1" s="204"/>
      <c r="J1" s="209"/>
      <c r="K1" s="208" t="s">
        <v>218</v>
      </c>
      <c r="L1" s="208" t="s">
        <v>217</v>
      </c>
      <c r="M1" s="20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2:38" ht="13.5" customHeight="1" thickBot="1">
      <c r="B2" s="203"/>
      <c r="C2" s="2179"/>
      <c r="D2" s="345">
        <v>1420</v>
      </c>
      <c r="E2" s="345">
        <v>3250</v>
      </c>
      <c r="F2" s="345">
        <v>1930</v>
      </c>
      <c r="G2" s="343">
        <f>E2/1000*F2/1000</f>
        <v>6.2725</v>
      </c>
      <c r="H2" s="344">
        <v>110</v>
      </c>
      <c r="I2" s="204"/>
      <c r="J2" s="345" t="s">
        <v>754</v>
      </c>
      <c r="K2" s="345" t="s">
        <v>736</v>
      </c>
      <c r="L2" s="346">
        <v>2</v>
      </c>
      <c r="M2" s="20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2:38">
      <c r="B3" s="204"/>
      <c r="C3" s="204"/>
      <c r="D3" s="341">
        <f>ROUND((D2-100)/305,0)</f>
        <v>4</v>
      </c>
      <c r="E3" s="342"/>
      <c r="F3" s="341">
        <f>ROUND((F2-100)/305,0)</f>
        <v>6</v>
      </c>
      <c r="G3" s="342"/>
      <c r="H3" s="343">
        <v>1453.66</v>
      </c>
      <c r="I3" s="343" t="s">
        <v>22</v>
      </c>
      <c r="J3" s="204"/>
      <c r="K3" s="204"/>
      <c r="L3" s="204"/>
      <c r="M3" s="20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2:38">
      <c r="B4" s="2180" t="s">
        <v>23</v>
      </c>
      <c r="C4" s="2180" t="s">
        <v>24</v>
      </c>
      <c r="D4" s="2183" t="s">
        <v>25</v>
      </c>
      <c r="E4" s="2183"/>
      <c r="F4" s="2183"/>
      <c r="G4" s="2183"/>
      <c r="H4" s="2183"/>
      <c r="I4" s="2183"/>
      <c r="J4" s="2183"/>
      <c r="K4" s="2183"/>
      <c r="L4" s="2183"/>
      <c r="M4" s="218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2:38">
      <c r="B5" s="2181"/>
      <c r="C5" s="2181"/>
      <c r="D5" s="2170" t="s">
        <v>26</v>
      </c>
      <c r="E5" s="2170"/>
      <c r="F5" s="2170" t="s">
        <v>27</v>
      </c>
      <c r="G5" s="2170"/>
      <c r="H5" s="2170" t="s">
        <v>28</v>
      </c>
      <c r="I5" s="2170"/>
      <c r="J5" s="2170"/>
      <c r="K5" s="2170" t="s">
        <v>29</v>
      </c>
      <c r="L5" s="2170"/>
      <c r="M5" s="2170"/>
      <c r="N5" s="1"/>
      <c r="O5" s="2102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2:38">
      <c r="B6" s="2181"/>
      <c r="C6" s="2181"/>
      <c r="D6" s="2170" t="s">
        <v>30</v>
      </c>
      <c r="E6" s="2176" t="s">
        <v>13</v>
      </c>
      <c r="F6" s="2170" t="s">
        <v>31</v>
      </c>
      <c r="G6" s="2170"/>
      <c r="H6" s="206" t="s">
        <v>32</v>
      </c>
      <c r="I6" s="2172" t="s">
        <v>33</v>
      </c>
      <c r="J6" s="2174" t="s">
        <v>34</v>
      </c>
      <c r="K6" s="2176" t="s">
        <v>35</v>
      </c>
      <c r="L6" s="2176" t="s">
        <v>18</v>
      </c>
      <c r="M6" s="2176" t="s">
        <v>36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64</v>
      </c>
      <c r="Z6" s="1" t="s">
        <v>65</v>
      </c>
      <c r="AA6" s="1" t="s">
        <v>66</v>
      </c>
      <c r="AB6" s="1" t="s">
        <v>67</v>
      </c>
      <c r="AC6" s="2" t="s">
        <v>132</v>
      </c>
      <c r="AD6" s="2" t="s">
        <v>68</v>
      </c>
      <c r="AE6" s="2" t="s">
        <v>1009</v>
      </c>
      <c r="AF6" s="2" t="s">
        <v>69</v>
      </c>
      <c r="AG6" s="2" t="s">
        <v>1060</v>
      </c>
      <c r="AH6" s="2" t="s">
        <v>74</v>
      </c>
      <c r="AI6" s="2" t="s">
        <v>18</v>
      </c>
    </row>
    <row r="7" spans="2:38" ht="15">
      <c r="B7" s="2182"/>
      <c r="C7" s="2182"/>
      <c r="D7" s="2171"/>
      <c r="E7" s="2177"/>
      <c r="F7" s="2171"/>
      <c r="G7" s="2171"/>
      <c r="H7" s="207">
        <v>17500</v>
      </c>
      <c r="I7" s="2173"/>
      <c r="J7" s="2175"/>
      <c r="K7" s="2177"/>
      <c r="L7" s="2177"/>
      <c r="M7" s="2177"/>
      <c r="N7" s="1"/>
      <c r="O7" s="1"/>
      <c r="P7" s="1"/>
      <c r="Q7" s="1"/>
      <c r="R7" s="1"/>
      <c r="S7" s="1"/>
      <c r="T7" s="1"/>
      <c r="U7" s="1"/>
      <c r="V7" s="1"/>
      <c r="W7" s="1"/>
      <c r="X7" s="95" t="s">
        <v>21</v>
      </c>
      <c r="Y7">
        <v>2</v>
      </c>
      <c r="Z7">
        <f>F2</f>
        <v>1930</v>
      </c>
      <c r="AA7">
        <v>250</v>
      </c>
      <c r="AB7">
        <v>7860</v>
      </c>
      <c r="AC7">
        <f>AB7*AA7/1000*Z7/1000*Y7/1000</f>
        <v>7.5848999999999993</v>
      </c>
      <c r="AD7">
        <v>2</v>
      </c>
      <c r="AE7">
        <f>AC7*AD7</f>
        <v>15.169799999999999</v>
      </c>
      <c r="AF7">
        <v>21500</v>
      </c>
      <c r="AG7">
        <f>AE7*AF7</f>
        <v>326150.69999999995</v>
      </c>
      <c r="AH7" s="2">
        <f>8*3000</f>
        <v>24000</v>
      </c>
      <c r="AI7" s="2">
        <f>AG7+AH7</f>
        <v>350150.69999999995</v>
      </c>
      <c r="AJ7" s="221"/>
      <c r="AK7" s="221"/>
      <c r="AL7" s="362"/>
    </row>
    <row r="8" spans="2:38" ht="15" customHeight="1">
      <c r="B8" s="2167" t="s">
        <v>179</v>
      </c>
      <c r="C8" s="2168"/>
      <c r="D8" s="2168"/>
      <c r="E8" s="2168"/>
      <c r="F8" s="2168"/>
      <c r="G8" s="2168"/>
      <c r="H8" s="2168"/>
      <c r="I8" s="2168"/>
      <c r="J8" s="2168"/>
      <c r="K8" s="2168"/>
      <c r="L8" s="2168"/>
      <c r="M8" s="2169"/>
      <c r="N8" s="1"/>
      <c r="O8" s="1"/>
      <c r="P8" s="317" t="s">
        <v>755</v>
      </c>
      <c r="Q8" s="317" t="s">
        <v>19</v>
      </c>
      <c r="R8" s="317" t="s">
        <v>20</v>
      </c>
      <c r="S8" s="317" t="s">
        <v>21</v>
      </c>
      <c r="U8" s="1"/>
      <c r="V8" s="1"/>
      <c r="W8" s="1"/>
      <c r="X8" s="95" t="s">
        <v>20</v>
      </c>
      <c r="Y8">
        <v>2</v>
      </c>
      <c r="Z8">
        <f>E2</f>
        <v>3250</v>
      </c>
      <c r="AA8">
        <v>250</v>
      </c>
      <c r="AB8">
        <v>7860</v>
      </c>
      <c r="AC8">
        <f t="shared" ref="AC8:AC12" si="0">AB8*AA8/1000*Z8/1000*Y8/1000</f>
        <v>12.772500000000001</v>
      </c>
      <c r="AD8">
        <v>2</v>
      </c>
      <c r="AE8">
        <f t="shared" ref="AE8:AE12" si="1">AC8*AD8</f>
        <v>25.545000000000002</v>
      </c>
      <c r="AF8">
        <v>21500</v>
      </c>
      <c r="AG8">
        <f t="shared" ref="AG8:AG12" si="2">AE8*AF8</f>
        <v>549217.5</v>
      </c>
      <c r="AH8" s="2">
        <f>3*3000</f>
        <v>9000</v>
      </c>
      <c r="AI8" s="2">
        <f>AG8+AH8</f>
        <v>558217.5</v>
      </c>
    </row>
    <row r="9" spans="2:38" ht="15">
      <c r="B9" s="208">
        <v>1</v>
      </c>
      <c r="C9" s="248" t="str">
        <f>"PENTAPOST DS" &amp;$K$2&amp; "H"</f>
        <v>PENTAPOST DS5060Y(NA06)H</v>
      </c>
      <c r="D9" s="247" t="s">
        <v>37</v>
      </c>
      <c r="E9" s="326">
        <f>VLOOKUP($K$2,'AHU IU1'!$P$9:$S$26,2,0)</f>
        <v>10.016</v>
      </c>
      <c r="F9" s="210" t="s">
        <v>38</v>
      </c>
      <c r="G9" s="321">
        <f>VLOOKUP($K$2,Master!$O$4:$Y$21,3,0)</f>
        <v>174015</v>
      </c>
      <c r="H9" s="211">
        <f>IF(F9="Rp",1/$H$7,1)</f>
        <v>5.7142857142857142E-5</v>
      </c>
      <c r="I9" s="212">
        <v>1</v>
      </c>
      <c r="J9" s="213">
        <v>1.05</v>
      </c>
      <c r="K9" s="214">
        <f t="shared" ref="K9:K19" si="3">+G9*H9*I9*J9</f>
        <v>10.440900000000001</v>
      </c>
      <c r="L9" s="215">
        <v>0</v>
      </c>
      <c r="M9" s="216"/>
      <c r="N9" s="357">
        <f>VLOOKUP($K$2,Master!$O$4:$Y$21,2,0)*E9</f>
        <v>17.758368000000001</v>
      </c>
      <c r="P9" s="319" t="s">
        <v>737</v>
      </c>
      <c r="Q9" s="325">
        <f>(('AHU IU1'!$D$2-(35*2))*4/1000)*'AHU IU1'!$L$2</f>
        <v>10.8</v>
      </c>
      <c r="R9" s="325">
        <f>(('AHU IU1'!$E$2-(35*2))*4/1000)*'AHU IU1'!$L$2</f>
        <v>25.44</v>
      </c>
      <c r="S9" s="325">
        <f>(('AHU IU1'!$F$2-(35*2))*4/1000)*'AHU IU1'!$L$2</f>
        <v>14.88</v>
      </c>
      <c r="U9" s="1">
        <v>17064</v>
      </c>
      <c r="V9" s="246">
        <v>21524.400000000001</v>
      </c>
      <c r="W9" s="198"/>
      <c r="X9" s="347" t="s">
        <v>19</v>
      </c>
      <c r="Y9">
        <v>2</v>
      </c>
      <c r="Z9">
        <f>D2</f>
        <v>1420</v>
      </c>
      <c r="AA9">
        <v>200</v>
      </c>
      <c r="AB9">
        <v>7860</v>
      </c>
      <c r="AC9">
        <f t="shared" si="0"/>
        <v>4.46448</v>
      </c>
      <c r="AD9">
        <v>2</v>
      </c>
      <c r="AE9">
        <f t="shared" si="1"/>
        <v>8.92896</v>
      </c>
      <c r="AF9">
        <v>21500</v>
      </c>
      <c r="AG9">
        <f t="shared" si="2"/>
        <v>191972.64</v>
      </c>
      <c r="AH9" s="2">
        <f>3*3000</f>
        <v>9000</v>
      </c>
      <c r="AI9" s="2">
        <f>AG9+AH9</f>
        <v>200972.64</v>
      </c>
    </row>
    <row r="10" spans="2:38" ht="15">
      <c r="B10" s="208">
        <v>2</v>
      </c>
      <c r="C10" s="248" t="str">
        <f>"PENTAPOST DS" &amp;$K$2&amp; "D"</f>
        <v>PENTAPOST DS5060Y(NA06)D</v>
      </c>
      <c r="D10" s="247" t="s">
        <v>37</v>
      </c>
      <c r="E10" s="326">
        <f>VLOOKUP($K$2,'AHU IU1'!$P$9:$S$26,3,0)</f>
        <v>24.655999999999999</v>
      </c>
      <c r="F10" s="210" t="s">
        <v>38</v>
      </c>
      <c r="G10" s="322">
        <f>G9</f>
        <v>174015</v>
      </c>
      <c r="H10" s="211">
        <f t="shared" ref="H10:H19" si="4">IF(F10="Rp",1/$H$7,1)</f>
        <v>5.7142857142857142E-5</v>
      </c>
      <c r="I10" s="212">
        <v>1</v>
      </c>
      <c r="J10" s="213">
        <v>1.05</v>
      </c>
      <c r="K10" s="214">
        <f t="shared" si="3"/>
        <v>10.440900000000001</v>
      </c>
      <c r="L10" s="215">
        <v>0</v>
      </c>
      <c r="M10" s="216"/>
      <c r="N10" s="357">
        <f>VLOOKUP($K$2,Master!$O$4:$Y$21,2,0)*E10</f>
        <v>43.715087999999994</v>
      </c>
      <c r="P10" s="319" t="s">
        <v>738</v>
      </c>
      <c r="Q10" s="325">
        <f>(('AHU IU1'!$D$2-(35*2))*4/1000)*'AHU IU1'!$L$2</f>
        <v>10.8</v>
      </c>
      <c r="R10" s="325">
        <f>(('AHU IU1'!$E$2-(35*2))*4/1000)*'AHU IU1'!$L$2</f>
        <v>25.44</v>
      </c>
      <c r="S10" s="325">
        <f>(('AHU IU1'!$F$2-(35*2))*4/1000)*'AHU IU1'!$L$2</f>
        <v>14.88</v>
      </c>
      <c r="U10" s="1">
        <v>38394</v>
      </c>
      <c r="V10" s="246">
        <v>29106</v>
      </c>
      <c r="W10" s="198"/>
      <c r="X10" s="1" t="s">
        <v>1063</v>
      </c>
      <c r="Y10">
        <v>2</v>
      </c>
      <c r="Z10">
        <f>Z7</f>
        <v>1930</v>
      </c>
      <c r="AA10">
        <v>300</v>
      </c>
      <c r="AB10">
        <v>7860</v>
      </c>
      <c r="AC10">
        <f t="shared" si="0"/>
        <v>9.1018799999999995</v>
      </c>
      <c r="AD10">
        <v>2</v>
      </c>
      <c r="AE10">
        <f t="shared" si="1"/>
        <v>18.203759999999999</v>
      </c>
      <c r="AF10">
        <v>21500</v>
      </c>
      <c r="AG10">
        <f t="shared" si="2"/>
        <v>391380.83999999997</v>
      </c>
      <c r="AH10" s="2">
        <f>6*3000</f>
        <v>18000</v>
      </c>
      <c r="AI10" s="2">
        <f>AG10+AH10</f>
        <v>409380.83999999997</v>
      </c>
    </row>
    <row r="11" spans="2:38" ht="15">
      <c r="B11" s="208">
        <v>3</v>
      </c>
      <c r="C11" s="248" t="str">
        <f>"PENTAPOST DS" &amp;$K$2&amp; "W"</f>
        <v>PENTAPOST DS5060Y(NA06)W</v>
      </c>
      <c r="D11" s="247" t="s">
        <v>37</v>
      </c>
      <c r="E11" s="326">
        <f>VLOOKUP($K$2,'AHU IU1'!$P$9:$S$26,4,0)</f>
        <v>14.096</v>
      </c>
      <c r="F11" s="210" t="s">
        <v>38</v>
      </c>
      <c r="G11" s="322">
        <f>G9</f>
        <v>174015</v>
      </c>
      <c r="H11" s="211">
        <f t="shared" si="4"/>
        <v>5.7142857142857142E-5</v>
      </c>
      <c r="I11" s="212">
        <v>1</v>
      </c>
      <c r="J11" s="213">
        <v>1.05</v>
      </c>
      <c r="K11" s="214">
        <f t="shared" si="3"/>
        <v>10.440900000000001</v>
      </c>
      <c r="L11" s="215">
        <v>0</v>
      </c>
      <c r="M11" s="216"/>
      <c r="N11" s="357">
        <f>VLOOKUP($K$2,Master!$O$4:$Y$21,2,0)*E11</f>
        <v>24.992207999999998</v>
      </c>
      <c r="P11" s="319" t="s">
        <v>739</v>
      </c>
      <c r="Q11" s="325">
        <f>(('AHU IU1'!$D$2-(59*2))*4/1000)*'AHU IU1'!$L$2</f>
        <v>10.416</v>
      </c>
      <c r="R11" s="325">
        <f>(('AHU IU1'!$E$2-(59*2))*4/1000)*'AHU IU1'!$L$2</f>
        <v>25.056000000000001</v>
      </c>
      <c r="S11" s="325">
        <f>(('AHU IU1'!$F$2-(59*2))*4/1000)*'AHU IU1'!$L$2</f>
        <v>14.496</v>
      </c>
      <c r="U11" s="2">
        <v>67054</v>
      </c>
      <c r="V11" s="246">
        <v>62302</v>
      </c>
      <c r="W11" s="198"/>
      <c r="X11" s="1" t="s">
        <v>1064</v>
      </c>
      <c r="Y11">
        <v>1.5</v>
      </c>
      <c r="Z11">
        <f>Z8/2</f>
        <v>1625</v>
      </c>
      <c r="AA11">
        <v>250</v>
      </c>
      <c r="AB11">
        <v>7860</v>
      </c>
      <c r="AC11">
        <f t="shared" si="0"/>
        <v>4.7896875000000003</v>
      </c>
      <c r="AD11">
        <v>4</v>
      </c>
      <c r="AE11">
        <f t="shared" si="1"/>
        <v>19.158750000000001</v>
      </c>
      <c r="AF11">
        <v>16000</v>
      </c>
      <c r="AG11">
        <f t="shared" si="2"/>
        <v>306540</v>
      </c>
    </row>
    <row r="12" spans="2:38" ht="15">
      <c r="B12" s="208">
        <v>4</v>
      </c>
      <c r="C12" s="248" t="str">
        <f>"CENTERPOST DS" &amp;$K$2&amp; "H"</f>
        <v>CENTERPOST DS5060Y(NA06)H</v>
      </c>
      <c r="D12" s="210" t="s">
        <v>37</v>
      </c>
      <c r="E12" s="225">
        <f>((D2-(35*2))/1000)*2</f>
        <v>2.7</v>
      </c>
      <c r="F12" s="210" t="s">
        <v>38</v>
      </c>
      <c r="G12" s="321">
        <f>VLOOKUP($K$2,Master!$O$4:$Y$21,5,0)</f>
        <v>131975</v>
      </c>
      <c r="H12" s="211">
        <f t="shared" si="4"/>
        <v>5.7142857142857142E-5</v>
      </c>
      <c r="I12" s="212">
        <v>1</v>
      </c>
      <c r="J12" s="213">
        <v>1.05</v>
      </c>
      <c r="K12" s="214">
        <f t="shared" si="3"/>
        <v>7.9184999999999999</v>
      </c>
      <c r="L12" s="215">
        <v>0</v>
      </c>
      <c r="M12" s="216"/>
      <c r="N12" s="357">
        <f>VLOOKUP($K$2,Master!$O$4:$Y$21,4,0)*E12</f>
        <v>2.9511000000000003</v>
      </c>
      <c r="P12" s="319" t="s">
        <v>740</v>
      </c>
      <c r="Q12" s="325">
        <f>(('AHU IU1'!$D$2-(59*2))*4/1000)*'AHU IU1'!$L$2</f>
        <v>10.416</v>
      </c>
      <c r="R12" s="325">
        <f>(('AHU IU1'!$E$2-(59*2))*4/1000)*'AHU IU1'!$L$2</f>
        <v>25.056000000000001</v>
      </c>
      <c r="S12" s="325">
        <f>(('AHU IU1'!$F$2-(59*2))*4/1000)*'AHU IU1'!$L$2</f>
        <v>14.496</v>
      </c>
      <c r="T12" s="245"/>
      <c r="U12" s="2">
        <v>90598</v>
      </c>
      <c r="V12" s="246">
        <v>71914</v>
      </c>
      <c r="W12" s="198"/>
      <c r="X12" s="1" t="s">
        <v>1065</v>
      </c>
      <c r="Y12">
        <v>1.5</v>
      </c>
      <c r="Z12">
        <f>E2</f>
        <v>3250</v>
      </c>
      <c r="AA12">
        <v>200</v>
      </c>
      <c r="AB12">
        <v>7860</v>
      </c>
      <c r="AC12">
        <f t="shared" si="0"/>
        <v>7.6635</v>
      </c>
      <c r="AD12">
        <v>4</v>
      </c>
      <c r="AE12">
        <f t="shared" si="1"/>
        <v>30.654</v>
      </c>
      <c r="AF12">
        <v>16000</v>
      </c>
      <c r="AG12">
        <f t="shared" si="2"/>
        <v>490464</v>
      </c>
    </row>
    <row r="13" spans="2:38" ht="15">
      <c r="B13" s="208">
        <v>5</v>
      </c>
      <c r="C13" s="248" t="str">
        <f>"CENTERPOST DS" &amp;$K$2&amp; "D"</f>
        <v>CENTERPOST DS5060Y(NA06)D</v>
      </c>
      <c r="D13" s="210" t="s">
        <v>37</v>
      </c>
      <c r="E13" s="225">
        <f>((E2-(35*2))/1000)*1</f>
        <v>3.18</v>
      </c>
      <c r="F13" s="210" t="s">
        <v>38</v>
      </c>
      <c r="G13" s="323">
        <f>G12</f>
        <v>131975</v>
      </c>
      <c r="H13" s="211">
        <f t="shared" si="4"/>
        <v>5.7142857142857142E-5</v>
      </c>
      <c r="I13" s="212">
        <v>1</v>
      </c>
      <c r="J13" s="213">
        <v>1.05</v>
      </c>
      <c r="K13" s="214">
        <f t="shared" si="3"/>
        <v>7.9184999999999999</v>
      </c>
      <c r="L13" s="215">
        <v>0</v>
      </c>
      <c r="M13" s="216"/>
      <c r="N13" s="357">
        <f>VLOOKUP($K$2,Master!$O$4:$Y$21,4,0)*E13</f>
        <v>3.4757400000000001</v>
      </c>
      <c r="P13" s="319" t="s">
        <v>741</v>
      </c>
      <c r="Q13" s="325">
        <f>(('AHU IU1'!$D$2-(58*2))*4/1000)*'AHU IU1'!$L$2</f>
        <v>10.432</v>
      </c>
      <c r="R13" s="325">
        <f>(('AHU IU1'!$E$2-(58*2))*4/1000)*'AHU IU1'!$L$2</f>
        <v>25.071999999999999</v>
      </c>
      <c r="S13" s="325">
        <f>(('AHU IU1'!$F$2-(58*2))*4/1000)*'AHU IU1'!$L$2</f>
        <v>14.512</v>
      </c>
      <c r="T13" s="1"/>
      <c r="U13" s="1"/>
      <c r="V13" s="1"/>
      <c r="W13" s="198"/>
      <c r="X13" s="1"/>
      <c r="Y13"/>
      <c r="Z13"/>
      <c r="AA13"/>
      <c r="AB13"/>
      <c r="AC13"/>
      <c r="AD13"/>
      <c r="AE13" s="199">
        <f>SUM(AE7:AE12)</f>
        <v>117.66027</v>
      </c>
      <c r="AF13"/>
      <c r="AG13" s="199">
        <f>SUM(AG7:AG12)</f>
        <v>2255725.6799999997</v>
      </c>
      <c r="AH13" s="2">
        <f>AG13/14500</f>
        <v>155.56728827586204</v>
      </c>
    </row>
    <row r="14" spans="2:38" ht="15">
      <c r="B14" s="208">
        <v>6</v>
      </c>
      <c r="C14" s="248" t="str">
        <f>"CENTERPOST DS" &amp;$K$2&amp; "Door"</f>
        <v>CENTERPOST DS5060Y(NA06)Door</v>
      </c>
      <c r="D14" s="210" t="s">
        <v>37</v>
      </c>
      <c r="E14" s="225">
        <f>(((E2/2)-(35*2))/1000)*2</f>
        <v>3.11</v>
      </c>
      <c r="F14" s="210" t="s">
        <v>38</v>
      </c>
      <c r="G14" s="323">
        <f>G13</f>
        <v>131975</v>
      </c>
      <c r="H14" s="211">
        <f t="shared" si="4"/>
        <v>5.7142857142857142E-5</v>
      </c>
      <c r="I14" s="212">
        <v>1</v>
      </c>
      <c r="J14" s="213">
        <v>1.05</v>
      </c>
      <c r="K14" s="214">
        <f t="shared" si="3"/>
        <v>7.9184999999999999</v>
      </c>
      <c r="L14" s="215">
        <v>0</v>
      </c>
      <c r="M14" s="216"/>
      <c r="N14" s="357">
        <f>VLOOKUP($K$2,Master!$O$4:$Y$21,4,0)*E14</f>
        <v>3.3992299999999998</v>
      </c>
      <c r="P14" s="319" t="s">
        <v>742</v>
      </c>
      <c r="Q14" s="325">
        <f>(('AHU IU1'!$D$2-(58*2))*4/1000)*'AHU IU1'!$L$2</f>
        <v>10.432</v>
      </c>
      <c r="R14" s="325">
        <f>(('AHU IU1'!$E$2-(58*2))*4/1000)*'AHU IU1'!$L$2</f>
        <v>25.071999999999999</v>
      </c>
      <c r="S14" s="325">
        <f>(('AHU IU1'!$F$2-(58*2))*4/1000)*'AHU IU1'!$L$2</f>
        <v>14.512</v>
      </c>
      <c r="T14" s="1"/>
      <c r="U14" s="1">
        <v>35</v>
      </c>
      <c r="V14" s="1">
        <v>40</v>
      </c>
      <c r="W14" s="1"/>
    </row>
    <row r="15" spans="2:38" ht="15">
      <c r="B15" s="208">
        <v>7</v>
      </c>
      <c r="C15" s="248" t="str">
        <f>"CENTERPOST DS" &amp;$K$2&amp; "W"</f>
        <v>CENTERPOST DS5060Y(NA06)W</v>
      </c>
      <c r="D15" s="210" t="s">
        <v>37</v>
      </c>
      <c r="E15" s="225">
        <f>((F2-(35*2))/1000)*2</f>
        <v>3.72</v>
      </c>
      <c r="F15" s="210" t="s">
        <v>38</v>
      </c>
      <c r="G15" s="323">
        <f>G12</f>
        <v>131975</v>
      </c>
      <c r="H15" s="211">
        <f t="shared" si="4"/>
        <v>5.7142857142857142E-5</v>
      </c>
      <c r="I15" s="212">
        <v>1</v>
      </c>
      <c r="J15" s="213">
        <v>1.05</v>
      </c>
      <c r="K15" s="214">
        <f t="shared" si="3"/>
        <v>7.9184999999999999</v>
      </c>
      <c r="L15" s="215">
        <v>0</v>
      </c>
      <c r="M15" s="216"/>
      <c r="N15" s="357">
        <f>VLOOKUP($K$2,Master!$O$4:$Y$21,4,0)*E15</f>
        <v>4.0659600000000005</v>
      </c>
      <c r="P15" s="319" t="s">
        <v>736</v>
      </c>
      <c r="Q15" s="325">
        <f>(('AHU IU1'!$D$2-(84*2))*4/1000)*'AHU IU1'!$L$2</f>
        <v>10.016</v>
      </c>
      <c r="R15" s="325">
        <f>(('AHU IU1'!$E$2-(84*2))*4/1000)*'AHU IU1'!$L$2</f>
        <v>24.655999999999999</v>
      </c>
      <c r="S15" s="325">
        <f>(('AHU IU1'!$F$2-(84*2))*4/1000)*'AHU IU1'!$L$2</f>
        <v>14.096</v>
      </c>
      <c r="T15" s="244"/>
      <c r="U15" s="244">
        <v>59</v>
      </c>
      <c r="V15" s="1">
        <v>80</v>
      </c>
    </row>
    <row r="16" spans="2:38" ht="15">
      <c r="B16" s="208">
        <v>8</v>
      </c>
      <c r="C16" s="209" t="s">
        <v>39</v>
      </c>
      <c r="D16" s="210" t="s">
        <v>37</v>
      </c>
      <c r="E16" s="309">
        <f>SUM(E9:E15)*2</f>
        <v>122.956</v>
      </c>
      <c r="F16" s="210" t="s">
        <v>38</v>
      </c>
      <c r="G16" s="321">
        <f>VLOOKUP($K$2,Master!$O$4:$Y$21,11,0)</f>
        <v>15150.000000000002</v>
      </c>
      <c r="H16" s="211">
        <f t="shared" si="4"/>
        <v>5.7142857142857142E-5</v>
      </c>
      <c r="I16" s="212">
        <v>1</v>
      </c>
      <c r="J16" s="213">
        <v>1.05</v>
      </c>
      <c r="K16" s="214">
        <f t="shared" si="3"/>
        <v>0.90900000000000014</v>
      </c>
      <c r="L16" s="215">
        <v>0</v>
      </c>
      <c r="M16" s="216"/>
      <c r="N16" s="357">
        <f>VLOOKUP($K$2,Master!$O$4:$Y$21,10,0)*E16</f>
        <v>24.837112000000001</v>
      </c>
      <c r="P16" s="319" t="s">
        <v>743</v>
      </c>
      <c r="Q16" s="325">
        <f>(('AHU IU1'!$D$2-(84*2))*4/1000)*'AHU IU1'!$L$2</f>
        <v>10.016</v>
      </c>
      <c r="R16" s="325">
        <f>(('AHU IU1'!$E$2-(84*2))*4/1000)*'AHU IU1'!$L$2</f>
        <v>24.655999999999999</v>
      </c>
      <c r="S16" s="325">
        <f>(('AHU IU1'!$F$2-(84*2))*4/1000)*'AHU IU1'!$L$2</f>
        <v>14.096</v>
      </c>
      <c r="T16" s="1"/>
      <c r="U16" s="1">
        <v>58</v>
      </c>
      <c r="V16" s="1">
        <v>82</v>
      </c>
      <c r="Y16"/>
      <c r="Z16"/>
      <c r="AA16"/>
      <c r="AB16"/>
      <c r="AC16"/>
      <c r="AD16"/>
      <c r="AE16"/>
      <c r="AF16"/>
      <c r="AG16"/>
    </row>
    <row r="17" spans="2:33" ht="15">
      <c r="B17" s="208">
        <v>9</v>
      </c>
      <c r="C17" s="209" t="s">
        <v>40</v>
      </c>
      <c r="D17" s="210" t="s">
        <v>37</v>
      </c>
      <c r="E17" s="309">
        <f>E16/4</f>
        <v>30.739000000000001</v>
      </c>
      <c r="F17" s="210" t="s">
        <v>38</v>
      </c>
      <c r="G17" s="323">
        <f>G16</f>
        <v>15150.000000000002</v>
      </c>
      <c r="H17" s="211">
        <f t="shared" si="4"/>
        <v>5.7142857142857142E-5</v>
      </c>
      <c r="I17" s="212">
        <v>1</v>
      </c>
      <c r="J17" s="213">
        <v>1.05</v>
      </c>
      <c r="K17" s="214">
        <f t="shared" si="3"/>
        <v>0.90900000000000014</v>
      </c>
      <c r="L17" s="215">
        <v>0</v>
      </c>
      <c r="M17" s="216"/>
      <c r="N17" s="357">
        <f>VLOOKUP($K$2,Master!$O$4:$Y$21,10,0)*E17</f>
        <v>6.2092780000000003</v>
      </c>
      <c r="P17" s="319" t="s">
        <v>744</v>
      </c>
      <c r="Q17" s="325">
        <f>(('AHU IU1'!$D$2-(80*2))*4/1000)*'AHU IU1'!$L$2</f>
        <v>10.08</v>
      </c>
      <c r="R17" s="325">
        <f>(('AHU IU1'!$E$2-(80*2))*4/1000)*'AHU IU1'!$L$2</f>
        <v>24.72</v>
      </c>
      <c r="S17" s="325">
        <f>(('AHU IU1'!$F$2-(80*2))*4/1000)*'AHU IU1'!$L$2</f>
        <v>14.16</v>
      </c>
      <c r="T17" s="1"/>
      <c r="U17" s="1">
        <v>84</v>
      </c>
      <c r="V17" s="1">
        <v>134</v>
      </c>
      <c r="Y17"/>
      <c r="Z17"/>
      <c r="AA17"/>
      <c r="AB17"/>
      <c r="AC17"/>
      <c r="AD17"/>
      <c r="AE17"/>
      <c r="AF17"/>
      <c r="AG17"/>
    </row>
    <row r="18" spans="2:33" ht="15">
      <c r="B18" s="208">
        <v>10</v>
      </c>
      <c r="C18" s="209" t="s">
        <v>41</v>
      </c>
      <c r="D18" s="210" t="s">
        <v>37</v>
      </c>
      <c r="E18" s="309">
        <f>SUM(E16:E17)</f>
        <v>153.69499999999999</v>
      </c>
      <c r="F18" s="210" t="s">
        <v>38</v>
      </c>
      <c r="G18" s="323">
        <v>10000</v>
      </c>
      <c r="H18" s="211">
        <f t="shared" si="4"/>
        <v>5.7142857142857142E-5</v>
      </c>
      <c r="I18" s="212">
        <v>1</v>
      </c>
      <c r="J18" s="213">
        <v>1.05</v>
      </c>
      <c r="K18" s="214">
        <f t="shared" si="3"/>
        <v>0.6</v>
      </c>
      <c r="L18" s="215">
        <v>0</v>
      </c>
      <c r="M18" s="216"/>
      <c r="N18" s="1"/>
      <c r="O18" s="1"/>
      <c r="P18" s="319" t="s">
        <v>745</v>
      </c>
      <c r="Q18" s="325">
        <f>(('AHU IU1'!$D$2-(80*2))*4/1000)*'AHU IU1'!$L$2</f>
        <v>10.08</v>
      </c>
      <c r="R18" s="325">
        <f>(('AHU IU1'!$E$2-(80*2))*4/1000)*'AHU IU1'!$L$2</f>
        <v>24.72</v>
      </c>
      <c r="S18" s="325">
        <f>(('AHU IU1'!$F$2-(80*2))*4/1000)*'AHU IU1'!$L$2</f>
        <v>14.16</v>
      </c>
      <c r="T18" s="1"/>
      <c r="U18" s="1"/>
      <c r="V18" s="1"/>
      <c r="Y18"/>
      <c r="Z18"/>
      <c r="AA18"/>
      <c r="AB18" s="1"/>
      <c r="AC18"/>
      <c r="AD18"/>
      <c r="AE18"/>
      <c r="AF18"/>
      <c r="AG18"/>
    </row>
    <row r="19" spans="2:33" ht="15">
      <c r="B19" s="208">
        <v>11</v>
      </c>
      <c r="C19" s="209" t="s">
        <v>42</v>
      </c>
      <c r="D19" s="210" t="s">
        <v>37</v>
      </c>
      <c r="E19" s="309">
        <f>E18</f>
        <v>153.69499999999999</v>
      </c>
      <c r="F19" s="210" t="s">
        <v>38</v>
      </c>
      <c r="G19" s="323">
        <v>10000</v>
      </c>
      <c r="H19" s="211">
        <f t="shared" si="4"/>
        <v>5.7142857142857142E-5</v>
      </c>
      <c r="I19" s="212">
        <v>1</v>
      </c>
      <c r="J19" s="213">
        <v>1.05</v>
      </c>
      <c r="K19" s="214">
        <f t="shared" si="3"/>
        <v>0.6</v>
      </c>
      <c r="L19" s="215">
        <v>0</v>
      </c>
      <c r="M19" s="216"/>
      <c r="N19" s="1"/>
      <c r="O19" s="1"/>
      <c r="P19" s="319" t="s">
        <v>746</v>
      </c>
      <c r="Q19" s="325">
        <f>(('AHU IU1'!$D$2-(50*2))*4/1000)*'AHU IU1'!$L$2</f>
        <v>10.56</v>
      </c>
      <c r="R19" s="325">
        <f>(('AHU IU1'!$E$2)*4/1000)*'AHU IU1'!$L$2</f>
        <v>26</v>
      </c>
      <c r="S19" s="325">
        <f>(('AHU IU1'!$F$2)*4/1000)*'AHU IU1'!$L$2</f>
        <v>15.44</v>
      </c>
      <c r="T19" s="1"/>
      <c r="U19" s="1"/>
      <c r="V19" s="1"/>
      <c r="W19" s="1"/>
      <c r="X19" s="200"/>
      <c r="Y19"/>
      <c r="Z19"/>
      <c r="AA19"/>
      <c r="AB19" s="1"/>
      <c r="AC19"/>
      <c r="AD19"/>
      <c r="AE19"/>
      <c r="AF19"/>
      <c r="AG19"/>
    </row>
    <row r="20" spans="2:33" ht="15">
      <c r="B20" s="208">
        <v>12</v>
      </c>
      <c r="C20" s="248" t="str">
        <f>"CORNERPIECE DS"&amp;$K$2</f>
        <v>CORNERPIECE DS5060Y(NA06)</v>
      </c>
      <c r="D20" s="210" t="s">
        <v>43</v>
      </c>
      <c r="E20" s="309">
        <f>8*L2</f>
        <v>16</v>
      </c>
      <c r="F20" s="210" t="s">
        <v>38</v>
      </c>
      <c r="G20" s="324">
        <f>VLOOKUP($K$2,Master!$O$4:$Y$21,7,0)</f>
        <v>84000</v>
      </c>
      <c r="H20" s="211">
        <f>IF(F20="Rp",1/$H$7,1)</f>
        <v>5.7142857142857142E-5</v>
      </c>
      <c r="I20" s="212">
        <v>1</v>
      </c>
      <c r="J20" s="213">
        <v>1</v>
      </c>
      <c r="K20" s="214">
        <f>+G20*H20*I20*J20</f>
        <v>4.8</v>
      </c>
      <c r="L20" s="215">
        <v>0</v>
      </c>
      <c r="M20" s="216"/>
      <c r="N20" s="357">
        <f>VLOOKUP($K$2,Master!$O$4:$Y$21,6,0)*E20</f>
        <v>6.7961600000000004</v>
      </c>
      <c r="O20" s="242"/>
      <c r="P20" s="319" t="s">
        <v>747</v>
      </c>
      <c r="Q20" s="325">
        <f>(('AHU IU1'!$D$2-(50*2))*4/1000)*'AHU IU1'!$L$2</f>
        <v>10.56</v>
      </c>
      <c r="R20" s="325">
        <f>(('AHU IU1'!$E$2)*4/1000)*'AHU IU1'!$L$2</f>
        <v>26</v>
      </c>
      <c r="S20" s="325">
        <f>(('AHU IU1'!$F$2)*4/1000)*'AHU IU1'!$L$2</f>
        <v>15.44</v>
      </c>
      <c r="T20" s="242"/>
      <c r="U20" s="242"/>
      <c r="V20" s="1"/>
      <c r="W20" s="198"/>
      <c r="X20" s="1"/>
      <c r="Y20"/>
      <c r="Z20"/>
      <c r="AA20"/>
      <c r="AB20"/>
      <c r="AC20"/>
      <c r="AD20"/>
      <c r="AE20"/>
      <c r="AF20"/>
      <c r="AG20"/>
    </row>
    <row r="21" spans="2:33" ht="15">
      <c r="B21" s="208">
        <v>13</v>
      </c>
      <c r="C21" s="248" t="str">
        <f>"OMEGA JOINT DS"&amp;$K$2</f>
        <v>OMEGA JOINT DS5060Y(NA06)</v>
      </c>
      <c r="D21" s="210" t="s">
        <v>43</v>
      </c>
      <c r="E21" s="309">
        <f>2*((E12/((D2-(35*2))/1000))+(E13/((E2-(35*2))/1000))+(E14/(((E2/2)-(35*2))/1000))+(E15/((F2-(35*2))/1000)))</f>
        <v>14</v>
      </c>
      <c r="F21" s="210" t="s">
        <v>38</v>
      </c>
      <c r="G21" s="324">
        <f>VLOOKUP($K$2,Master!$O$4:$Y$21,9,0)</f>
        <v>24000</v>
      </c>
      <c r="H21" s="211">
        <f>IF(F21="Rp",1/$H$7,1)</f>
        <v>5.7142857142857142E-5</v>
      </c>
      <c r="I21" s="212">
        <v>1</v>
      </c>
      <c r="J21" s="213">
        <v>1</v>
      </c>
      <c r="K21" s="214">
        <f>+G21*H21*I21*J21</f>
        <v>1.3714285714285714</v>
      </c>
      <c r="L21" s="215">
        <f>M21/H7</f>
        <v>945.25368728677347</v>
      </c>
      <c r="M21" s="216">
        <f>'2. AHU-Frame &amp; Panel'!O96</f>
        <v>16541939.527518535</v>
      </c>
      <c r="N21" s="357">
        <f>VLOOKUP($K$2,Master!$O$4:$Y$21,8,0)*E21</f>
        <v>0.79279199999999994</v>
      </c>
      <c r="O21" s="1"/>
      <c r="P21" s="319" t="s">
        <v>748</v>
      </c>
      <c r="Q21" s="325">
        <f>(('AHU IU1'!$D$2-(70*2))*4/1000)*'AHU IU1'!$L$2</f>
        <v>10.24</v>
      </c>
      <c r="R21" s="325">
        <f>(('AHU IU1'!$E$2)*4/1000)*'AHU IU1'!$L$2</f>
        <v>26</v>
      </c>
      <c r="S21" s="325">
        <f>(('AHU IU1'!$F$2)*4/1000)*'AHU IU1'!$L$2</f>
        <v>15.44</v>
      </c>
      <c r="T21" s="1"/>
      <c r="U21" s="1"/>
      <c r="V21" s="1"/>
      <c r="W21" s="198"/>
      <c r="X21" s="1"/>
      <c r="Y21"/>
      <c r="Z21"/>
      <c r="AA21"/>
      <c r="AB21"/>
      <c r="AC21"/>
      <c r="AD21"/>
      <c r="AE21"/>
      <c r="AF21"/>
      <c r="AG21"/>
    </row>
    <row r="22" spans="2:33" ht="15">
      <c r="B22" s="2167" t="s">
        <v>198</v>
      </c>
      <c r="C22" s="2168"/>
      <c r="D22" s="2168"/>
      <c r="E22" s="2168"/>
      <c r="F22" s="2168"/>
      <c r="G22" s="2168"/>
      <c r="H22" s="2168"/>
      <c r="I22" s="2168"/>
      <c r="J22" s="2168"/>
      <c r="K22" s="2168"/>
      <c r="L22" s="2168"/>
      <c r="M22" s="2169"/>
      <c r="N22" s="1"/>
      <c r="O22" s="243"/>
      <c r="P22" s="319" t="s">
        <v>749</v>
      </c>
      <c r="Q22" s="325">
        <f>(('AHU IU1'!$D$2-(70*2))*4/1000)*'AHU IU1'!$L$2</f>
        <v>10.24</v>
      </c>
      <c r="R22" s="325">
        <f>(('AHU IU1'!$E$2)*4/1000)*'AHU IU1'!$L$2</f>
        <v>26</v>
      </c>
      <c r="S22" s="325">
        <f>(('AHU IU1'!$F$2)*4/1000)*'AHU IU1'!$L$2</f>
        <v>15.44</v>
      </c>
      <c r="T22" s="243">
        <v>2584</v>
      </c>
      <c r="U22" s="243">
        <v>892</v>
      </c>
      <c r="V22" s="1"/>
      <c r="W22" s="198"/>
      <c r="X22" s="1"/>
      <c r="Y22"/>
      <c r="Z22"/>
      <c r="AA22"/>
      <c r="AB22"/>
      <c r="AC22"/>
      <c r="AD22"/>
      <c r="AE22"/>
      <c r="AF22"/>
      <c r="AG22"/>
    </row>
    <row r="23" spans="2:33" ht="15">
      <c r="B23" s="208">
        <v>14</v>
      </c>
      <c r="C23" s="209" t="s">
        <v>199</v>
      </c>
      <c r="D23" s="208" t="s">
        <v>132</v>
      </c>
      <c r="E23" s="310">
        <f>1.4*AE13</f>
        <v>164.72437799999997</v>
      </c>
      <c r="F23" s="217" t="s">
        <v>38</v>
      </c>
      <c r="G23" s="228">
        <v>30000</v>
      </c>
      <c r="H23" s="211">
        <f>IF(F23="Rp",1/$H$7,1)</f>
        <v>5.7142857142857142E-5</v>
      </c>
      <c r="I23" s="212">
        <v>1</v>
      </c>
      <c r="J23" s="213">
        <v>1.2</v>
      </c>
      <c r="K23" s="214">
        <f>+G23*H23*I23*J23</f>
        <v>2.0571428571428569</v>
      </c>
      <c r="L23" s="215">
        <f>M23/H7</f>
        <v>130.25767165714285</v>
      </c>
      <c r="M23" s="216">
        <f>'1. AHU-Skid'!O25</f>
        <v>2279509.2539999997</v>
      </c>
      <c r="N23" s="354">
        <f>E23</f>
        <v>164.72437799999997</v>
      </c>
      <c r="O23" s="1"/>
      <c r="P23" s="319" t="s">
        <v>750</v>
      </c>
      <c r="Q23" s="325">
        <f>(('AHU IU1'!$D$2-(40*2))*4/1000)*'AHU IU1'!$L$2</f>
        <v>10.72</v>
      </c>
      <c r="R23" s="325">
        <f>(('AHU IU1'!$E$2)*4/1000)*'AHU IU1'!$L$2</f>
        <v>26</v>
      </c>
      <c r="S23" s="325">
        <f>(('AHU IU1'!$F$2)*4/1000)*'AHU IU1'!$L$2</f>
        <v>15.44</v>
      </c>
      <c r="T23" s="1">
        <v>2664</v>
      </c>
      <c r="U23" s="1">
        <v>972</v>
      </c>
      <c r="V23" s="1"/>
      <c r="W23" s="198"/>
      <c r="X23" s="1"/>
      <c r="Y23"/>
      <c r="Z23"/>
      <c r="AA23"/>
      <c r="AB23"/>
      <c r="AC23"/>
      <c r="AD23"/>
      <c r="AE23"/>
      <c r="AF23"/>
      <c r="AG23"/>
    </row>
    <row r="24" spans="2:33" ht="15">
      <c r="B24" s="208">
        <v>15</v>
      </c>
      <c r="C24" s="209" t="s">
        <v>2729</v>
      </c>
      <c r="D24" s="208" t="s">
        <v>132</v>
      </c>
      <c r="E24" s="226">
        <v>1</v>
      </c>
      <c r="F24" s="217" t="s">
        <v>38</v>
      </c>
      <c r="G24" s="228">
        <v>0</v>
      </c>
      <c r="H24" s="211">
        <f>IF(F24="Rp",1/$H$7,1)</f>
        <v>5.7142857142857142E-5</v>
      </c>
      <c r="I24" s="212">
        <v>1</v>
      </c>
      <c r="J24" s="213">
        <v>1</v>
      </c>
      <c r="K24" s="214">
        <f>+G24*H24*I24*J24</f>
        <v>0</v>
      </c>
      <c r="L24" s="215">
        <f>M24/H7</f>
        <v>311.68790711999998</v>
      </c>
      <c r="M24" s="216">
        <f>'3. AHU-Structure'!O60</f>
        <v>5454538.3745999997</v>
      </c>
      <c r="N24" s="354">
        <f>E24</f>
        <v>1</v>
      </c>
      <c r="O24" s="1"/>
      <c r="P24" s="319" t="s">
        <v>751</v>
      </c>
      <c r="Q24" s="325">
        <f>(('AHU IU1'!$D$2-(40*2))*4/1000)*'AHU IU1'!$L$2</f>
        <v>10.72</v>
      </c>
      <c r="R24" s="325">
        <f>(('AHU IU1'!$E$2)*4/1000)*'AHU IU1'!$L$2</f>
        <v>26</v>
      </c>
      <c r="S24" s="325">
        <f>(('AHU IU1'!$F$2)*4/1000)*'AHU IU1'!$L$2</f>
        <v>15.44</v>
      </c>
      <c r="T24" s="243">
        <f>T22-T23</f>
        <v>-80</v>
      </c>
      <c r="U24" s="243">
        <f>U22-U23</f>
        <v>-80</v>
      </c>
      <c r="V24" s="1"/>
      <c r="W24" s="198"/>
      <c r="X24" s="1"/>
      <c r="Y24"/>
      <c r="Z24"/>
      <c r="AA24"/>
      <c r="AB24"/>
      <c r="AC24"/>
      <c r="AD24"/>
      <c r="AE24"/>
      <c r="AF24"/>
      <c r="AG24"/>
    </row>
    <row r="25" spans="2:33" ht="15">
      <c r="B25" s="2167" t="s">
        <v>206</v>
      </c>
      <c r="C25" s="2168"/>
      <c r="D25" s="2168"/>
      <c r="E25" s="2168"/>
      <c r="F25" s="2168"/>
      <c r="G25" s="2168"/>
      <c r="H25" s="2168"/>
      <c r="I25" s="2168"/>
      <c r="J25" s="2168"/>
      <c r="K25" s="2168"/>
      <c r="L25" s="2168"/>
      <c r="M25" s="2169"/>
      <c r="N25" s="1"/>
      <c r="O25" s="1"/>
      <c r="P25" s="319" t="s">
        <v>752</v>
      </c>
      <c r="Q25" s="325">
        <f>(('AHU IU1'!$D$2-(50*2))*4/1000)*'AHU IU1'!$L$2</f>
        <v>10.56</v>
      </c>
      <c r="R25" s="325">
        <f>(('AHU IU1'!$E$2)*4/1000)*'AHU IU1'!$L$2</f>
        <v>26</v>
      </c>
      <c r="S25" s="325">
        <f>(('AHU IU1'!$F$2)*4/1000)*'AHU IU1'!$L$2</f>
        <v>15.44</v>
      </c>
      <c r="T25" s="1"/>
      <c r="U25" s="1"/>
      <c r="V25" s="1"/>
      <c r="W25" s="198"/>
      <c r="X25" s="1"/>
      <c r="Y25"/>
      <c r="Z25"/>
      <c r="AA25"/>
      <c r="AB25"/>
      <c r="AC25"/>
      <c r="AD25"/>
      <c r="AE25"/>
      <c r="AF25"/>
      <c r="AG25"/>
    </row>
    <row r="26" spans="2:33" ht="15">
      <c r="B26" s="208">
        <v>16</v>
      </c>
      <c r="C26" s="209" t="s">
        <v>1007</v>
      </c>
      <c r="D26" s="208" t="s">
        <v>54</v>
      </c>
      <c r="E26" s="226">
        <v>0</v>
      </c>
      <c r="F26" s="217" t="s">
        <v>38</v>
      </c>
      <c r="G26" s="228">
        <v>500000</v>
      </c>
      <c r="H26" s="211">
        <f>IF(F26="Rp",1/$H$7,1)</f>
        <v>5.7142857142857142E-5</v>
      </c>
      <c r="I26" s="212">
        <v>1</v>
      </c>
      <c r="J26" s="213">
        <v>1</v>
      </c>
      <c r="K26" s="214">
        <f>+G26*H26*I26*J26</f>
        <v>28.571428571428569</v>
      </c>
      <c r="L26" s="215">
        <f>+E26*K26</f>
        <v>0</v>
      </c>
      <c r="M26" s="216">
        <f>L26*16500</f>
        <v>0</v>
      </c>
      <c r="N26" s="355"/>
      <c r="O26" s="1"/>
      <c r="P26" s="319" t="s">
        <v>753</v>
      </c>
      <c r="Q26" s="325">
        <f>(('AHU IU1'!$D$2-(50*2))*4/1000)*'AHU IU1'!$L$2</f>
        <v>10.56</v>
      </c>
      <c r="R26" s="325">
        <f>(('AHU IU1'!$E$2)*4/1000)*'AHU IU1'!$L$2</f>
        <v>26</v>
      </c>
      <c r="S26" s="325">
        <f>(('AHU IU1'!$F$2)*4/1000)*'AHU IU1'!$L$2</f>
        <v>15.44</v>
      </c>
      <c r="T26" s="1"/>
      <c r="U26" s="1"/>
      <c r="V26" s="1"/>
      <c r="W26" s="198"/>
      <c r="X26" s="1"/>
      <c r="Y26"/>
      <c r="Z26"/>
      <c r="AA26"/>
      <c r="AB26"/>
      <c r="AC26"/>
      <c r="AD26"/>
      <c r="AE26"/>
      <c r="AF26"/>
      <c r="AG26"/>
    </row>
    <row r="27" spans="2:33" ht="15">
      <c r="B27" s="208">
        <v>17</v>
      </c>
      <c r="C27" s="209" t="s">
        <v>1008</v>
      </c>
      <c r="D27" s="208" t="s">
        <v>54</v>
      </c>
      <c r="E27" s="226">
        <v>0</v>
      </c>
      <c r="F27" s="217" t="s">
        <v>38</v>
      </c>
      <c r="G27" s="228">
        <v>500000</v>
      </c>
      <c r="H27" s="211">
        <f>IF(F27="Rp",1/$H$7,1)</f>
        <v>5.7142857142857142E-5</v>
      </c>
      <c r="I27" s="212">
        <v>1</v>
      </c>
      <c r="J27" s="213">
        <v>1</v>
      </c>
      <c r="K27" s="214">
        <f>+G27*H27*I27*J27</f>
        <v>28.571428571428569</v>
      </c>
      <c r="L27" s="215">
        <f>+E27*K27</f>
        <v>0</v>
      </c>
      <c r="M27" s="216">
        <f t="shared" ref="M27:M29" si="5">L27*16500</f>
        <v>0</v>
      </c>
      <c r="Q27" s="1"/>
      <c r="R27" s="1"/>
      <c r="S27" s="1"/>
      <c r="T27" s="1"/>
      <c r="U27" s="1"/>
      <c r="V27" s="1"/>
      <c r="W27" s="198"/>
      <c r="X27" s="1"/>
      <c r="Y27"/>
      <c r="Z27"/>
      <c r="AA27"/>
      <c r="AB27"/>
      <c r="AC27"/>
      <c r="AD27"/>
      <c r="AE27"/>
      <c r="AF27"/>
      <c r="AG27"/>
    </row>
    <row r="28" spans="2:33" ht="15">
      <c r="B28" s="208">
        <v>18</v>
      </c>
      <c r="C28" s="209" t="s">
        <v>2865</v>
      </c>
      <c r="D28" s="208" t="s">
        <v>48</v>
      </c>
      <c r="E28" s="226">
        <v>0</v>
      </c>
      <c r="F28" s="217" t="s">
        <v>38</v>
      </c>
      <c r="G28" s="228">
        <f>'VolDamperCost2023 RA '!S59+'VolDamperCost2023 RA '!S92</f>
        <v>801647.83844745427</v>
      </c>
      <c r="H28" s="211">
        <f>IF(F28="Rp",1/$H$7,1)</f>
        <v>5.7142857142857142E-5</v>
      </c>
      <c r="I28" s="212">
        <v>1</v>
      </c>
      <c r="J28" s="213">
        <v>1</v>
      </c>
      <c r="K28" s="214">
        <f>+G28*H28*I28*J28</f>
        <v>45.808447911283103</v>
      </c>
      <c r="L28" s="215">
        <f>+E28*K28</f>
        <v>0</v>
      </c>
      <c r="M28" s="216">
        <f>L28*16500</f>
        <v>0</v>
      </c>
      <c r="Q28" s="316"/>
      <c r="R28" s="1"/>
      <c r="S28" s="1"/>
      <c r="T28" s="1"/>
      <c r="U28" s="1"/>
      <c r="V28" s="1"/>
      <c r="W28" s="198"/>
      <c r="X28" s="1"/>
      <c r="Y28"/>
      <c r="Z28"/>
      <c r="AA28"/>
      <c r="AB28"/>
      <c r="AC28"/>
      <c r="AD28"/>
      <c r="AE28"/>
      <c r="AF28"/>
      <c r="AG28"/>
    </row>
    <row r="29" spans="2:33" ht="15">
      <c r="B29" s="208">
        <v>19</v>
      </c>
      <c r="C29" s="209" t="s">
        <v>2866</v>
      </c>
      <c r="D29" s="208" t="s">
        <v>48</v>
      </c>
      <c r="E29" s="226">
        <v>0</v>
      </c>
      <c r="F29" s="217" t="s">
        <v>38</v>
      </c>
      <c r="G29" s="228">
        <f>'VolDamperCost2023 FA '!S59+'VolDamperCost2023 FA '!S92</f>
        <v>801647.83844745427</v>
      </c>
      <c r="H29" s="211">
        <f>IF(F29="Rp",1/$H$7,1)</f>
        <v>5.7142857142857142E-5</v>
      </c>
      <c r="I29" s="212">
        <v>1</v>
      </c>
      <c r="J29" s="213">
        <v>1</v>
      </c>
      <c r="K29" s="214">
        <f>+G29*H29*I29*J29</f>
        <v>45.808447911283103</v>
      </c>
      <c r="L29" s="215">
        <f>+E29*K29</f>
        <v>0</v>
      </c>
      <c r="M29" s="216">
        <f t="shared" si="5"/>
        <v>0</v>
      </c>
      <c r="Q29" s="1"/>
      <c r="R29" s="1"/>
      <c r="S29" s="1"/>
      <c r="T29" s="1"/>
      <c r="U29" s="1"/>
      <c r="V29" s="1"/>
      <c r="W29" s="198"/>
      <c r="X29" s="1">
        <f>1.26*0.4</f>
        <v>0.504</v>
      </c>
      <c r="Y29" s="239" t="s">
        <v>214</v>
      </c>
      <c r="Z29"/>
      <c r="AA29"/>
      <c r="AB29"/>
      <c r="AC29"/>
      <c r="AD29"/>
      <c r="AE29"/>
      <c r="AF29"/>
      <c r="AG29"/>
    </row>
    <row r="30" spans="2:33" ht="15" customHeight="1">
      <c r="B30" s="2167" t="s">
        <v>180</v>
      </c>
      <c r="C30" s="2168"/>
      <c r="D30" s="2168"/>
      <c r="E30" s="2168"/>
      <c r="F30" s="2168"/>
      <c r="G30" s="2168"/>
      <c r="H30" s="2168"/>
      <c r="I30" s="2168"/>
      <c r="J30" s="2168"/>
      <c r="K30" s="2168"/>
      <c r="L30" s="2168"/>
      <c r="M30" s="2169"/>
      <c r="Q30" s="316"/>
      <c r="R30" s="1"/>
      <c r="S30" s="1"/>
      <c r="T30" s="1"/>
      <c r="U30" s="1"/>
      <c r="V30" s="1"/>
      <c r="W30" s="198"/>
      <c r="X30" s="235">
        <f>350000/X29</f>
        <v>694444.4444444445</v>
      </c>
      <c r="Y30" s="239" t="s">
        <v>215</v>
      </c>
      <c r="Z30"/>
      <c r="AA30"/>
      <c r="AB30"/>
      <c r="AC30"/>
      <c r="AD30"/>
      <c r="AE30"/>
      <c r="AF30"/>
      <c r="AG30"/>
    </row>
    <row r="31" spans="2:33" ht="15">
      <c r="B31" s="208">
        <v>20</v>
      </c>
      <c r="C31" s="209" t="s">
        <v>44</v>
      </c>
      <c r="D31" s="210" t="s">
        <v>45</v>
      </c>
      <c r="E31" s="326">
        <f>VLOOKUP($K$2,'AHU IU1'!$P$32:$R$68,3,0)</f>
        <v>23.826335999999998</v>
      </c>
      <c r="F31" s="210" t="s">
        <v>46</v>
      </c>
      <c r="G31" s="326">
        <f>VLOOKUP($K$2,'AHU IU1'!$P$32:$R$68,2,0)</f>
        <v>17.676994285714287</v>
      </c>
      <c r="H31" s="211">
        <f>IF(F31="Rp",1/$H$7,1)</f>
        <v>1</v>
      </c>
      <c r="I31" s="212">
        <v>1</v>
      </c>
      <c r="J31" s="213">
        <v>1.2</v>
      </c>
      <c r="K31" s="214">
        <f>+G31*H31*I31*J31</f>
        <v>21.212393142857142</v>
      </c>
      <c r="L31" s="215">
        <f>+E31*K31</f>
        <v>505.41360638581023</v>
      </c>
      <c r="M31" s="216">
        <v>0</v>
      </c>
      <c r="N31" s="356">
        <f>VLOOKUP($K$2,Master!O4:Z21,12,0)/1000*E31*48</f>
        <v>57.183206399999989</v>
      </c>
      <c r="P31" s="2166" t="s">
        <v>180</v>
      </c>
      <c r="Q31" s="2166"/>
      <c r="R31" s="2166"/>
      <c r="S31" s="204"/>
      <c r="T31" s="204"/>
      <c r="U31" s="204"/>
      <c r="V31" s="1"/>
      <c r="W31" s="198"/>
      <c r="X31" s="7"/>
      <c r="Y31"/>
      <c r="Z31"/>
      <c r="AA31"/>
      <c r="AC31"/>
      <c r="AD31"/>
      <c r="AE31"/>
      <c r="AF31"/>
      <c r="AG31"/>
    </row>
    <row r="32" spans="2:33" ht="15">
      <c r="B32" s="208">
        <v>21</v>
      </c>
      <c r="C32" s="209" t="s">
        <v>44</v>
      </c>
      <c r="D32" s="210" t="s">
        <v>43</v>
      </c>
      <c r="E32" s="227">
        <v>0</v>
      </c>
      <c r="F32" s="210" t="s">
        <v>38</v>
      </c>
      <c r="G32" s="229">
        <v>52000</v>
      </c>
      <c r="H32" s="211">
        <f>IF(F32="Rp",1/$H$7,1)</f>
        <v>5.7142857142857142E-5</v>
      </c>
      <c r="I32" s="212">
        <v>1</v>
      </c>
      <c r="J32" s="213">
        <v>1</v>
      </c>
      <c r="K32" s="214">
        <f>+G32*H32*I32*J32</f>
        <v>2.9714285714285715</v>
      </c>
      <c r="L32" s="215">
        <f>+E32*K32</f>
        <v>0</v>
      </c>
      <c r="M32" s="216">
        <f t="shared" ref="M32" si="6">L32*15000</f>
        <v>0</v>
      </c>
      <c r="P32" s="328"/>
      <c r="Q32" s="329">
        <f>((0.45/1000*7860*30200)+(0.4/1000*7860*22000)+(15/1000*48*50000))*1</f>
        <v>211985.4</v>
      </c>
      <c r="R32" s="330"/>
      <c r="S32" s="204"/>
      <c r="T32" s="204"/>
      <c r="U32" s="204"/>
      <c r="V32" s="1"/>
      <c r="W32" s="1"/>
      <c r="Y32" s="1"/>
      <c r="Z32" s="1"/>
      <c r="AA32" s="1"/>
      <c r="AB32" s="1"/>
      <c r="AD32" s="7"/>
      <c r="AG32" s="199"/>
    </row>
    <row r="33" spans="1:37" ht="15" customHeight="1">
      <c r="B33" s="2167" t="s">
        <v>181</v>
      </c>
      <c r="C33" s="2168"/>
      <c r="D33" s="2168"/>
      <c r="E33" s="2168"/>
      <c r="F33" s="2168"/>
      <c r="G33" s="2168"/>
      <c r="H33" s="2168"/>
      <c r="I33" s="2168"/>
      <c r="J33" s="2168"/>
      <c r="K33" s="2168"/>
      <c r="L33" s="2168"/>
      <c r="M33" s="2169"/>
      <c r="P33" s="327" t="s">
        <v>737</v>
      </c>
      <c r="Q33" s="329">
        <f>Q32/'AHU IU1'!$H$7</f>
        <v>12.113451428571429</v>
      </c>
      <c r="R33" s="331">
        <f>((('AHU IU1'!$D$2-40)/1000*('AHU IU1'!$E$2-40)/1000)*2+((('AHU IU1'!$D$2-40)/1000*('AHU IU1'!$F$2-40)/1000)*2)+(('AHU IU1'!$E$2-40)/1000*('AHU IU1'!$F$2-40)/1000)*2)</f>
        <v>26.209799999999994</v>
      </c>
      <c r="S33" s="1"/>
      <c r="T33" s="1"/>
      <c r="U33" s="1"/>
      <c r="V33" s="1"/>
      <c r="W33" s="1"/>
      <c r="X33" s="1">
        <f>1.8*0.4</f>
        <v>0.72000000000000008</v>
      </c>
      <c r="Y33" s="239" t="s">
        <v>214</v>
      </c>
      <c r="Z33" s="1"/>
      <c r="AA33" s="1"/>
      <c r="AB33" s="1"/>
      <c r="AD33" s="7"/>
      <c r="AG33" s="199"/>
    </row>
    <row r="34" spans="1:37" ht="15">
      <c r="B34" s="208">
        <v>22</v>
      </c>
      <c r="C34" s="209" t="s">
        <v>1947</v>
      </c>
      <c r="D34" s="208" t="s">
        <v>43</v>
      </c>
      <c r="E34" s="226">
        <v>1</v>
      </c>
      <c r="F34" s="217" t="s">
        <v>46</v>
      </c>
      <c r="G34" s="228">
        <v>80</v>
      </c>
      <c r="H34" s="211">
        <f t="shared" ref="H34" si="7">IF(F34="Rp",1/$H$7,1)</f>
        <v>1</v>
      </c>
      <c r="I34" s="212">
        <v>1.5</v>
      </c>
      <c r="J34" s="213">
        <v>1</v>
      </c>
      <c r="K34" s="214">
        <f t="shared" ref="K34" si="8">+G34*H34*I34*J34</f>
        <v>120</v>
      </c>
      <c r="L34" s="215">
        <f t="shared" ref="L34" si="9">+E34*K34</f>
        <v>120</v>
      </c>
      <c r="M34" s="216">
        <f>L34*16500</f>
        <v>1980000</v>
      </c>
      <c r="P34" s="328"/>
      <c r="Q34" s="329">
        <f>((0.45/1000*7860*30200)+(0.4/1000*7860*22000)+(15/1000*48*50000))*1</f>
        <v>211985.4</v>
      </c>
      <c r="R34" s="330"/>
      <c r="S34" s="1"/>
      <c r="T34" s="1"/>
      <c r="U34" s="1"/>
      <c r="V34" s="1"/>
      <c r="W34" s="1"/>
      <c r="X34" s="235">
        <f>715000/X33</f>
        <v>993055.55555555539</v>
      </c>
      <c r="Y34" s="239" t="s">
        <v>215</v>
      </c>
      <c r="Z34" s="1"/>
      <c r="AA34" s="1"/>
      <c r="AB34" s="1"/>
      <c r="AD34" s="7"/>
      <c r="AG34" s="199"/>
    </row>
    <row r="35" spans="1:37" ht="15">
      <c r="B35" s="208">
        <v>23</v>
      </c>
      <c r="C35" s="209" t="s">
        <v>205</v>
      </c>
      <c r="D35" s="208" t="s">
        <v>43</v>
      </c>
      <c r="E35" s="226">
        <v>0</v>
      </c>
      <c r="F35" s="217" t="s">
        <v>38</v>
      </c>
      <c r="G35" s="228">
        <v>100000</v>
      </c>
      <c r="H35" s="211">
        <f>IF(F35="Rp",1/$H$7,1)</f>
        <v>5.7142857142857142E-5</v>
      </c>
      <c r="I35" s="212">
        <v>1</v>
      </c>
      <c r="J35" s="213">
        <v>1</v>
      </c>
      <c r="K35" s="214">
        <f>+G35*H35*I35*J35</f>
        <v>5.7142857142857144</v>
      </c>
      <c r="L35" s="215">
        <f>+E35*K35</f>
        <v>0</v>
      </c>
      <c r="M35" s="216">
        <f t="shared" ref="M35:M36" si="10">L35*16500</f>
        <v>0</v>
      </c>
      <c r="N35" s="3"/>
      <c r="O35" s="1"/>
      <c r="P35" s="327" t="s">
        <v>738</v>
      </c>
      <c r="Q35" s="329">
        <f>Q34/'AHU IU1'!$H$7</f>
        <v>12.113451428571429</v>
      </c>
      <c r="R35" s="331">
        <f>((('AHU IU1'!$D$2-40)/1000*('AHU IU1'!$E$2-40)/1000)*2+((('AHU IU1'!$D$2-40)/1000*('AHU IU1'!$F$2-40)/1000)*2)+(('AHU IU1'!$E$2-40)/1000*('AHU IU1'!$F$2-40)/1000)*2)</f>
        <v>26.209799999999994</v>
      </c>
      <c r="S35" s="1"/>
      <c r="T35" s="1"/>
      <c r="U35" s="1"/>
      <c r="V35" s="1"/>
      <c r="W35" s="1"/>
      <c r="Y35" s="1"/>
      <c r="Z35" s="1"/>
      <c r="AA35" s="1"/>
      <c r="AB35" s="1"/>
      <c r="AD35" s="7"/>
      <c r="AG35" s="199"/>
    </row>
    <row r="36" spans="1:37" ht="15">
      <c r="B36" s="208">
        <v>24</v>
      </c>
      <c r="C36" s="209" t="s">
        <v>52</v>
      </c>
      <c r="D36" s="208" t="s">
        <v>43</v>
      </c>
      <c r="E36" s="226">
        <v>0</v>
      </c>
      <c r="F36" s="217" t="s">
        <v>38</v>
      </c>
      <c r="G36" s="228">
        <v>0</v>
      </c>
      <c r="H36" s="211">
        <f>IF(F36="Rp",1/$H$7,1)</f>
        <v>5.7142857142857142E-5</v>
      </c>
      <c r="I36" s="212">
        <v>1</v>
      </c>
      <c r="J36" s="213">
        <v>1</v>
      </c>
      <c r="K36" s="214">
        <f>+G36*H36*I36*J36</f>
        <v>0</v>
      </c>
      <c r="L36" s="215">
        <f>+E36*K36</f>
        <v>0</v>
      </c>
      <c r="M36" s="216">
        <f t="shared" si="10"/>
        <v>0</v>
      </c>
      <c r="N36" s="3"/>
      <c r="O36" s="1"/>
      <c r="P36" s="328"/>
      <c r="Q36" s="329">
        <f>((0.45/1000*7860*30200)+(0.4/1000*7860*22000)+(15/1000*48*50000))*1</f>
        <v>211985.4</v>
      </c>
      <c r="R36" s="330"/>
      <c r="S36" s="1"/>
      <c r="T36" s="1"/>
      <c r="U36" s="1"/>
      <c r="V36" s="1"/>
      <c r="W36" s="1"/>
      <c r="Y36" s="1"/>
      <c r="Z36" s="1"/>
      <c r="AA36" s="1"/>
      <c r="AB36" s="1"/>
      <c r="AD36" s="7"/>
      <c r="AG36" s="199"/>
    </row>
    <row r="37" spans="1:37" ht="15" customHeight="1">
      <c r="B37" s="2167" t="s">
        <v>182</v>
      </c>
      <c r="C37" s="2168"/>
      <c r="D37" s="2168"/>
      <c r="E37" s="2168"/>
      <c r="F37" s="2168"/>
      <c r="G37" s="2168"/>
      <c r="H37" s="2168"/>
      <c r="I37" s="2168"/>
      <c r="J37" s="2168"/>
      <c r="K37" s="2168"/>
      <c r="L37" s="2168"/>
      <c r="M37" s="2169"/>
      <c r="N37" s="3"/>
      <c r="O37" s="1"/>
      <c r="P37" s="327" t="s">
        <v>739</v>
      </c>
      <c r="Q37" s="329">
        <f>Q36/'AHU IU1'!$H$7</f>
        <v>12.113451428571429</v>
      </c>
      <c r="R37" s="331">
        <f>((('AHU IU1'!$D$2-80)/1000*('AHU IU1'!$E$2-80)/1000)*2+((('AHU IU1'!$D$2-80)/1000*('AHU IU1'!$F$2-80)/1000)*2)+(('AHU IU1'!$E$2-80)/1000*('AHU IU1'!$F$2-80)/1000)*2)</f>
        <v>25.182600000000001</v>
      </c>
      <c r="S37" s="1"/>
      <c r="T37" s="1"/>
      <c r="U37" s="1"/>
      <c r="V37" s="1"/>
      <c r="W37" s="1"/>
      <c r="Y37" s="1"/>
      <c r="Z37" s="1"/>
      <c r="AA37" s="1"/>
      <c r="AB37" s="1"/>
      <c r="AD37" s="7"/>
      <c r="AG37" s="199"/>
    </row>
    <row r="38" spans="1:37" ht="15.75">
      <c r="A38" s="2" t="s">
        <v>1005</v>
      </c>
      <c r="B38" s="208">
        <v>25</v>
      </c>
      <c r="C38" s="361" t="s">
        <v>931</v>
      </c>
      <c r="D38" s="208" t="s">
        <v>43</v>
      </c>
      <c r="E38" s="226">
        <v>1</v>
      </c>
      <c r="F38" s="210" t="s">
        <v>46</v>
      </c>
      <c r="G38" s="1782">
        <f>VLOOKUP(C38,Master!J8:K283,2,0)</f>
        <v>257</v>
      </c>
      <c r="H38" s="211">
        <f t="shared" ref="H38:H48" si="11">IF(F38="Rp",1/$H$7,1)</f>
        <v>1</v>
      </c>
      <c r="I38" s="212">
        <v>2.5</v>
      </c>
      <c r="J38" s="213">
        <v>1</v>
      </c>
      <c r="K38" s="214">
        <f>+G38*H38*I38*J38</f>
        <v>642.5</v>
      </c>
      <c r="L38" s="215">
        <f t="shared" ref="L38:L48" si="12">+E38*K38</f>
        <v>642.5</v>
      </c>
      <c r="M38" s="216">
        <f>L38*16500</f>
        <v>10601250</v>
      </c>
      <c r="N38" s="359">
        <f>VLOOKUP(C38,Master!$J$8:$L$283,3,0)</f>
        <v>57</v>
      </c>
      <c r="O38" s="236"/>
      <c r="P38" s="328"/>
      <c r="Q38" s="329">
        <f>((0.45/1000*7860*30200)+(0.4/1000*7860*22000)+(15/1000*48*50000))*1</f>
        <v>211985.4</v>
      </c>
      <c r="R38" s="330"/>
      <c r="S38" s="236"/>
      <c r="T38" s="236"/>
      <c r="U38" s="236"/>
      <c r="V38" s="201"/>
    </row>
    <row r="39" spans="1:37" ht="15">
      <c r="B39" s="208">
        <v>26</v>
      </c>
      <c r="C39" s="1492" t="s">
        <v>687</v>
      </c>
      <c r="D39" s="208" t="s">
        <v>43</v>
      </c>
      <c r="E39" s="226">
        <v>1</v>
      </c>
      <c r="F39" s="210" t="s">
        <v>46</v>
      </c>
      <c r="G39" s="228">
        <f>VLOOKUP(C39,Master!$F$2:$G$67,2,0)</f>
        <v>362.9</v>
      </c>
      <c r="H39" s="211">
        <f t="shared" si="11"/>
        <v>1</v>
      </c>
      <c r="I39" s="212">
        <v>2</v>
      </c>
      <c r="J39" s="213">
        <v>1.2</v>
      </c>
      <c r="K39" s="214">
        <f t="shared" ref="K39:K48" si="13">+G39*H39*I39*J39</f>
        <v>870.95999999999992</v>
      </c>
      <c r="L39" s="215">
        <f t="shared" si="12"/>
        <v>870.95999999999992</v>
      </c>
      <c r="M39" s="216">
        <f t="shared" ref="M39:M48" si="14">L39*16500</f>
        <v>14370839.999999998</v>
      </c>
      <c r="N39" s="1"/>
      <c r="O39" s="240"/>
      <c r="P39" s="327" t="s">
        <v>740</v>
      </c>
      <c r="Q39" s="329">
        <f>Q38/'AHU IU1'!$H$7</f>
        <v>12.113451428571429</v>
      </c>
      <c r="R39" s="331">
        <f>((('AHU IU1'!$D$2-80)/1000*('AHU IU1'!$E$2-80)/1000)*2+((('AHU IU1'!$D$2-80)/1000*('AHU IU1'!$F$2-80)/1000)*2)+(('AHU IU1'!$E$2-80)/1000*('AHU IU1'!$F$2-80)/1000)*2)</f>
        <v>25.182600000000001</v>
      </c>
      <c r="S39" s="240"/>
      <c r="T39" s="240"/>
      <c r="U39" s="240"/>
    </row>
    <row r="40" spans="1:37">
      <c r="A40" s="2" t="s">
        <v>245</v>
      </c>
      <c r="B40" s="208">
        <v>27</v>
      </c>
      <c r="C40" s="311" t="s">
        <v>411</v>
      </c>
      <c r="D40" s="208" t="s">
        <v>43</v>
      </c>
      <c r="E40" s="226">
        <v>1</v>
      </c>
      <c r="F40" s="217" t="s">
        <v>38</v>
      </c>
      <c r="G40" s="230">
        <f>VLOOKUP(C40,Master!$A$29:$B$436,2,0)</f>
        <v>1720000</v>
      </c>
      <c r="H40" s="211">
        <f t="shared" si="11"/>
        <v>5.7142857142857142E-5</v>
      </c>
      <c r="I40" s="212">
        <v>1</v>
      </c>
      <c r="J40" s="213">
        <v>1</v>
      </c>
      <c r="K40" s="214">
        <f t="shared" si="13"/>
        <v>98.285714285714278</v>
      </c>
      <c r="L40" s="215">
        <f t="shared" si="12"/>
        <v>98.285714285714278</v>
      </c>
      <c r="M40" s="216">
        <f t="shared" si="14"/>
        <v>1621714.2857142857</v>
      </c>
      <c r="N40" s="1"/>
      <c r="P40" s="328"/>
      <c r="Q40" s="329">
        <f>((0.45/1000*7860*30200)+(0.4/1000*7860*22000)+(25/1000*48*50000))*1</f>
        <v>235985.4</v>
      </c>
      <c r="R40" s="329"/>
    </row>
    <row r="41" spans="1:37" ht="14.25">
      <c r="A41" s="2" t="s">
        <v>246</v>
      </c>
      <c r="B41" s="208">
        <v>28</v>
      </c>
      <c r="C41" s="311" t="s">
        <v>405</v>
      </c>
      <c r="D41" s="208" t="s">
        <v>43</v>
      </c>
      <c r="E41" s="226">
        <v>1</v>
      </c>
      <c r="F41" s="217" t="s">
        <v>38</v>
      </c>
      <c r="G41" s="230">
        <f>VLOOKUP(C41,Master!$A$29:$B$436,2,0)</f>
        <v>910000</v>
      </c>
      <c r="H41" s="211">
        <f t="shared" si="11"/>
        <v>5.7142857142857142E-5</v>
      </c>
      <c r="I41" s="212">
        <v>1</v>
      </c>
      <c r="J41" s="213">
        <v>1</v>
      </c>
      <c r="K41" s="214">
        <f t="shared" si="13"/>
        <v>52</v>
      </c>
      <c r="L41" s="215">
        <f t="shared" si="12"/>
        <v>52</v>
      </c>
      <c r="M41" s="216">
        <f t="shared" si="14"/>
        <v>858000</v>
      </c>
      <c r="N41" s="1"/>
      <c r="P41" s="327" t="s">
        <v>741</v>
      </c>
      <c r="Q41" s="329">
        <f>Q40/'AHU IU1'!$H$7</f>
        <v>13.48488</v>
      </c>
      <c r="R41" s="331">
        <f>((('AHU IU1'!$D$2-82)/1000*('AHU IU1'!$E$2-82)/1000)*2+((('AHU IU1'!$D$2-82)/1000*('AHU IU1'!$F$2-82)/1000)*2)+(('AHU IU1'!$E$2-82)/1000*('AHU IU1'!$F$2-82)/1000)*2)</f>
        <v>25.131744000000001</v>
      </c>
    </row>
    <row r="42" spans="1:37" ht="15">
      <c r="B42" s="208">
        <v>29</v>
      </c>
      <c r="C42" s="312" t="s">
        <v>226</v>
      </c>
      <c r="D42" s="208" t="s">
        <v>43</v>
      </c>
      <c r="E42" s="226">
        <v>1</v>
      </c>
      <c r="F42" s="217" t="s">
        <v>38</v>
      </c>
      <c r="G42" s="230">
        <f>VLOOKUP(C42,Master!$A$4:$B$22,2,0)/2</f>
        <v>330000</v>
      </c>
      <c r="H42" s="211">
        <f t="shared" si="11"/>
        <v>5.7142857142857142E-5</v>
      </c>
      <c r="I42" s="212">
        <v>1</v>
      </c>
      <c r="J42" s="213">
        <v>1</v>
      </c>
      <c r="K42" s="214">
        <f t="shared" si="13"/>
        <v>18.857142857142858</v>
      </c>
      <c r="L42" s="215">
        <f t="shared" si="12"/>
        <v>18.857142857142858</v>
      </c>
      <c r="M42" s="216">
        <f t="shared" si="14"/>
        <v>311142.85714285716</v>
      </c>
      <c r="N42" s="1"/>
      <c r="P42" s="328"/>
      <c r="Q42" s="329">
        <f>((0.45/1000*7860*30200)+(0.4/1000*7860*22000)+(25/1000*48*50000))*1</f>
        <v>235985.4</v>
      </c>
      <c r="R42" s="329"/>
      <c r="AJ42"/>
      <c r="AK42"/>
    </row>
    <row r="43" spans="1:37" ht="14.25">
      <c r="B43" s="208">
        <v>30</v>
      </c>
      <c r="C43" s="312" t="s">
        <v>225</v>
      </c>
      <c r="D43" s="208" t="s">
        <v>43</v>
      </c>
      <c r="E43" s="226">
        <v>1</v>
      </c>
      <c r="F43" s="217" t="s">
        <v>38</v>
      </c>
      <c r="G43" s="230">
        <f>VLOOKUP(C43,Master!$A$4:$B$22,2,0)/2</f>
        <v>185000</v>
      </c>
      <c r="H43" s="211">
        <f t="shared" si="11"/>
        <v>5.7142857142857142E-5</v>
      </c>
      <c r="I43" s="212">
        <v>1</v>
      </c>
      <c r="J43" s="213">
        <v>1</v>
      </c>
      <c r="K43" s="214">
        <f t="shared" si="13"/>
        <v>10.571428571428571</v>
      </c>
      <c r="L43" s="215">
        <f t="shared" si="12"/>
        <v>10.571428571428571</v>
      </c>
      <c r="M43" s="216">
        <f t="shared" si="14"/>
        <v>174428.57142857142</v>
      </c>
      <c r="N43" s="1"/>
      <c r="P43" s="327" t="s">
        <v>742</v>
      </c>
      <c r="Q43" s="329">
        <f>Q42/'AHU IU1'!$H$7</f>
        <v>13.48488</v>
      </c>
      <c r="R43" s="331">
        <f>((('AHU IU1'!$D$2-82)/1000*('AHU IU1'!$E$2-82)/1000)*2+((('AHU IU1'!$D$2-82)/1000*('AHU IU1'!$F$2-82)/1000)*2)+(('AHU IU1'!$E$2-82)/1000*('AHU IU1'!$F$2-82)/1000)*2)</f>
        <v>25.131744000000001</v>
      </c>
    </row>
    <row r="44" spans="1:37">
      <c r="B44" s="208">
        <v>31</v>
      </c>
      <c r="C44" s="209" t="s">
        <v>1946</v>
      </c>
      <c r="D44" s="208" t="s">
        <v>43</v>
      </c>
      <c r="E44" s="226">
        <v>2</v>
      </c>
      <c r="F44" s="217" t="s">
        <v>46</v>
      </c>
      <c r="G44" s="228">
        <v>20</v>
      </c>
      <c r="H44" s="211">
        <f t="shared" si="11"/>
        <v>1</v>
      </c>
      <c r="I44" s="212">
        <v>1</v>
      </c>
      <c r="J44" s="213">
        <v>1</v>
      </c>
      <c r="K44" s="214">
        <f t="shared" si="13"/>
        <v>20</v>
      </c>
      <c r="L44" s="215">
        <f t="shared" si="12"/>
        <v>40</v>
      </c>
      <c r="M44" s="216">
        <f t="shared" si="14"/>
        <v>660000</v>
      </c>
      <c r="N44" s="1"/>
      <c r="P44" s="328"/>
      <c r="Q44" s="329">
        <f>((0.45/1000*7860*32200)+(0.4/1000*7860*24000)+(50/1000*48*50000))*1</f>
        <v>309347.40000000002</v>
      </c>
      <c r="R44" s="330"/>
    </row>
    <row r="45" spans="1:37" ht="14.25">
      <c r="B45" s="208">
        <v>32</v>
      </c>
      <c r="C45" s="209" t="s">
        <v>53</v>
      </c>
      <c r="D45" s="208" t="s">
        <v>43</v>
      </c>
      <c r="E45" s="226">
        <v>0</v>
      </c>
      <c r="F45" s="217" t="s">
        <v>38</v>
      </c>
      <c r="G45" s="228">
        <v>70000</v>
      </c>
      <c r="H45" s="211">
        <f t="shared" si="11"/>
        <v>5.7142857142857142E-5</v>
      </c>
      <c r="I45" s="212">
        <v>1</v>
      </c>
      <c r="J45" s="213">
        <v>1</v>
      </c>
      <c r="K45" s="214">
        <f t="shared" si="13"/>
        <v>4</v>
      </c>
      <c r="L45" s="215">
        <f t="shared" si="12"/>
        <v>0</v>
      </c>
      <c r="M45" s="216">
        <f t="shared" si="14"/>
        <v>0</v>
      </c>
      <c r="N45" s="1"/>
      <c r="P45" s="327" t="s">
        <v>736</v>
      </c>
      <c r="Q45" s="329">
        <f>Q44/'AHU IU1'!$H$7</f>
        <v>17.676994285714287</v>
      </c>
      <c r="R45" s="331">
        <f>((('AHU IU1'!$D$2-134)/1000*('AHU IU1'!$E$2-134)/1000)*2+((('AHU IU1'!$D$2-134)/1000*('AHU IU1'!$F$2-134)/1000)*2)+(('AHU IU1'!$E$2-134)/1000*('AHU IU1'!$F$2-134)/1000)*2)</f>
        <v>23.826335999999998</v>
      </c>
    </row>
    <row r="46" spans="1:37">
      <c r="B46" s="208">
        <v>33</v>
      </c>
      <c r="C46" s="209" t="s">
        <v>62</v>
      </c>
      <c r="D46" s="208" t="s">
        <v>43</v>
      </c>
      <c r="E46" s="226">
        <v>0</v>
      </c>
      <c r="F46" s="217" t="s">
        <v>46</v>
      </c>
      <c r="G46" s="231">
        <v>6</v>
      </c>
      <c r="H46" s="211">
        <f t="shared" si="11"/>
        <v>1</v>
      </c>
      <c r="I46" s="212">
        <v>1.5</v>
      </c>
      <c r="J46" s="213">
        <v>1</v>
      </c>
      <c r="K46" s="214">
        <f t="shared" si="13"/>
        <v>9</v>
      </c>
      <c r="L46" s="215">
        <f t="shared" si="12"/>
        <v>0</v>
      </c>
      <c r="M46" s="216">
        <f t="shared" si="14"/>
        <v>0</v>
      </c>
      <c r="N46" s="1"/>
      <c r="P46" s="328"/>
      <c r="Q46" s="329">
        <f>((0.45/1000*7860*30200)+(0.4/1000*7860*22000)+(50/1000*48*50000))*1</f>
        <v>295985.40000000002</v>
      </c>
      <c r="R46" s="330"/>
    </row>
    <row r="47" spans="1:37" ht="14.25">
      <c r="B47" s="208">
        <v>34</v>
      </c>
      <c r="C47" s="209" t="s">
        <v>60</v>
      </c>
      <c r="D47" s="208" t="s">
        <v>43</v>
      </c>
      <c r="E47" s="226">
        <v>0</v>
      </c>
      <c r="F47" s="217" t="s">
        <v>46</v>
      </c>
      <c r="G47" s="228">
        <v>54</v>
      </c>
      <c r="H47" s="211">
        <f t="shared" si="11"/>
        <v>1</v>
      </c>
      <c r="I47" s="212">
        <v>1</v>
      </c>
      <c r="J47" s="213">
        <v>1</v>
      </c>
      <c r="K47" s="214">
        <f t="shared" si="13"/>
        <v>54</v>
      </c>
      <c r="L47" s="215">
        <f t="shared" si="12"/>
        <v>0</v>
      </c>
      <c r="M47" s="216">
        <f t="shared" si="14"/>
        <v>0</v>
      </c>
      <c r="N47" s="1"/>
      <c r="P47" s="327" t="s">
        <v>743</v>
      </c>
      <c r="Q47" s="329">
        <f>Q46/'AHU IU1'!$H$7</f>
        <v>16.913451428571431</v>
      </c>
      <c r="R47" s="331">
        <f>((('AHU IU1'!$D$2-134)/1000*('AHU IU1'!$E$2-134)/1000)*2+((('AHU IU1'!$D$2-134)/1000*('AHU IU1'!$F$2-134)/1000)*2)+(('AHU IU1'!$E$2-134)/1000*('AHU IU1'!$F$2-134)/1000)*2)</f>
        <v>23.826335999999998</v>
      </c>
    </row>
    <row r="48" spans="1:37">
      <c r="B48" s="208">
        <v>35</v>
      </c>
      <c r="C48" s="209" t="s">
        <v>61</v>
      </c>
      <c r="D48" s="208" t="s">
        <v>43</v>
      </c>
      <c r="E48" s="226">
        <v>4</v>
      </c>
      <c r="F48" s="217" t="s">
        <v>38</v>
      </c>
      <c r="G48" s="228">
        <v>250000</v>
      </c>
      <c r="H48" s="211">
        <f t="shared" si="11"/>
        <v>5.7142857142857142E-5</v>
      </c>
      <c r="I48" s="212">
        <v>1</v>
      </c>
      <c r="J48" s="213">
        <v>1</v>
      </c>
      <c r="K48" s="214">
        <f t="shared" si="13"/>
        <v>14.285714285714285</v>
      </c>
      <c r="L48" s="215">
        <f t="shared" si="12"/>
        <v>57.142857142857139</v>
      </c>
      <c r="M48" s="216">
        <f t="shared" si="14"/>
        <v>942857.14285714284</v>
      </c>
      <c r="N48" s="1"/>
      <c r="P48" s="328"/>
      <c r="Q48" s="329">
        <f>((0.45/1000*7860*30200)+(0.4/1000*7860*22000)+(50/1000*48*50000))*1</f>
        <v>295985.40000000002</v>
      </c>
      <c r="R48" s="330"/>
    </row>
    <row r="49" spans="2:18" ht="12.75" customHeight="1">
      <c r="B49" s="2167" t="s">
        <v>183</v>
      </c>
      <c r="C49" s="2168"/>
      <c r="D49" s="2168"/>
      <c r="E49" s="2168"/>
      <c r="F49" s="2168"/>
      <c r="G49" s="2168"/>
      <c r="H49" s="2168"/>
      <c r="I49" s="2168"/>
      <c r="J49" s="2168"/>
      <c r="K49" s="2168"/>
      <c r="L49" s="2168"/>
      <c r="M49" s="2169"/>
      <c r="N49" s="1"/>
      <c r="P49" s="327" t="s">
        <v>744</v>
      </c>
      <c r="Q49" s="329">
        <f>Q48/'AHU IU1'!$H$7</f>
        <v>16.913451428571431</v>
      </c>
      <c r="R49" s="331">
        <f>((('AHU IU1'!$D$2-117)/1000*('AHU IU1'!$E$2-117)/1000)*2+((('AHU IU1'!$D$2-117)/1000*('AHU IU1'!$F$2-117)/1000)*2)+(('AHU IU1'!$E$2-117)/1000*('AHU IU1'!$F$2-117)/1000)*2)</f>
        <v>24.249533999999997</v>
      </c>
    </row>
    <row r="50" spans="2:18">
      <c r="B50" s="208">
        <v>36</v>
      </c>
      <c r="C50" s="209" t="s">
        <v>2609</v>
      </c>
      <c r="D50" s="208" t="s">
        <v>43</v>
      </c>
      <c r="E50" s="226">
        <v>2</v>
      </c>
      <c r="F50" s="217" t="s">
        <v>38</v>
      </c>
      <c r="G50" s="228">
        <v>209500</v>
      </c>
      <c r="H50" s="211">
        <f t="shared" ref="H50:H59" si="15">IF(F50="Rp",1/$H$7,1)</f>
        <v>5.7142857142857142E-5</v>
      </c>
      <c r="I50" s="212">
        <v>1</v>
      </c>
      <c r="J50" s="213">
        <v>1</v>
      </c>
      <c r="K50" s="214">
        <f t="shared" ref="K50:K59" si="16">+G50*H50*I50*J50</f>
        <v>11.971428571428572</v>
      </c>
      <c r="L50" s="215">
        <f t="shared" ref="L50:L59" si="17">+E50*K50</f>
        <v>23.942857142857143</v>
      </c>
      <c r="M50" s="216">
        <f>L50*16500</f>
        <v>395057.14285714284</v>
      </c>
      <c r="N50" s="1"/>
      <c r="P50" s="328"/>
      <c r="Q50" s="329">
        <f>((0.45/1000*7860*30200)+(0.4/1000*7860*22000)+(50/1000*48*50000))*1</f>
        <v>295985.40000000002</v>
      </c>
      <c r="R50" s="330"/>
    </row>
    <row r="51" spans="2:18" ht="14.25">
      <c r="B51" s="208">
        <v>37</v>
      </c>
      <c r="C51" s="209" t="s">
        <v>2585</v>
      </c>
      <c r="D51" s="208" t="s">
        <v>43</v>
      </c>
      <c r="E51" s="226">
        <v>3</v>
      </c>
      <c r="F51" s="217" t="s">
        <v>38</v>
      </c>
      <c r="G51" s="228">
        <v>130000</v>
      </c>
      <c r="H51" s="211">
        <f t="shared" si="15"/>
        <v>5.7142857142857142E-5</v>
      </c>
      <c r="I51" s="212">
        <v>1</v>
      </c>
      <c r="J51" s="213">
        <v>1</v>
      </c>
      <c r="K51" s="214">
        <f t="shared" si="16"/>
        <v>7.4285714285714288</v>
      </c>
      <c r="L51" s="215">
        <f t="shared" si="17"/>
        <v>22.285714285714285</v>
      </c>
      <c r="M51" s="216">
        <f t="shared" ref="M51:M59" si="18">L51*16500</f>
        <v>367714.28571428568</v>
      </c>
      <c r="N51" s="1"/>
      <c r="P51" s="327" t="s">
        <v>745</v>
      </c>
      <c r="Q51" s="329">
        <f>Q50/'AHU IU1'!$H$7</f>
        <v>16.913451428571431</v>
      </c>
      <c r="R51" s="331">
        <f>((('AHU IU1'!$D$2-117)/1000*('AHU IU1'!$E$2-117)/1000)*2+((('AHU IU1'!$D$2-117)/1000*('AHU IU1'!$F$2-117)/1000)*2)+(('AHU IU1'!$E$2-117)/1000*('AHU IU1'!$F$2-117)/1000)*2)</f>
        <v>24.249533999999997</v>
      </c>
    </row>
    <row r="52" spans="2:18">
      <c r="B52" s="208">
        <v>38</v>
      </c>
      <c r="C52" s="209" t="s">
        <v>49</v>
      </c>
      <c r="D52" s="208" t="s">
        <v>43</v>
      </c>
      <c r="E52" s="226">
        <v>0</v>
      </c>
      <c r="F52" s="217" t="s">
        <v>38</v>
      </c>
      <c r="G52" s="228">
        <v>74500</v>
      </c>
      <c r="H52" s="211">
        <f t="shared" si="15"/>
        <v>5.7142857142857142E-5</v>
      </c>
      <c r="I52" s="212">
        <v>1</v>
      </c>
      <c r="J52" s="213">
        <v>1</v>
      </c>
      <c r="K52" s="214">
        <f t="shared" si="16"/>
        <v>4.2571428571428571</v>
      </c>
      <c r="L52" s="215">
        <f t="shared" si="17"/>
        <v>0</v>
      </c>
      <c r="M52" s="216">
        <f t="shared" si="18"/>
        <v>0</v>
      </c>
      <c r="N52" s="1"/>
      <c r="P52" s="332"/>
      <c r="Q52" s="333">
        <f>((0.5/1000*8000*59000)+(0.5/1000*8000*59000)+(25/1000*48*50000))*1</f>
        <v>532000</v>
      </c>
      <c r="R52" s="334"/>
    </row>
    <row r="53" spans="2:18" ht="14.25">
      <c r="B53" s="208">
        <v>39</v>
      </c>
      <c r="C53" s="209" t="s">
        <v>2628</v>
      </c>
      <c r="D53" s="208" t="s">
        <v>43</v>
      </c>
      <c r="E53" s="226">
        <v>0</v>
      </c>
      <c r="F53" s="217" t="s">
        <v>38</v>
      </c>
      <c r="G53" s="228">
        <v>654000</v>
      </c>
      <c r="H53" s="211">
        <f t="shared" si="15"/>
        <v>5.7142857142857142E-5</v>
      </c>
      <c r="I53" s="212">
        <v>1</v>
      </c>
      <c r="J53" s="213">
        <v>1</v>
      </c>
      <c r="K53" s="214">
        <f t="shared" si="16"/>
        <v>37.371428571428574</v>
      </c>
      <c r="L53" s="215">
        <f t="shared" si="17"/>
        <v>0</v>
      </c>
      <c r="M53" s="216">
        <f t="shared" si="18"/>
        <v>0</v>
      </c>
      <c r="N53" s="1"/>
      <c r="P53" s="335" t="s">
        <v>746</v>
      </c>
      <c r="Q53" s="333">
        <f>Q52/'AHU IU1'!$H$7</f>
        <v>30.4</v>
      </c>
      <c r="R53" s="336">
        <f>((('AHU IU1'!$D$2-100)/1000*('AHU IU1'!$E$2-100)/1000)*2+((('AHU IU1'!$D$2-100)/1000*('AHU IU1'!$F$2-100)/1000)*2)+(('AHU IU1'!$E$2-100)/1000*('AHU IU1'!$F$2-100)/1000)*2)</f>
        <v>24.676200000000001</v>
      </c>
    </row>
    <row r="54" spans="2:18">
      <c r="B54" s="208">
        <v>40</v>
      </c>
      <c r="C54" s="209" t="s">
        <v>156</v>
      </c>
      <c r="D54" s="208" t="s">
        <v>43</v>
      </c>
      <c r="E54" s="226">
        <v>0</v>
      </c>
      <c r="F54" s="217" t="s">
        <v>38</v>
      </c>
      <c r="G54" s="228">
        <v>489500</v>
      </c>
      <c r="H54" s="211">
        <f t="shared" si="15"/>
        <v>5.7142857142857142E-5</v>
      </c>
      <c r="I54" s="212">
        <v>1</v>
      </c>
      <c r="J54" s="213">
        <v>1</v>
      </c>
      <c r="K54" s="214">
        <f t="shared" si="16"/>
        <v>27.971428571428572</v>
      </c>
      <c r="L54" s="215">
        <f t="shared" si="17"/>
        <v>0</v>
      </c>
      <c r="M54" s="216">
        <f t="shared" si="18"/>
        <v>0</v>
      </c>
      <c r="N54" s="1"/>
      <c r="P54" s="332"/>
      <c r="Q54" s="333">
        <f>((0.5/1000*8000*59000)+(0.5/1000*8000*59000)+(25/1000*48*50000))*1</f>
        <v>532000</v>
      </c>
      <c r="R54" s="334"/>
    </row>
    <row r="55" spans="2:18" ht="14.25">
      <c r="B55" s="208">
        <v>41</v>
      </c>
      <c r="C55" s="209" t="s">
        <v>50</v>
      </c>
      <c r="D55" s="208" t="s">
        <v>43</v>
      </c>
      <c r="E55" s="226">
        <v>0</v>
      </c>
      <c r="F55" s="217" t="s">
        <v>38</v>
      </c>
      <c r="G55" s="228">
        <v>1500000</v>
      </c>
      <c r="H55" s="211">
        <f t="shared" si="15"/>
        <v>5.7142857142857142E-5</v>
      </c>
      <c r="I55" s="212">
        <v>1</v>
      </c>
      <c r="J55" s="213">
        <v>1</v>
      </c>
      <c r="K55" s="214">
        <f t="shared" si="16"/>
        <v>85.714285714285708</v>
      </c>
      <c r="L55" s="215">
        <f t="shared" si="17"/>
        <v>0</v>
      </c>
      <c r="M55" s="216">
        <f t="shared" si="18"/>
        <v>0</v>
      </c>
      <c r="N55" s="1"/>
      <c r="P55" s="335" t="s">
        <v>747</v>
      </c>
      <c r="Q55" s="333">
        <f>Q54/'AHU IU1'!$H$7</f>
        <v>30.4</v>
      </c>
      <c r="R55" s="336">
        <f>((('AHU IU1'!$D$2-100)/1000*('AHU IU1'!$E$2-100)/1000)*2+((('AHU IU1'!$D$2-100)/1000*('AHU IU1'!$F$2-100)/1000)*2)+(('AHU IU1'!$E$2-100)/1000*('AHU IU1'!$F$2-100)/1000)*2)</f>
        <v>24.676200000000001</v>
      </c>
    </row>
    <row r="56" spans="2:18">
      <c r="B56" s="208">
        <v>42</v>
      </c>
      <c r="C56" s="209" t="s">
        <v>51</v>
      </c>
      <c r="D56" s="208" t="s">
        <v>43</v>
      </c>
      <c r="E56" s="226">
        <v>0</v>
      </c>
      <c r="F56" s="217" t="s">
        <v>38</v>
      </c>
      <c r="G56" s="228">
        <v>1200000</v>
      </c>
      <c r="H56" s="211">
        <f t="shared" si="15"/>
        <v>5.7142857142857142E-5</v>
      </c>
      <c r="I56" s="212">
        <v>1</v>
      </c>
      <c r="J56" s="213">
        <v>1</v>
      </c>
      <c r="K56" s="214">
        <f t="shared" si="16"/>
        <v>68.571428571428569</v>
      </c>
      <c r="L56" s="215">
        <f t="shared" si="17"/>
        <v>0</v>
      </c>
      <c r="M56" s="216">
        <f t="shared" si="18"/>
        <v>0</v>
      </c>
      <c r="N56" s="1"/>
      <c r="P56" s="332"/>
      <c r="Q56" s="333">
        <f>((0.5/1000*8000*59000)+(0.5/1000*8000*59000)+(50/1000*48*50000))*1</f>
        <v>592000</v>
      </c>
      <c r="R56" s="334"/>
    </row>
    <row r="57" spans="2:18">
      <c r="B57" s="208">
        <v>43</v>
      </c>
      <c r="C57" s="209" t="s">
        <v>2587</v>
      </c>
      <c r="D57" s="208" t="s">
        <v>43</v>
      </c>
      <c r="E57" s="226">
        <v>0</v>
      </c>
      <c r="F57" s="217" t="s">
        <v>38</v>
      </c>
      <c r="G57" s="228">
        <v>500000</v>
      </c>
      <c r="H57" s="211">
        <f t="shared" si="15"/>
        <v>5.7142857142857142E-5</v>
      </c>
      <c r="I57" s="212">
        <v>1</v>
      </c>
      <c r="J57" s="213">
        <v>1</v>
      </c>
      <c r="K57" s="214">
        <f t="shared" si="16"/>
        <v>28.571428571428569</v>
      </c>
      <c r="L57" s="215">
        <f t="shared" si="17"/>
        <v>0</v>
      </c>
      <c r="M57" s="216">
        <f t="shared" si="18"/>
        <v>0</v>
      </c>
      <c r="N57" s="1"/>
      <c r="P57" s="332"/>
      <c r="Q57" s="333"/>
      <c r="R57" s="334"/>
    </row>
    <row r="58" spans="2:18" ht="14.25">
      <c r="B58" s="208">
        <v>44</v>
      </c>
      <c r="C58" s="209" t="s">
        <v>2586</v>
      </c>
      <c r="D58" s="208" t="s">
        <v>43</v>
      </c>
      <c r="E58" s="226">
        <v>0</v>
      </c>
      <c r="F58" s="217" t="s">
        <v>38</v>
      </c>
      <c r="G58" s="228">
        <v>350000</v>
      </c>
      <c r="H58" s="211">
        <f t="shared" si="15"/>
        <v>5.7142857142857142E-5</v>
      </c>
      <c r="I58" s="212">
        <v>1</v>
      </c>
      <c r="J58" s="213">
        <v>1</v>
      </c>
      <c r="K58" s="214">
        <f t="shared" si="16"/>
        <v>20</v>
      </c>
      <c r="L58" s="215">
        <f t="shared" si="17"/>
        <v>0</v>
      </c>
      <c r="M58" s="216">
        <f t="shared" si="18"/>
        <v>0</v>
      </c>
      <c r="N58" s="1"/>
      <c r="P58" s="335" t="s">
        <v>748</v>
      </c>
      <c r="Q58" s="333">
        <f>Q56/'AHU IU1'!$H$7</f>
        <v>33.828571428571429</v>
      </c>
      <c r="R58" s="336">
        <f>((('AHU IU1'!$D$2-130)/1000*('AHU IU1'!$E$2-130)/1000)*2+((('AHU IU1'!$D$2-130)/1000*('AHU IU1'!$F$2-130)/1000)*2)+(('AHU IU1'!$E$2-130)/1000*('AHU IU1'!$F$2-130)/1000)*2)</f>
        <v>23.925599999999999</v>
      </c>
    </row>
    <row r="59" spans="2:18">
      <c r="B59" s="208">
        <v>45</v>
      </c>
      <c r="C59" s="209" t="s">
        <v>184</v>
      </c>
      <c r="D59" s="208" t="s">
        <v>48</v>
      </c>
      <c r="E59" s="226">
        <v>1</v>
      </c>
      <c r="F59" s="217" t="s">
        <v>38</v>
      </c>
      <c r="G59" s="228">
        <v>1000000</v>
      </c>
      <c r="H59" s="211">
        <f t="shared" si="15"/>
        <v>5.7142857142857142E-5</v>
      </c>
      <c r="I59" s="212">
        <v>1</v>
      </c>
      <c r="J59" s="213">
        <v>1</v>
      </c>
      <c r="K59" s="214">
        <f t="shared" si="16"/>
        <v>57.142857142857139</v>
      </c>
      <c r="L59" s="215">
        <f t="shared" si="17"/>
        <v>57.142857142857139</v>
      </c>
      <c r="M59" s="216">
        <f t="shared" si="18"/>
        <v>942857.14285714284</v>
      </c>
      <c r="N59" s="1"/>
      <c r="P59" s="332"/>
      <c r="Q59" s="333">
        <f>((0.5/1000*8000*59000)+(0.5/1000*8000*59000)+(50/1000*48*50000))*1</f>
        <v>592000</v>
      </c>
      <c r="R59" s="334"/>
    </row>
    <row r="60" spans="2:18" ht="12.75" customHeight="1">
      <c r="B60" s="2167" t="s">
        <v>185</v>
      </c>
      <c r="C60" s="2168"/>
      <c r="D60" s="2168"/>
      <c r="E60" s="2168"/>
      <c r="F60" s="2168"/>
      <c r="G60" s="2168"/>
      <c r="H60" s="2168"/>
      <c r="I60" s="2168"/>
      <c r="J60" s="2168"/>
      <c r="K60" s="2168"/>
      <c r="L60" s="2168"/>
      <c r="M60" s="2169"/>
      <c r="N60" s="1"/>
      <c r="P60" s="335" t="s">
        <v>749</v>
      </c>
      <c r="Q60" s="333">
        <f>Q59/'AHU IU1'!$H$7</f>
        <v>33.828571428571429</v>
      </c>
      <c r="R60" s="336">
        <f>((('AHU IU1'!$D$2-130)/1000*('AHU IU1'!$E$2-130)/1000)*2+((('AHU IU1'!$D$2-130)/1000*('AHU IU1'!$F$2-130)/1000)*2)+(('AHU IU1'!$E$2-130)/1000*('AHU IU1'!$F$2-130)/1000)*2)</f>
        <v>23.925599999999999</v>
      </c>
    </row>
    <row r="61" spans="2:18">
      <c r="B61" s="208">
        <v>45</v>
      </c>
      <c r="C61" s="209" t="s">
        <v>204</v>
      </c>
      <c r="D61" s="208" t="s">
        <v>63</v>
      </c>
      <c r="E61" s="227">
        <v>1</v>
      </c>
      <c r="F61" s="218" t="s">
        <v>38</v>
      </c>
      <c r="G61" s="231">
        <f>'CoilCost 20251027'!R313</f>
        <v>19388613.51584525</v>
      </c>
      <c r="H61" s="211">
        <f>IF(F61="Rp",1/$H$7,1)</f>
        <v>5.7142857142857142E-5</v>
      </c>
      <c r="I61" s="212">
        <v>1</v>
      </c>
      <c r="J61" s="213">
        <v>1</v>
      </c>
      <c r="K61" s="214">
        <f>+G61*H61*I61*J61</f>
        <v>1107.9207723340144</v>
      </c>
      <c r="L61" s="219">
        <f>+E61*K61</f>
        <v>1107.9207723340144</v>
      </c>
      <c r="M61" s="216">
        <f>L61*16500</f>
        <v>18280692.743511237</v>
      </c>
      <c r="N61" s="1"/>
      <c r="P61" s="332"/>
      <c r="Q61" s="333">
        <f>((0.5/1000*8000*59000)+(0.5/1000*8000*59000)+(25/1000*48*50000))*1</f>
        <v>532000</v>
      </c>
      <c r="R61" s="334"/>
    </row>
    <row r="62" spans="2:18" ht="14.25">
      <c r="B62" s="208">
        <v>46</v>
      </c>
      <c r="C62" s="209" t="s">
        <v>147</v>
      </c>
      <c r="D62" s="208" t="s">
        <v>145</v>
      </c>
      <c r="E62" s="227">
        <v>0</v>
      </c>
      <c r="F62" s="218" t="s">
        <v>146</v>
      </c>
      <c r="G62" s="231">
        <f>drainpan!S14</f>
        <v>50.308385142857148</v>
      </c>
      <c r="H62" s="211">
        <f>IF(F62="Rp",1/$H$7,1)</f>
        <v>1</v>
      </c>
      <c r="I62" s="212">
        <v>1</v>
      </c>
      <c r="J62" s="213">
        <v>1</v>
      </c>
      <c r="K62" s="214">
        <f>+G62*H62*I62*J62</f>
        <v>50.308385142857148</v>
      </c>
      <c r="L62" s="215">
        <f>+E62*K62</f>
        <v>0</v>
      </c>
      <c r="M62" s="216">
        <f t="shared" ref="M62:M63" si="19">L62*16500</f>
        <v>0</v>
      </c>
      <c r="N62" s="1"/>
      <c r="P62" s="335" t="s">
        <v>750</v>
      </c>
      <c r="Q62" s="333">
        <f>Q61/'AHU IU1'!$H$7</f>
        <v>30.4</v>
      </c>
      <c r="R62" s="336">
        <f>((('AHU IU1'!$D$2-70)/1000*('AHU IU1'!$E$2-70)/1000)*2+((('AHU IU1'!$D$2-70)/1000*('AHU IU1'!$F$2-70)/1000)*2)+(('AHU IU1'!$E$2-70)/1000*('AHU IU1'!$F$2-70)/1000)*2)</f>
        <v>25.437600000000003</v>
      </c>
    </row>
    <row r="63" spans="2:18">
      <c r="B63" s="208">
        <v>47</v>
      </c>
      <c r="C63" s="209" t="s">
        <v>55</v>
      </c>
      <c r="D63" s="208" t="s">
        <v>54</v>
      </c>
      <c r="E63" s="227">
        <v>10</v>
      </c>
      <c r="F63" s="218" t="s">
        <v>38</v>
      </c>
      <c r="G63" s="231">
        <v>60000</v>
      </c>
      <c r="H63" s="211">
        <f>IF(F63="Rp",1/$H$7,1)</f>
        <v>5.7142857142857142E-5</v>
      </c>
      <c r="I63" s="212">
        <v>1</v>
      </c>
      <c r="J63" s="213">
        <v>1</v>
      </c>
      <c r="K63" s="214">
        <f>+G63*H63*I63*J63</f>
        <v>3.4285714285714284</v>
      </c>
      <c r="L63" s="215">
        <f>+E63*K63</f>
        <v>34.285714285714285</v>
      </c>
      <c r="M63" s="216">
        <f t="shared" si="19"/>
        <v>565714.28571428568</v>
      </c>
      <c r="N63" s="1"/>
      <c r="P63" s="332"/>
      <c r="Q63" s="333">
        <f>((0.5/1000*8000*59000)+(0.5/1000*8000*59000)+(25/1000*48*50000))*1</f>
        <v>532000</v>
      </c>
      <c r="R63" s="334"/>
    </row>
    <row r="64" spans="2:18" ht="12.75" customHeight="1">
      <c r="B64" s="2167" t="s">
        <v>186</v>
      </c>
      <c r="C64" s="2168"/>
      <c r="D64" s="2168"/>
      <c r="E64" s="2168"/>
      <c r="F64" s="2168"/>
      <c r="G64" s="2168"/>
      <c r="H64" s="2168"/>
      <c r="I64" s="2168"/>
      <c r="J64" s="2168"/>
      <c r="K64" s="2168"/>
      <c r="L64" s="2168"/>
      <c r="M64" s="2169"/>
      <c r="N64" s="1"/>
      <c r="P64" s="335" t="s">
        <v>751</v>
      </c>
      <c r="Q64" s="333">
        <f>Q63/'AHU IU1'!$H$7</f>
        <v>30.4</v>
      </c>
      <c r="R64" s="336">
        <f>((('AHU IU1'!$D$2-70)/1000*('AHU IU1'!$E$2-70)/1000)*2+((('AHU IU1'!$D$2-70)/1000*('AHU IU1'!$F$2-70)/1000)*2)+(('AHU IU1'!$E$2-70)/1000*('AHU IU1'!$F$2-70)/1000)*2)</f>
        <v>25.437600000000003</v>
      </c>
    </row>
    <row r="65" spans="1:18">
      <c r="B65" s="208">
        <v>48</v>
      </c>
      <c r="C65" s="209" t="s">
        <v>187</v>
      </c>
      <c r="D65" s="208" t="s">
        <v>48</v>
      </c>
      <c r="E65" s="226">
        <v>1</v>
      </c>
      <c r="F65" s="217" t="s">
        <v>38</v>
      </c>
      <c r="G65" s="228">
        <v>5000000</v>
      </c>
      <c r="H65" s="211">
        <f t="shared" ref="H65:H72" si="20">IF(F65="Rp",1/$H$7,1)</f>
        <v>5.7142857142857142E-5</v>
      </c>
      <c r="I65" s="212">
        <v>1</v>
      </c>
      <c r="J65" s="213">
        <v>1</v>
      </c>
      <c r="K65" s="214">
        <f t="shared" ref="K65:K72" si="21">+G65*H65*I65*J65</f>
        <v>285.71428571428572</v>
      </c>
      <c r="L65" s="215">
        <f t="shared" ref="L65:L72" si="22">+E65*K65</f>
        <v>285.71428571428572</v>
      </c>
      <c r="M65" s="216">
        <f>L65*16500</f>
        <v>4714285.7142857146</v>
      </c>
      <c r="N65" s="1"/>
      <c r="P65" s="332"/>
      <c r="Q65" s="333">
        <f>((0.5/1000*8000*59000)+(0.5/1000*8000*59000)+(45/1000*48*50000))*1</f>
        <v>580000</v>
      </c>
      <c r="R65" s="334"/>
    </row>
    <row r="66" spans="1:18" ht="14.25">
      <c r="B66" s="208">
        <v>49</v>
      </c>
      <c r="C66" s="209" t="s">
        <v>188</v>
      </c>
      <c r="D66" s="208" t="s">
        <v>48</v>
      </c>
      <c r="E66" s="226">
        <v>1</v>
      </c>
      <c r="F66" s="217" t="s">
        <v>38</v>
      </c>
      <c r="G66" s="228">
        <v>3500000</v>
      </c>
      <c r="H66" s="211">
        <f t="shared" si="20"/>
        <v>5.7142857142857142E-5</v>
      </c>
      <c r="I66" s="212">
        <v>1</v>
      </c>
      <c r="J66" s="213">
        <v>1</v>
      </c>
      <c r="K66" s="214">
        <f t="shared" si="21"/>
        <v>200</v>
      </c>
      <c r="L66" s="215">
        <f t="shared" si="22"/>
        <v>200</v>
      </c>
      <c r="M66" s="216">
        <f t="shared" ref="M66:M72" si="23">L66*16500</f>
        <v>3300000</v>
      </c>
      <c r="N66" s="1"/>
      <c r="P66" s="335" t="s">
        <v>752</v>
      </c>
      <c r="Q66" s="333">
        <f>Q65/'AHU IU1'!$H$7</f>
        <v>33.142857142857146</v>
      </c>
      <c r="R66" s="336">
        <f>((('AHU IU1'!$D$2-90)/1000*('AHU IU1'!$E$2-90)/1000)*2+((('AHU IU1'!$D$2-90)/1000*('AHU IU1'!$F$2-90)/1000)*2)+(('AHU IU1'!$E$2-90)/1000*('AHU IU1'!$F$2-90)/1000)*2)</f>
        <v>24.928800000000003</v>
      </c>
    </row>
    <row r="67" spans="1:18">
      <c r="B67" s="208">
        <v>50</v>
      </c>
      <c r="C67" s="209" t="s">
        <v>189</v>
      </c>
      <c r="D67" s="208" t="s">
        <v>48</v>
      </c>
      <c r="E67" s="226">
        <v>0</v>
      </c>
      <c r="F67" s="217" t="s">
        <v>38</v>
      </c>
      <c r="G67" s="228">
        <v>0</v>
      </c>
      <c r="H67" s="211">
        <f t="shared" si="20"/>
        <v>5.7142857142857142E-5</v>
      </c>
      <c r="I67" s="212">
        <v>1</v>
      </c>
      <c r="J67" s="213">
        <v>1</v>
      </c>
      <c r="K67" s="214">
        <f t="shared" si="21"/>
        <v>0</v>
      </c>
      <c r="L67" s="215">
        <f t="shared" si="22"/>
        <v>0</v>
      </c>
      <c r="M67" s="216">
        <f t="shared" si="23"/>
        <v>0</v>
      </c>
      <c r="N67" s="1"/>
      <c r="P67" s="332"/>
      <c r="Q67" s="333">
        <f>((0.5/1000*8000*59000)+(0.5/1000*8000*59000)+(45/1000*48*50000))*1</f>
        <v>580000</v>
      </c>
      <c r="R67" s="334"/>
    </row>
    <row r="68" spans="1:18" ht="14.25">
      <c r="B68" s="208">
        <v>51</v>
      </c>
      <c r="C68" s="209" t="s">
        <v>190</v>
      </c>
      <c r="D68" s="208" t="s">
        <v>48</v>
      </c>
      <c r="E68" s="226">
        <v>0</v>
      </c>
      <c r="F68" s="217" t="s">
        <v>38</v>
      </c>
      <c r="G68" s="228">
        <v>0</v>
      </c>
      <c r="H68" s="211">
        <f t="shared" si="20"/>
        <v>5.7142857142857142E-5</v>
      </c>
      <c r="I68" s="212">
        <v>1</v>
      </c>
      <c r="J68" s="213">
        <v>1</v>
      </c>
      <c r="K68" s="214">
        <f t="shared" si="21"/>
        <v>0</v>
      </c>
      <c r="L68" s="215">
        <f t="shared" si="22"/>
        <v>0</v>
      </c>
      <c r="M68" s="216">
        <f t="shared" si="23"/>
        <v>0</v>
      </c>
      <c r="N68" s="1"/>
      <c r="P68" s="335" t="s">
        <v>753</v>
      </c>
      <c r="Q68" s="333">
        <f>Q67/'AHU IU1'!$H$7</f>
        <v>33.142857142857146</v>
      </c>
      <c r="R68" s="336">
        <f>((('AHU IU1'!$D$2-90)/1000*('AHU IU1'!$E$2-90)/1000)*2+((('AHU IU1'!$D$2-90)/1000*('AHU IU1'!$F$2-90)/1000)*2)+(('AHU IU1'!$E$2-90)/1000*('AHU IU1'!$F$2-90)/1000)*2)</f>
        <v>24.928800000000003</v>
      </c>
    </row>
    <row r="69" spans="1:18">
      <c r="B69" s="208">
        <v>52</v>
      </c>
      <c r="C69" s="209" t="s">
        <v>191</v>
      </c>
      <c r="D69" s="208" t="s">
        <v>48</v>
      </c>
      <c r="E69" s="226">
        <v>0</v>
      </c>
      <c r="F69" s="217" t="s">
        <v>38</v>
      </c>
      <c r="G69" s="228">
        <v>0</v>
      </c>
      <c r="H69" s="211">
        <f t="shared" si="20"/>
        <v>5.7142857142857142E-5</v>
      </c>
      <c r="I69" s="212">
        <v>1</v>
      </c>
      <c r="J69" s="213">
        <v>1</v>
      </c>
      <c r="K69" s="214">
        <f t="shared" si="21"/>
        <v>0</v>
      </c>
      <c r="L69" s="215">
        <f t="shared" si="22"/>
        <v>0</v>
      </c>
      <c r="M69" s="216">
        <f t="shared" si="23"/>
        <v>0</v>
      </c>
      <c r="N69" s="1"/>
    </row>
    <row r="70" spans="1:18">
      <c r="B70" s="208">
        <v>53</v>
      </c>
      <c r="C70" s="209" t="s">
        <v>192</v>
      </c>
      <c r="D70" s="208" t="s">
        <v>48</v>
      </c>
      <c r="E70" s="226">
        <v>0</v>
      </c>
      <c r="F70" s="217" t="s">
        <v>38</v>
      </c>
      <c r="G70" s="228">
        <v>0</v>
      </c>
      <c r="H70" s="211">
        <f t="shared" si="20"/>
        <v>5.7142857142857142E-5</v>
      </c>
      <c r="I70" s="212">
        <v>1</v>
      </c>
      <c r="J70" s="213">
        <v>1</v>
      </c>
      <c r="K70" s="214">
        <f t="shared" si="21"/>
        <v>0</v>
      </c>
      <c r="L70" s="215">
        <f t="shared" si="22"/>
        <v>0</v>
      </c>
      <c r="M70" s="216">
        <f t="shared" si="23"/>
        <v>0</v>
      </c>
      <c r="N70" s="1"/>
    </row>
    <row r="71" spans="1:18">
      <c r="B71" s="208">
        <v>54</v>
      </c>
      <c r="C71" s="209" t="s">
        <v>193</v>
      </c>
      <c r="D71" s="208" t="s">
        <v>48</v>
      </c>
      <c r="E71" s="226">
        <v>0</v>
      </c>
      <c r="F71" s="217" t="s">
        <v>38</v>
      </c>
      <c r="G71" s="228">
        <v>0</v>
      </c>
      <c r="H71" s="211">
        <f t="shared" si="20"/>
        <v>5.7142857142857142E-5</v>
      </c>
      <c r="I71" s="212">
        <v>1</v>
      </c>
      <c r="J71" s="213">
        <v>1</v>
      </c>
      <c r="K71" s="214">
        <f t="shared" si="21"/>
        <v>0</v>
      </c>
      <c r="L71" s="215">
        <f t="shared" si="22"/>
        <v>0</v>
      </c>
      <c r="M71" s="216">
        <f t="shared" si="23"/>
        <v>0</v>
      </c>
      <c r="N71" s="1"/>
    </row>
    <row r="72" spans="1:18">
      <c r="B72" s="208">
        <v>55</v>
      </c>
      <c r="C72" s="209" t="s">
        <v>194</v>
      </c>
      <c r="D72" s="208" t="s">
        <v>48</v>
      </c>
      <c r="E72" s="226">
        <v>0</v>
      </c>
      <c r="F72" s="217" t="s">
        <v>38</v>
      </c>
      <c r="G72" s="228">
        <v>0</v>
      </c>
      <c r="H72" s="211">
        <f t="shared" si="20"/>
        <v>5.7142857142857142E-5</v>
      </c>
      <c r="I72" s="212">
        <v>1</v>
      </c>
      <c r="J72" s="213">
        <v>1</v>
      </c>
      <c r="K72" s="214">
        <f t="shared" si="21"/>
        <v>0</v>
      </c>
      <c r="L72" s="215">
        <f t="shared" si="22"/>
        <v>0</v>
      </c>
      <c r="M72" s="216">
        <f t="shared" si="23"/>
        <v>0</v>
      </c>
      <c r="N72" s="1"/>
    </row>
    <row r="73" spans="1:18" ht="12.75" customHeight="1">
      <c r="B73" s="2167" t="s">
        <v>195</v>
      </c>
      <c r="C73" s="2168"/>
      <c r="D73" s="2168"/>
      <c r="E73" s="2168"/>
      <c r="F73" s="2168"/>
      <c r="G73" s="2168"/>
      <c r="H73" s="2168"/>
      <c r="I73" s="2168"/>
      <c r="J73" s="2168"/>
      <c r="K73" s="2168"/>
      <c r="L73" s="2168"/>
      <c r="M73" s="2169"/>
      <c r="N73" s="1"/>
    </row>
    <row r="74" spans="1:18">
      <c r="B74" s="208">
        <v>56</v>
      </c>
      <c r="C74" s="209" t="s">
        <v>196</v>
      </c>
      <c r="D74" s="208" t="s">
        <v>48</v>
      </c>
      <c r="E74" s="226">
        <v>1</v>
      </c>
      <c r="F74" s="217" t="s">
        <v>38</v>
      </c>
      <c r="G74" s="228">
        <v>50000</v>
      </c>
      <c r="H74" s="211">
        <f>IF(F74="Rp",1/$H$7,1)</f>
        <v>5.7142857142857142E-5</v>
      </c>
      <c r="I74" s="212">
        <v>1</v>
      </c>
      <c r="J74" s="213">
        <v>1</v>
      </c>
      <c r="K74" s="214">
        <f>+G74*H74*I74*J74</f>
        <v>2.8571428571428572</v>
      </c>
      <c r="L74" s="215">
        <f>+E74*K74</f>
        <v>2.8571428571428572</v>
      </c>
      <c r="M74" s="216">
        <f>L74*16500</f>
        <v>47142.857142857145</v>
      </c>
      <c r="N74" s="1"/>
    </row>
    <row r="75" spans="1:18">
      <c r="B75" s="208">
        <v>57</v>
      </c>
      <c r="C75" s="209" t="s">
        <v>197</v>
      </c>
      <c r="D75" s="208" t="s">
        <v>48</v>
      </c>
      <c r="E75" s="226">
        <v>1</v>
      </c>
      <c r="F75" s="217" t="s">
        <v>38</v>
      </c>
      <c r="G75" s="228">
        <v>50000</v>
      </c>
      <c r="H75" s="211">
        <f>IF(F75="Rp",1/$H$7,1)</f>
        <v>5.7142857142857142E-5</v>
      </c>
      <c r="I75" s="212">
        <v>1</v>
      </c>
      <c r="J75" s="213">
        <v>1</v>
      </c>
      <c r="K75" s="214">
        <f>+G75*H75*I75*J75</f>
        <v>2.8571428571428572</v>
      </c>
      <c r="L75" s="215">
        <f>+E75*K75</f>
        <v>2.8571428571428572</v>
      </c>
      <c r="M75" s="216">
        <f>L75*16500</f>
        <v>47142.857142857145</v>
      </c>
      <c r="N75" s="1"/>
    </row>
    <row r="76" spans="1:18">
      <c r="B76" s="2167" t="s">
        <v>201</v>
      </c>
      <c r="C76" s="2168"/>
      <c r="D76" s="2168"/>
      <c r="E76" s="2168"/>
      <c r="F76" s="2168"/>
      <c r="G76" s="2168"/>
      <c r="H76" s="2168"/>
      <c r="I76" s="2168"/>
      <c r="J76" s="2168"/>
      <c r="K76" s="2168"/>
      <c r="L76" s="2168"/>
      <c r="M76" s="2169"/>
      <c r="N76" s="1"/>
    </row>
    <row r="77" spans="1:18">
      <c r="B77" s="208">
        <v>58</v>
      </c>
      <c r="C77" s="209" t="s">
        <v>203</v>
      </c>
      <c r="D77" s="208" t="s">
        <v>43</v>
      </c>
      <c r="E77" s="226">
        <v>0</v>
      </c>
      <c r="F77" s="217" t="s">
        <v>38</v>
      </c>
      <c r="G77" s="228">
        <v>0</v>
      </c>
      <c r="H77" s="211">
        <f>IF(F77="Rp",1/$H$7,1)</f>
        <v>5.7142857142857142E-5</v>
      </c>
      <c r="I77" s="212">
        <v>1</v>
      </c>
      <c r="J77" s="213">
        <v>1.2</v>
      </c>
      <c r="K77" s="214">
        <f>+G77*H77*I77*J77</f>
        <v>0</v>
      </c>
      <c r="L77" s="215">
        <f>+E77*K77</f>
        <v>0</v>
      </c>
      <c r="M77" s="216">
        <f>L77*16500</f>
        <v>0</v>
      </c>
      <c r="N77" s="1"/>
    </row>
    <row r="78" spans="1:18">
      <c r="B78" s="208">
        <v>59</v>
      </c>
      <c r="C78" s="209" t="s">
        <v>1028</v>
      </c>
      <c r="D78" s="208" t="s">
        <v>43</v>
      </c>
      <c r="E78" s="226">
        <v>0</v>
      </c>
      <c r="F78" s="217" t="s">
        <v>46</v>
      </c>
      <c r="G78" s="231">
        <f>VLOOKUP(C78,Master!AC16:AD17,2,0)</f>
        <v>106.66666666666667</v>
      </c>
      <c r="H78" s="211">
        <f>IF(F78="Rp",1/$H$7,1)</f>
        <v>1</v>
      </c>
      <c r="I78" s="212">
        <v>1.55</v>
      </c>
      <c r="J78" s="213">
        <v>1</v>
      </c>
      <c r="K78" s="214">
        <f>+G78*H78*I78*J78</f>
        <v>165.33333333333334</v>
      </c>
      <c r="L78" s="215">
        <f>+E78*K78</f>
        <v>0</v>
      </c>
      <c r="M78" s="216">
        <f t="shared" ref="M78:M84" si="24">L78*16500</f>
        <v>0</v>
      </c>
      <c r="N78" s="1"/>
    </row>
    <row r="79" spans="1:18">
      <c r="B79" s="208">
        <v>60</v>
      </c>
      <c r="C79" s="209" t="s">
        <v>1006</v>
      </c>
      <c r="D79" s="208" t="s">
        <v>43</v>
      </c>
      <c r="E79" s="226">
        <v>0</v>
      </c>
      <c r="F79" s="217" t="s">
        <v>46</v>
      </c>
      <c r="G79" s="231">
        <v>10</v>
      </c>
      <c r="H79" s="211">
        <f>IF(F79="Rp",1/$H$7,1)</f>
        <v>1</v>
      </c>
      <c r="I79" s="212">
        <v>2</v>
      </c>
      <c r="J79" s="213">
        <v>1</v>
      </c>
      <c r="K79" s="214">
        <f>+G79*H79*I79*J79</f>
        <v>20</v>
      </c>
      <c r="L79" s="215">
        <f>+E79*K79</f>
        <v>0</v>
      </c>
      <c r="M79" s="216">
        <f t="shared" si="24"/>
        <v>0</v>
      </c>
      <c r="N79" s="1"/>
    </row>
    <row r="80" spans="1:18">
      <c r="A80" s="2" t="s">
        <v>1020</v>
      </c>
      <c r="B80" s="208">
        <v>61</v>
      </c>
      <c r="C80" s="209" t="s">
        <v>1023</v>
      </c>
      <c r="D80" s="208" t="s">
        <v>43</v>
      </c>
      <c r="E80" s="226">
        <v>0</v>
      </c>
      <c r="F80" s="217" t="s">
        <v>46</v>
      </c>
      <c r="G80" s="231">
        <v>41</v>
      </c>
      <c r="H80" s="211">
        <f>IF(F80="Rp",1/$H$7,1)</f>
        <v>1</v>
      </c>
      <c r="I80" s="212">
        <v>1.55</v>
      </c>
      <c r="J80" s="213">
        <v>1</v>
      </c>
      <c r="K80" s="214">
        <f>+G80*H80*I80*J80</f>
        <v>63.550000000000004</v>
      </c>
      <c r="L80" s="215">
        <f>+E80*K80</f>
        <v>0</v>
      </c>
      <c r="M80" s="216">
        <f t="shared" si="24"/>
        <v>0</v>
      </c>
      <c r="N80" s="1"/>
    </row>
    <row r="81" spans="2:21">
      <c r="B81" s="208">
        <v>62</v>
      </c>
      <c r="C81" s="209" t="s">
        <v>1029</v>
      </c>
      <c r="D81" s="208" t="s">
        <v>43</v>
      </c>
      <c r="E81" s="226">
        <v>0</v>
      </c>
      <c r="F81" s="217" t="s">
        <v>46</v>
      </c>
      <c r="G81" s="231">
        <v>10</v>
      </c>
      <c r="H81" s="211">
        <f>IF(F81="Rp",1/$H$7,1)</f>
        <v>1</v>
      </c>
      <c r="I81" s="212">
        <v>2</v>
      </c>
      <c r="J81" s="213">
        <v>1</v>
      </c>
      <c r="K81" s="214">
        <f>+G81*H81*I81*J81</f>
        <v>20</v>
      </c>
      <c r="L81" s="215">
        <f>+E81*K81</f>
        <v>0</v>
      </c>
      <c r="M81" s="216">
        <f t="shared" si="24"/>
        <v>0</v>
      </c>
      <c r="N81" s="1"/>
      <c r="O81" s="236"/>
    </row>
    <row r="82" spans="2:21">
      <c r="B82" s="208">
        <v>63</v>
      </c>
      <c r="C82" s="209" t="s">
        <v>56</v>
      </c>
      <c r="D82" s="208" t="s">
        <v>47</v>
      </c>
      <c r="E82" s="227">
        <v>1</v>
      </c>
      <c r="F82" s="218" t="s">
        <v>38</v>
      </c>
      <c r="G82" s="231">
        <v>2000000</v>
      </c>
      <c r="H82" s="211">
        <f t="shared" ref="H82:H83" si="25">IF(F82="Rp",1/$H$7,1)</f>
        <v>5.7142857142857142E-5</v>
      </c>
      <c r="I82" s="212">
        <v>1</v>
      </c>
      <c r="J82" s="213">
        <v>1</v>
      </c>
      <c r="K82" s="214">
        <f t="shared" ref="K82:K83" si="26">+G82*H82*I82*J82</f>
        <v>114.28571428571428</v>
      </c>
      <c r="L82" s="215">
        <f t="shared" ref="L82:L83" si="27">+E82*K82</f>
        <v>114.28571428571428</v>
      </c>
      <c r="M82" s="216">
        <f t="shared" si="24"/>
        <v>1885714.2857142857</v>
      </c>
      <c r="N82" s="1"/>
    </row>
    <row r="83" spans="2:21">
      <c r="B83" s="208">
        <v>64</v>
      </c>
      <c r="C83" s="209" t="s">
        <v>151</v>
      </c>
      <c r="D83" s="208" t="s">
        <v>148</v>
      </c>
      <c r="E83" s="227">
        <v>0</v>
      </c>
      <c r="F83" s="218" t="s">
        <v>46</v>
      </c>
      <c r="G83" s="231">
        <f>23.62</f>
        <v>23.62</v>
      </c>
      <c r="H83" s="211">
        <f t="shared" si="25"/>
        <v>1</v>
      </c>
      <c r="I83" s="212">
        <v>2.5</v>
      </c>
      <c r="J83" s="213">
        <v>1</v>
      </c>
      <c r="K83" s="214">
        <f t="shared" si="26"/>
        <v>59.050000000000004</v>
      </c>
      <c r="L83" s="215">
        <f t="shared" si="27"/>
        <v>0</v>
      </c>
      <c r="M83" s="216">
        <f t="shared" si="24"/>
        <v>0</v>
      </c>
      <c r="N83" s="1"/>
    </row>
    <row r="84" spans="2:21">
      <c r="B84" s="208">
        <v>65</v>
      </c>
      <c r="C84" s="209" t="s">
        <v>57</v>
      </c>
      <c r="D84" s="208" t="s">
        <v>47</v>
      </c>
      <c r="E84" s="227">
        <v>1</v>
      </c>
      <c r="F84" s="218" t="s">
        <v>38</v>
      </c>
      <c r="G84" s="231">
        <v>1000000</v>
      </c>
      <c r="H84" s="211">
        <f>IF(F84="Rp",1/$H$7,1)</f>
        <v>5.7142857142857142E-5</v>
      </c>
      <c r="I84" s="212">
        <v>1</v>
      </c>
      <c r="J84" s="213">
        <v>1</v>
      </c>
      <c r="K84" s="214">
        <f>+G84*H84*I84*J84</f>
        <v>57.142857142857139</v>
      </c>
      <c r="L84" s="215">
        <f>+E84*K84</f>
        <v>57.142857142857139</v>
      </c>
      <c r="M84" s="216">
        <f t="shared" si="24"/>
        <v>942857.14285714284</v>
      </c>
      <c r="N84" s="1"/>
    </row>
    <row r="85" spans="2:21">
      <c r="B85" s="2167" t="s">
        <v>202</v>
      </c>
      <c r="C85" s="2168"/>
      <c r="D85" s="2168"/>
      <c r="E85" s="2168"/>
      <c r="F85" s="2168"/>
      <c r="G85" s="2168"/>
      <c r="H85" s="2168"/>
      <c r="I85" s="2168"/>
      <c r="J85" s="2168"/>
      <c r="K85" s="2168"/>
      <c r="L85" s="2168"/>
      <c r="M85" s="2169"/>
      <c r="N85" s="1"/>
    </row>
    <row r="86" spans="2:21">
      <c r="B86" s="208">
        <v>66</v>
      </c>
      <c r="C86" s="209" t="s">
        <v>58</v>
      </c>
      <c r="D86" s="208" t="s">
        <v>47</v>
      </c>
      <c r="E86" s="232">
        <v>0.15</v>
      </c>
      <c r="F86" s="218" t="s">
        <v>46</v>
      </c>
      <c r="G86" s="231">
        <f>SUM(L9:L85)</f>
        <v>5711.3650733551704</v>
      </c>
      <c r="H86" s="211">
        <f t="shared" ref="H86" si="28">IF(F86="Rp",1/$H$7,1)</f>
        <v>1</v>
      </c>
      <c r="I86" s="212">
        <v>1</v>
      </c>
      <c r="J86" s="213">
        <v>1</v>
      </c>
      <c r="K86" s="214">
        <f t="shared" ref="K86" si="29">+G86*H86*I86*J86</f>
        <v>5711.3650733551704</v>
      </c>
      <c r="L86" s="215">
        <f>+E86*K86</f>
        <v>856.70476100327551</v>
      </c>
      <c r="M86" s="216">
        <f>L86*16500</f>
        <v>14135628.556554046</v>
      </c>
      <c r="N86" s="1"/>
    </row>
    <row r="87" spans="2:21">
      <c r="B87" s="204"/>
      <c r="C87" s="204"/>
      <c r="D87" s="204"/>
      <c r="E87" s="204"/>
      <c r="F87" s="204"/>
      <c r="G87" s="204"/>
      <c r="H87" s="204"/>
      <c r="I87" s="204"/>
      <c r="J87" s="204"/>
      <c r="K87" s="204"/>
      <c r="L87" s="220">
        <f>SUM(L9:L86)*1.01</f>
        <v>6633.7505327020308</v>
      </c>
      <c r="M87" s="221">
        <f>L87*H7</f>
        <v>116090634.32228553</v>
      </c>
      <c r="N87" s="1"/>
    </row>
    <row r="88" spans="2:21">
      <c r="B88" s="204"/>
      <c r="C88" s="204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1"/>
    </row>
    <row r="89" spans="2:21">
      <c r="B89" s="204"/>
      <c r="C89" s="204"/>
      <c r="D89" s="204"/>
      <c r="E89" s="204"/>
      <c r="F89" s="204"/>
      <c r="G89" s="204"/>
      <c r="H89" s="204"/>
      <c r="I89" s="204"/>
      <c r="J89" s="202" t="s">
        <v>59</v>
      </c>
      <c r="K89" s="222">
        <v>0.35</v>
      </c>
      <c r="L89" s="220">
        <f>L87/(1-K89)</f>
        <v>10205.770050310817</v>
      </c>
      <c r="M89" s="221">
        <f>L89*H7</f>
        <v>178600975.88043931</v>
      </c>
      <c r="N89" s="1"/>
    </row>
    <row r="90" spans="2:21">
      <c r="B90" s="204"/>
      <c r="C90" s="204"/>
      <c r="D90" s="237"/>
      <c r="E90" s="204"/>
      <c r="F90" s="204"/>
      <c r="G90" s="204"/>
      <c r="H90" s="204"/>
      <c r="I90" s="204"/>
      <c r="J90" s="204"/>
      <c r="K90" s="204"/>
      <c r="L90" s="204"/>
      <c r="M90" s="221">
        <f>ROUNDUP(M89,-5)</f>
        <v>178700000</v>
      </c>
      <c r="N90" s="1"/>
    </row>
    <row r="91" spans="2:21">
      <c r="B91" s="204"/>
      <c r="C91" s="204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1"/>
    </row>
    <row r="92" spans="2:21">
      <c r="B92" s="204"/>
      <c r="C92" s="204"/>
      <c r="D92" s="238"/>
      <c r="E92" s="204"/>
      <c r="F92" s="204"/>
      <c r="G92" s="204"/>
      <c r="H92" s="204"/>
      <c r="I92" s="204"/>
      <c r="J92" s="204"/>
      <c r="K92" s="204"/>
      <c r="L92" s="204"/>
      <c r="M92" s="204"/>
      <c r="N92" s="1"/>
      <c r="O92" s="5"/>
      <c r="P92" s="5"/>
      <c r="Q92" s="5"/>
      <c r="R92" s="5"/>
      <c r="S92" s="5"/>
      <c r="T92" s="5"/>
      <c r="U92" s="5"/>
    </row>
    <row r="93" spans="2:21">
      <c r="B93" s="204"/>
      <c r="C93" s="204"/>
      <c r="D93" s="204"/>
      <c r="E93" s="204"/>
      <c r="F93" s="204"/>
      <c r="G93" s="204"/>
      <c r="H93" s="204"/>
      <c r="I93" s="204"/>
      <c r="J93" s="204"/>
      <c r="K93" s="204"/>
      <c r="L93" s="204"/>
      <c r="M93" s="223">
        <f>L87*H7</f>
        <v>116090634.32228553</v>
      </c>
      <c r="N93" s="1"/>
      <c r="O93" s="5"/>
      <c r="P93" s="5"/>
      <c r="Q93" s="5"/>
      <c r="R93" s="5"/>
      <c r="S93" s="5"/>
      <c r="T93" s="5"/>
      <c r="U93" s="5"/>
    </row>
    <row r="94" spans="2:21">
      <c r="B94" s="204"/>
      <c r="C94" s="204"/>
      <c r="D94" s="224"/>
      <c r="E94" s="205"/>
      <c r="F94" s="205"/>
      <c r="G94" s="204"/>
      <c r="H94" s="204"/>
      <c r="I94" s="204"/>
      <c r="J94" s="204"/>
      <c r="K94" s="204"/>
      <c r="L94" s="204"/>
      <c r="M94" s="223">
        <f>ROUNDUP(M93,-3)</f>
        <v>116091000</v>
      </c>
    </row>
    <row r="95" spans="2:21">
      <c r="D95" s="6"/>
    </row>
    <row r="96" spans="2:21">
      <c r="D96" s="6"/>
    </row>
    <row r="97" spans="2:28" s="4" customFormat="1">
      <c r="B97" s="2"/>
      <c r="C97" s="2"/>
      <c r="D97" s="6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2:28" s="4" customFormat="1">
      <c r="B98" s="2"/>
      <c r="C98" s="2"/>
      <c r="D98" s="6"/>
      <c r="G98" s="2"/>
      <c r="H98" s="2"/>
      <c r="I98" s="2"/>
      <c r="J98" s="2"/>
      <c r="K98" s="8"/>
      <c r="L98" s="2"/>
      <c r="M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2:28">
      <c r="K99" s="8"/>
    </row>
    <row r="103" spans="2:28">
      <c r="G103" s="1882"/>
    </row>
    <row r="230" spans="15:15">
      <c r="O230" s="2" t="s">
        <v>2878</v>
      </c>
    </row>
  </sheetData>
  <dataConsolidate/>
  <mergeCells count="29">
    <mergeCell ref="C1:C2"/>
    <mergeCell ref="B4:B7"/>
    <mergeCell ref="C4:C7"/>
    <mergeCell ref="D4:M4"/>
    <mergeCell ref="D5:E5"/>
    <mergeCell ref="F5:G5"/>
    <mergeCell ref="H5:J5"/>
    <mergeCell ref="K5:M5"/>
    <mergeCell ref="D6:D7"/>
    <mergeCell ref="E6:E7"/>
    <mergeCell ref="M6:M7"/>
    <mergeCell ref="B8:M8"/>
    <mergeCell ref="B22:M22"/>
    <mergeCell ref="B25:M25"/>
    <mergeCell ref="B30:M30"/>
    <mergeCell ref="F6:G7"/>
    <mergeCell ref="I6:I7"/>
    <mergeCell ref="J6:J7"/>
    <mergeCell ref="K6:K7"/>
    <mergeCell ref="L6:L7"/>
    <mergeCell ref="P31:R31"/>
    <mergeCell ref="B85:M85"/>
    <mergeCell ref="B37:M37"/>
    <mergeCell ref="B49:M49"/>
    <mergeCell ref="B60:M60"/>
    <mergeCell ref="B64:M64"/>
    <mergeCell ref="B73:M73"/>
    <mergeCell ref="B76:M76"/>
    <mergeCell ref="B33:M33"/>
  </mergeCells>
  <dataValidations count="5">
    <dataValidation type="list" allowBlank="1" showInputMessage="1" showErrorMessage="1" sqref="A38" xr:uid="{97B83FD2-7729-447B-B099-3CAB24F739DD}">
      <formula1>"AT 00/00-X, AT 00/00-X C/W M/F, ADH 000 X, RDH 000 X, SYT 00/00-X, SYD 000 X, SYQ 000 X, SYH 000X,EC-PDF000,EC-FCS000"</formula1>
    </dataValidation>
    <dataValidation type="list" allowBlank="1" showInputMessage="1" showErrorMessage="1" sqref="K2" xr:uid="{E1D47BEA-9637-491F-9E10-3C84B1AF00D0}">
      <formula1>"1520T(NA06),1520T(NA20),1540T(NA06),1540T(NA20),2540Y(NA06),2540Y(NA20),5060Y(NA06),5060Y(NA20),5060N(NA06),5060A(NA20),2550T(304),2550T(316),5070T(304),5070T(316),2540A(304),2540A(316),4550A(304),4550A(316)"</formula1>
    </dataValidation>
    <dataValidation type="list" allowBlank="1" showInputMessage="1" showErrorMessage="1" sqref="C42:C43" xr:uid="{90997C2E-48EE-46BD-B2F9-8202147CC06A}">
      <formula1>"Bush 1008,Bush 1108,Bush 1210,Bush 1215,Bush 1610,Bush 1615,Bush 2012,Bush 2517,Bush 2525,Bush 3020,Bush 3030,Bush 3525,Bush 3535,Bush 4030,Bush 4040,Bush 4535,Bush 4545,Bush 5040,Bush 5050"</formula1>
    </dataValidation>
    <dataValidation type="list" allowBlank="1" showInputMessage="1" showErrorMessage="1" sqref="C80" xr:uid="{C99631AB-4FCA-48C2-9FAA-997163002699}">
      <mc:AlternateContent xmlns:x12ac="http://schemas.microsoft.com/office/spreadsheetml/2011/1/ac" xmlns:mc="http://schemas.openxmlformats.org/markup-compatibility/2006">
        <mc:Choice Requires="x12ac">
          <x12ac:list>ESL 20W x 515mmL,ESL 40W x 910mmL,ESL 60W x 550mmL,ESL 80W x 843mmL,ESL 95W x 530mmL,ESL 120W x 1148mmL,ESL 150W x 1554mmL,"RLM 22"""," RLM 33""","RLM 61"""</x12ac:list>
        </mc:Choice>
        <mc:Fallback>
          <formula1>"ESL 20W x 515mmL,ESL 40W x 910mmL,ESL 60W x 550mmL,ESL 80W x 843mmL,ESL 95W x 530mmL,ESL 120W x 1148mmL,ESL 150W x 1554mmL,RLM 22"", RLM 33"",RLM 61"""</formula1>
        </mc:Fallback>
      </mc:AlternateContent>
    </dataValidation>
    <dataValidation type="list" allowBlank="1" showInputMessage="1" showErrorMessage="1" sqref="C78" xr:uid="{2DF2B842-DCAC-41C9-9BB7-01E8F9599416}">
      <formula1>"DPG MagRFHelic,DPG Magnehelic"</formula1>
    </dataValidation>
  </dataValidations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433D7-91E3-4CEC-B80B-EF1EE9781AC4}">
  <sheetPr>
    <tabColor rgb="FFFFFF00"/>
  </sheetPr>
  <dimension ref="A1:BB100"/>
  <sheetViews>
    <sheetView showGridLines="0" topLeftCell="B1" zoomScaleNormal="100" workbookViewId="0">
      <selection activeCell="D71" sqref="D71"/>
    </sheetView>
  </sheetViews>
  <sheetFormatPr defaultColWidth="7.28515625" defaultRowHeight="14.25" outlineLevelRow="1"/>
  <cols>
    <col min="1" max="1" width="3" style="1624" customWidth="1"/>
    <col min="2" max="2" width="9.28515625" style="1624" bestFit="1" customWidth="1"/>
    <col min="3" max="3" width="14.28515625" style="1624" bestFit="1" customWidth="1"/>
    <col min="4" max="4" width="51.140625" style="1624" bestFit="1" customWidth="1"/>
    <col min="5" max="5" width="6" style="1624" bestFit="1" customWidth="1"/>
    <col min="6" max="6" width="8.28515625" style="1624" bestFit="1" customWidth="1"/>
    <col min="7" max="8" width="6" style="1624" bestFit="1" customWidth="1"/>
    <col min="9" max="9" width="7.7109375" style="1624" bestFit="1" customWidth="1"/>
    <col min="10" max="10" width="8.85546875" style="1624" bestFit="1" customWidth="1"/>
    <col min="11" max="11" width="8.42578125" style="1884" bestFit="1" customWidth="1"/>
    <col min="12" max="12" width="7.140625" style="1884" bestFit="1" customWidth="1"/>
    <col min="13" max="13" width="9.85546875" style="1622" bestFit="1" customWidth="1"/>
    <col min="14" max="14" width="9.7109375" style="1883" bestFit="1" customWidth="1"/>
    <col min="15" max="15" width="7.140625" style="1622" bestFit="1" customWidth="1"/>
    <col min="16" max="16" width="8.28515625" style="1622" bestFit="1" customWidth="1"/>
    <col min="17" max="17" width="5.140625" style="1622" bestFit="1" customWidth="1"/>
    <col min="18" max="18" width="12.140625" style="1624" bestFit="1" customWidth="1"/>
    <col min="19" max="19" width="13.85546875" style="1624" bestFit="1" customWidth="1"/>
    <col min="20" max="20" width="11.42578125" style="1622" customWidth="1"/>
    <col min="21" max="21" width="12.28515625" style="1624" bestFit="1" customWidth="1"/>
    <col min="22" max="53" width="7.28515625" style="1624"/>
    <col min="54" max="54" width="255.7109375" style="1624" bestFit="1" customWidth="1"/>
    <col min="55" max="16384" width="7.28515625" style="1624"/>
  </cols>
  <sheetData>
    <row r="1" spans="2:54" s="2100" customFormat="1" ht="33.75">
      <c r="B1" s="2194" t="s">
        <v>2864</v>
      </c>
      <c r="C1" s="2194"/>
      <c r="D1" s="2194"/>
      <c r="E1" s="2194"/>
      <c r="F1" s="2194"/>
      <c r="G1" s="2194"/>
      <c r="H1" s="2194"/>
      <c r="I1" s="2194"/>
      <c r="J1" s="2194"/>
      <c r="K1" s="2194"/>
      <c r="L1" s="2194"/>
      <c r="M1" s="2194"/>
      <c r="N1" s="2194"/>
      <c r="O1" s="2194"/>
      <c r="P1" s="2194"/>
      <c r="Q1" s="2194"/>
      <c r="R1" s="2194"/>
      <c r="S1" s="2194"/>
      <c r="T1" s="2101"/>
      <c r="BB1" s="2100" t="s">
        <v>2863</v>
      </c>
    </row>
    <row r="2" spans="2:54" ht="15">
      <c r="B2" s="2099" t="s">
        <v>2862</v>
      </c>
      <c r="C2" s="2195" t="s">
        <v>2861</v>
      </c>
      <c r="D2" s="2195"/>
      <c r="E2" s="2195"/>
      <c r="F2" s="2195"/>
      <c r="G2" s="2195"/>
      <c r="H2" s="2195"/>
      <c r="I2" s="2195"/>
      <c r="J2" s="2195"/>
      <c r="K2" s="2195"/>
      <c r="L2" s="2195"/>
      <c r="M2" s="2195"/>
      <c r="N2" s="2195"/>
      <c r="O2" s="2195"/>
      <c r="P2" s="2195"/>
      <c r="Q2" s="2195"/>
      <c r="R2" s="2195"/>
      <c r="S2" s="2196"/>
    </row>
    <row r="3" spans="2:54" ht="15">
      <c r="B3" s="2099" t="s">
        <v>2860</v>
      </c>
      <c r="C3" s="2197">
        <f ca="1">TODAY()</f>
        <v>46089</v>
      </c>
      <c r="D3" s="2197"/>
      <c r="E3" s="2197"/>
      <c r="F3" s="2197"/>
      <c r="G3" s="2197"/>
      <c r="H3" s="2197"/>
      <c r="I3" s="2197"/>
      <c r="J3" s="2197"/>
      <c r="K3" s="2197"/>
      <c r="L3" s="2197"/>
      <c r="M3" s="2197"/>
      <c r="N3" s="2197"/>
      <c r="O3" s="2197"/>
      <c r="P3" s="2197"/>
      <c r="Q3" s="2197"/>
      <c r="R3" s="2197"/>
      <c r="S3" s="2198"/>
    </row>
    <row r="4" spans="2:54" ht="15">
      <c r="B4" s="2099" t="s">
        <v>2859</v>
      </c>
      <c r="C4" s="2199">
        <f>+S43</f>
        <v>17500</v>
      </c>
      <c r="D4" s="2195"/>
      <c r="E4" s="2195"/>
      <c r="F4" s="2195"/>
      <c r="G4" s="2195"/>
      <c r="H4" s="2195"/>
      <c r="I4" s="2195"/>
      <c r="J4" s="2195"/>
      <c r="K4" s="2195"/>
      <c r="L4" s="2195"/>
      <c r="M4" s="2195"/>
      <c r="N4" s="2195"/>
      <c r="O4" s="2195"/>
      <c r="P4" s="2195"/>
      <c r="Q4" s="2195"/>
      <c r="R4" s="2195"/>
      <c r="S4" s="2196"/>
    </row>
    <row r="5" spans="2:54" s="1506" customFormat="1" ht="15">
      <c r="B5" s="2200" t="s">
        <v>2858</v>
      </c>
      <c r="C5" s="2201"/>
      <c r="D5" s="2201"/>
      <c r="E5" s="2201"/>
      <c r="F5" s="2201"/>
      <c r="G5" s="2201"/>
      <c r="H5" s="2201"/>
      <c r="I5" s="2201"/>
      <c r="J5" s="2201"/>
      <c r="K5" s="2201"/>
      <c r="L5" s="2201"/>
      <c r="M5" s="2201"/>
      <c r="N5" s="2201"/>
      <c r="O5" s="2201"/>
      <c r="P5" s="2201"/>
      <c r="Q5" s="2201"/>
      <c r="R5" s="2201"/>
      <c r="S5" s="2202"/>
      <c r="T5" s="1495"/>
    </row>
    <row r="6" spans="2:54" s="1506" customFormat="1" ht="16.5" hidden="1" outlineLevel="1">
      <c r="B6" s="2098" t="s">
        <v>1157</v>
      </c>
      <c r="C6" s="2098" t="s">
        <v>2766</v>
      </c>
      <c r="D6" s="2097" t="s">
        <v>2857</v>
      </c>
      <c r="E6" s="2097" t="s">
        <v>2756</v>
      </c>
      <c r="F6" s="2097" t="s">
        <v>2856</v>
      </c>
      <c r="G6" s="2096" t="s">
        <v>1079</v>
      </c>
      <c r="H6" s="1251" t="s">
        <v>33</v>
      </c>
      <c r="I6" s="1251" t="s">
        <v>128</v>
      </c>
      <c r="J6" s="1251" t="s">
        <v>2781</v>
      </c>
      <c r="K6" s="2093"/>
      <c r="L6" s="2093" t="s">
        <v>2114</v>
      </c>
      <c r="M6" s="2095" t="s">
        <v>1079</v>
      </c>
      <c r="N6" s="2095" t="s">
        <v>33</v>
      </c>
      <c r="O6" s="2094" t="s">
        <v>128</v>
      </c>
      <c r="P6" s="2094" t="s">
        <v>2781</v>
      </c>
      <c r="Q6" s="2093"/>
      <c r="R6" s="2092" t="s">
        <v>115</v>
      </c>
      <c r="S6" s="2091">
        <v>1</v>
      </c>
      <c r="T6" s="1495"/>
    </row>
    <row r="7" spans="2:54" s="1506" customFormat="1" ht="15" hidden="1" outlineLevel="1">
      <c r="B7" s="2040" t="s">
        <v>1234</v>
      </c>
      <c r="C7" s="2040" t="s">
        <v>2855</v>
      </c>
      <c r="D7" s="2040" t="s">
        <v>2854</v>
      </c>
      <c r="E7" s="2090">
        <v>7700</v>
      </c>
      <c r="F7" s="2038">
        <f t="shared" ref="F7:F18" si="0">+P7</f>
        <v>18000</v>
      </c>
      <c r="G7" s="2082"/>
      <c r="H7" s="2089"/>
      <c r="I7" s="2089"/>
      <c r="J7" s="2089"/>
      <c r="K7" s="2075"/>
      <c r="L7" s="2075" t="s">
        <v>115</v>
      </c>
      <c r="M7" s="2076">
        <v>18000</v>
      </c>
      <c r="N7" s="2035">
        <v>1</v>
      </c>
      <c r="O7" s="2044">
        <f t="shared" ref="O7:O18" si="1">VLOOKUP(L7,$R$6:$S$12,2,FALSE)</f>
        <v>1</v>
      </c>
      <c r="P7" s="718">
        <f t="shared" ref="P7:P18" si="2">+M7*N7*O7</f>
        <v>18000</v>
      </c>
      <c r="Q7" s="2075"/>
      <c r="R7" s="2088" t="s">
        <v>46</v>
      </c>
      <c r="S7" s="2087">
        <v>17500</v>
      </c>
      <c r="T7" s="1495"/>
    </row>
    <row r="8" spans="2:54" s="1506" customFormat="1" ht="15" hidden="1" outlineLevel="1">
      <c r="B8" s="2030" t="s">
        <v>1194</v>
      </c>
      <c r="C8" s="2030" t="s">
        <v>2853</v>
      </c>
      <c r="D8" s="2030" t="s">
        <v>2852</v>
      </c>
      <c r="E8" s="2086">
        <v>8030</v>
      </c>
      <c r="F8" s="2028">
        <f t="shared" si="0"/>
        <v>30000</v>
      </c>
      <c r="G8" s="2082"/>
      <c r="H8" s="2085"/>
      <c r="I8" s="2085"/>
      <c r="J8" s="2085"/>
      <c r="K8" s="2071"/>
      <c r="L8" s="2071" t="s">
        <v>115</v>
      </c>
      <c r="M8" s="2042">
        <v>30000</v>
      </c>
      <c r="N8" s="1969">
        <v>1</v>
      </c>
      <c r="O8" s="2041">
        <f t="shared" si="1"/>
        <v>1</v>
      </c>
      <c r="P8" s="731">
        <f t="shared" si="2"/>
        <v>30000</v>
      </c>
      <c r="Q8" s="2071"/>
      <c r="R8" s="2084" t="s">
        <v>1076</v>
      </c>
      <c r="S8" s="2083">
        <v>16079.99</v>
      </c>
      <c r="T8" s="1495"/>
    </row>
    <row r="9" spans="2:54" s="1506" customFormat="1" ht="15" hidden="1" outlineLevel="1">
      <c r="B9" s="2030" t="s">
        <v>1083</v>
      </c>
      <c r="C9" s="2030" t="s">
        <v>2851</v>
      </c>
      <c r="D9" s="2030" t="s">
        <v>2850</v>
      </c>
      <c r="E9" s="2086">
        <v>7800</v>
      </c>
      <c r="F9" s="2028">
        <f t="shared" si="0"/>
        <v>55000</v>
      </c>
      <c r="G9" s="2082"/>
      <c r="H9" s="2085"/>
      <c r="I9" s="2085"/>
      <c r="J9" s="2085"/>
      <c r="K9" s="2071"/>
      <c r="L9" s="2071" t="s">
        <v>115</v>
      </c>
      <c r="M9" s="2042">
        <v>55000</v>
      </c>
      <c r="N9" s="1969">
        <v>1</v>
      </c>
      <c r="O9" s="2041">
        <f t="shared" si="1"/>
        <v>1</v>
      </c>
      <c r="P9" s="731">
        <f t="shared" si="2"/>
        <v>55000</v>
      </c>
      <c r="Q9" s="2071"/>
      <c r="R9" s="2084" t="s">
        <v>22</v>
      </c>
      <c r="S9" s="2083">
        <v>3429.69</v>
      </c>
      <c r="T9" s="1495"/>
    </row>
    <row r="10" spans="2:54" s="1506" customFormat="1" ht="15" hidden="1" outlineLevel="1">
      <c r="B10" s="2030" t="s">
        <v>2849</v>
      </c>
      <c r="C10" s="2030" t="s">
        <v>2848</v>
      </c>
      <c r="D10" s="2030" t="s">
        <v>2847</v>
      </c>
      <c r="E10" s="2086">
        <v>8000</v>
      </c>
      <c r="F10" s="2028">
        <f t="shared" si="0"/>
        <v>55000</v>
      </c>
      <c r="G10" s="2082"/>
      <c r="H10" s="2085"/>
      <c r="I10" s="2085"/>
      <c r="J10" s="2085"/>
      <c r="K10" s="2071"/>
      <c r="L10" s="2071" t="s">
        <v>115</v>
      </c>
      <c r="M10" s="2042">
        <v>55000</v>
      </c>
      <c r="N10" s="1969">
        <v>1</v>
      </c>
      <c r="O10" s="2041">
        <f t="shared" si="1"/>
        <v>1</v>
      </c>
      <c r="P10" s="731">
        <f t="shared" si="2"/>
        <v>55000</v>
      </c>
      <c r="Q10" s="2071"/>
      <c r="R10" s="2084" t="s">
        <v>1077</v>
      </c>
      <c r="S10" s="2083">
        <v>2192.36</v>
      </c>
      <c r="T10" s="1495"/>
    </row>
    <row r="11" spans="2:54" s="1506" customFormat="1" ht="15" hidden="1" outlineLevel="1">
      <c r="B11" s="2030" t="s">
        <v>2744</v>
      </c>
      <c r="C11" s="2030" t="s">
        <v>2846</v>
      </c>
      <c r="D11" s="2030" t="s">
        <v>2845</v>
      </c>
      <c r="E11" s="2086">
        <v>2720</v>
      </c>
      <c r="F11" s="2028">
        <f t="shared" si="0"/>
        <v>83085</v>
      </c>
      <c r="G11" s="2082"/>
      <c r="H11" s="2085"/>
      <c r="I11" s="2085"/>
      <c r="J11" s="2085"/>
      <c r="K11" s="2071"/>
      <c r="L11" s="2071" t="s">
        <v>115</v>
      </c>
      <c r="M11" s="2042">
        <v>83085</v>
      </c>
      <c r="N11" s="1969">
        <v>1</v>
      </c>
      <c r="O11" s="2041">
        <f t="shared" si="1"/>
        <v>1</v>
      </c>
      <c r="P11" s="731">
        <f t="shared" si="2"/>
        <v>83085</v>
      </c>
      <c r="Q11" s="2071"/>
      <c r="R11" s="2084" t="s">
        <v>2844</v>
      </c>
      <c r="S11" s="2083">
        <v>11262.76</v>
      </c>
      <c r="T11" s="1495"/>
    </row>
    <row r="12" spans="2:54" s="1506" customFormat="1" ht="15" hidden="1" outlineLevel="1">
      <c r="B12" s="2022" t="s">
        <v>2843</v>
      </c>
      <c r="C12" s="2022" t="s">
        <v>2842</v>
      </c>
      <c r="D12" s="2022" t="s">
        <v>2841</v>
      </c>
      <c r="E12" s="2048">
        <v>1</v>
      </c>
      <c r="F12" s="2020">
        <f t="shared" si="0"/>
        <v>78000</v>
      </c>
      <c r="G12" s="2082"/>
      <c r="H12" s="2081"/>
      <c r="I12" s="2081"/>
      <c r="J12" s="2081"/>
      <c r="K12" s="2064"/>
      <c r="L12" s="2064" t="s">
        <v>115</v>
      </c>
      <c r="M12" s="2080">
        <v>78000</v>
      </c>
      <c r="N12" s="2017">
        <v>1</v>
      </c>
      <c r="O12" s="2079">
        <f t="shared" si="1"/>
        <v>1</v>
      </c>
      <c r="P12" s="2014">
        <f t="shared" si="2"/>
        <v>78000</v>
      </c>
      <c r="Q12" s="2064"/>
      <c r="R12" s="2078" t="s">
        <v>1078</v>
      </c>
      <c r="S12" s="2077">
        <v>183.43</v>
      </c>
      <c r="T12" s="1495"/>
    </row>
    <row r="13" spans="2:54" hidden="1" outlineLevel="1">
      <c r="B13" s="2040" t="s">
        <v>2793</v>
      </c>
      <c r="C13" s="2040"/>
      <c r="D13" s="2040" t="s">
        <v>2840</v>
      </c>
      <c r="E13" s="2045">
        <v>1.032</v>
      </c>
      <c r="F13" s="2038">
        <f t="shared" si="0"/>
        <v>86114.207999999999</v>
      </c>
      <c r="G13" s="2059">
        <f>3.2*E13</f>
        <v>3.3024000000000004</v>
      </c>
      <c r="H13" s="2058">
        <v>1.5</v>
      </c>
      <c r="I13" s="2057">
        <f t="shared" ref="I13:I18" si="3">+S$7</f>
        <v>17500</v>
      </c>
      <c r="J13" s="2056">
        <f t="shared" ref="J13:J18" si="4">+G13*H13*I13</f>
        <v>86688.000000000015</v>
      </c>
      <c r="K13" s="2075"/>
      <c r="L13" s="2075" t="s">
        <v>115</v>
      </c>
      <c r="M13" s="2076">
        <f>+E13*(((10430500/25)/6)*1.2)</f>
        <v>86114.207999999999</v>
      </c>
      <c r="N13" s="2035">
        <v>1</v>
      </c>
      <c r="O13" s="2044">
        <f t="shared" si="1"/>
        <v>1</v>
      </c>
      <c r="P13" s="718">
        <f t="shared" si="2"/>
        <v>86114.207999999999</v>
      </c>
      <c r="Q13" s="2075"/>
      <c r="R13" s="2031"/>
      <c r="S13" s="717"/>
    </row>
    <row r="14" spans="2:54" hidden="1" outlineLevel="1">
      <c r="B14" s="2030" t="s">
        <v>2792</v>
      </c>
      <c r="C14" s="2030"/>
      <c r="D14" s="2030" t="s">
        <v>2839</v>
      </c>
      <c r="E14" s="2043">
        <v>1.4</v>
      </c>
      <c r="F14" s="2028">
        <f t="shared" si="0"/>
        <v>109200</v>
      </c>
      <c r="G14" s="2074">
        <f>3.2*E14</f>
        <v>4.4799999999999995</v>
      </c>
      <c r="H14" s="2069">
        <v>1.5</v>
      </c>
      <c r="I14" s="2073">
        <f t="shared" si="3"/>
        <v>17500</v>
      </c>
      <c r="J14" s="2072">
        <f t="shared" si="4"/>
        <v>117599.99999999999</v>
      </c>
      <c r="K14" s="2071"/>
      <c r="L14" s="2071" t="s">
        <v>115</v>
      </c>
      <c r="M14" s="2042">
        <f>+E14*M$12</f>
        <v>109200</v>
      </c>
      <c r="N14" s="1969">
        <v>1</v>
      </c>
      <c r="O14" s="2041">
        <f t="shared" si="1"/>
        <v>1</v>
      </c>
      <c r="P14" s="731">
        <f t="shared" si="2"/>
        <v>109200</v>
      </c>
      <c r="Q14" s="2071"/>
      <c r="R14" s="2023"/>
      <c r="S14" s="730"/>
    </row>
    <row r="15" spans="2:54" hidden="1" outlineLevel="1">
      <c r="B15" s="2030" t="s">
        <v>2791</v>
      </c>
      <c r="C15" s="2030"/>
      <c r="D15" s="2030" t="s">
        <v>2838</v>
      </c>
      <c r="E15" s="2043">
        <v>1.7589999999999999</v>
      </c>
      <c r="F15" s="2028">
        <f t="shared" si="0"/>
        <v>214624.38499999998</v>
      </c>
      <c r="G15" s="2074">
        <f>3.2*E15</f>
        <v>5.6288</v>
      </c>
      <c r="H15" s="2069">
        <v>1.5</v>
      </c>
      <c r="I15" s="2073">
        <f t="shared" si="3"/>
        <v>17500</v>
      </c>
      <c r="J15" s="2072">
        <f t="shared" si="4"/>
        <v>147756.00000000003</v>
      </c>
      <c r="K15" s="2071"/>
      <c r="L15" s="2071" t="s">
        <v>115</v>
      </c>
      <c r="M15" s="2042">
        <f>+E15*((14641800/20)/6)</f>
        <v>214624.38499999998</v>
      </c>
      <c r="N15" s="1969">
        <v>1</v>
      </c>
      <c r="O15" s="2041">
        <f t="shared" si="1"/>
        <v>1</v>
      </c>
      <c r="P15" s="731">
        <f t="shared" si="2"/>
        <v>214624.38499999998</v>
      </c>
      <c r="Q15" s="2071"/>
      <c r="R15" s="2023"/>
      <c r="S15" s="730"/>
    </row>
    <row r="16" spans="2:54" hidden="1" outlineLevel="1">
      <c r="B16" s="2030" t="s">
        <v>2790</v>
      </c>
      <c r="C16" s="2030"/>
      <c r="D16" s="2030" t="s">
        <v>2837</v>
      </c>
      <c r="E16" s="2043">
        <v>0.85</v>
      </c>
      <c r="F16" s="2028">
        <f t="shared" si="0"/>
        <v>69353.625</v>
      </c>
      <c r="G16" s="2074">
        <f>3.2*E16</f>
        <v>2.72</v>
      </c>
      <c r="H16" s="2069">
        <v>1.5</v>
      </c>
      <c r="I16" s="2073">
        <f t="shared" si="3"/>
        <v>17500</v>
      </c>
      <c r="J16" s="2072">
        <f t="shared" si="4"/>
        <v>71400</v>
      </c>
      <c r="K16" s="2071"/>
      <c r="L16" s="2071" t="s">
        <v>115</v>
      </c>
      <c r="M16" s="2042">
        <f>+E16*(((17950350/55)/6)*1.5)</f>
        <v>69353.625</v>
      </c>
      <c r="N16" s="1969">
        <v>1</v>
      </c>
      <c r="O16" s="2041">
        <f t="shared" si="1"/>
        <v>1</v>
      </c>
      <c r="P16" s="731">
        <f t="shared" si="2"/>
        <v>69353.625</v>
      </c>
      <c r="Q16" s="2071"/>
      <c r="R16" s="2023"/>
      <c r="S16" s="730"/>
    </row>
    <row r="17" spans="2:20" hidden="1" outlineLevel="1">
      <c r="B17" s="2022" t="s">
        <v>2789</v>
      </c>
      <c r="C17" s="2022"/>
      <c r="D17" s="2022" t="s">
        <v>2836</v>
      </c>
      <c r="E17" s="2048">
        <f>7.47/200</f>
        <v>3.7350000000000001E-2</v>
      </c>
      <c r="F17" s="2020">
        <f t="shared" si="0"/>
        <v>2454.75</v>
      </c>
      <c r="G17" s="2070">
        <v>0.1</v>
      </c>
      <c r="H17" s="2069">
        <v>1.5</v>
      </c>
      <c r="I17" s="2068">
        <f t="shared" si="3"/>
        <v>17500</v>
      </c>
      <c r="J17" s="2067">
        <f t="shared" si="4"/>
        <v>2625.0000000000005</v>
      </c>
      <c r="K17" s="2064"/>
      <c r="L17" s="2064" t="s">
        <v>46</v>
      </c>
      <c r="M17" s="2066">
        <f>((1636500/5)/200)/17500</f>
        <v>9.3514285714285716E-2</v>
      </c>
      <c r="N17" s="2017">
        <v>1.5</v>
      </c>
      <c r="O17" s="2065">
        <f t="shared" si="1"/>
        <v>17500</v>
      </c>
      <c r="P17" s="2014">
        <f t="shared" si="2"/>
        <v>2454.75</v>
      </c>
      <c r="Q17" s="2064"/>
      <c r="R17" s="2012"/>
      <c r="S17" s="738"/>
    </row>
    <row r="18" spans="2:20" hidden="1" outlineLevel="1">
      <c r="B18" s="2040" t="s">
        <v>2787</v>
      </c>
      <c r="C18" s="2040"/>
      <c r="D18" s="2040" t="s">
        <v>2835</v>
      </c>
      <c r="E18" s="2045">
        <v>0.12</v>
      </c>
      <c r="F18" s="2038">
        <f t="shared" si="0"/>
        <v>20355.000000000004</v>
      </c>
      <c r="G18" s="2059">
        <v>0.8</v>
      </c>
      <c r="H18" s="2058">
        <v>1.5</v>
      </c>
      <c r="I18" s="2057">
        <f t="shared" si="3"/>
        <v>17500</v>
      </c>
      <c r="J18" s="2056">
        <f t="shared" si="4"/>
        <v>21000.000000000004</v>
      </c>
      <c r="K18" s="2032"/>
      <c r="L18" s="2032" t="s">
        <v>46</v>
      </c>
      <c r="M18" s="2055">
        <f>(16284000/1200)/17500</f>
        <v>0.77542857142857147</v>
      </c>
      <c r="N18" s="2035">
        <v>1.5</v>
      </c>
      <c r="O18" s="718">
        <f t="shared" si="1"/>
        <v>17500</v>
      </c>
      <c r="P18" s="718">
        <f t="shared" si="2"/>
        <v>20355.000000000004</v>
      </c>
      <c r="Q18" s="2032"/>
      <c r="R18" s="2031"/>
      <c r="S18" s="717"/>
    </row>
    <row r="19" spans="2:20" s="418" customFormat="1" hidden="1" outlineLevel="1">
      <c r="B19" s="2054" t="s">
        <v>2834</v>
      </c>
      <c r="C19" s="2054"/>
      <c r="D19" s="2054" t="s">
        <v>2833</v>
      </c>
      <c r="E19" s="2052">
        <v>5.0000000000000001E-3</v>
      </c>
      <c r="F19" s="2051"/>
      <c r="G19" s="2050"/>
      <c r="H19" s="2026"/>
      <c r="I19" s="2026"/>
      <c r="J19" s="2026"/>
      <c r="K19" s="2024"/>
      <c r="L19" s="2024"/>
      <c r="M19" s="1969"/>
      <c r="N19" s="2049"/>
      <c r="O19" s="731"/>
      <c r="P19" s="731"/>
      <c r="Q19" s="2024"/>
      <c r="R19" s="2023"/>
      <c r="S19" s="730"/>
      <c r="T19" s="893"/>
    </row>
    <row r="20" spans="2:20" s="418" customFormat="1" hidden="1" outlineLevel="1">
      <c r="B20" s="2054" t="s">
        <v>2832</v>
      </c>
      <c r="C20" s="2054"/>
      <c r="D20" s="2054" t="s">
        <v>2831</v>
      </c>
      <c r="E20" s="2052">
        <v>0.06</v>
      </c>
      <c r="F20" s="2051"/>
      <c r="G20" s="2050"/>
      <c r="H20" s="2026"/>
      <c r="I20" s="2026"/>
      <c r="J20" s="2026"/>
      <c r="K20" s="2024"/>
      <c r="L20" s="2024"/>
      <c r="M20" s="1969"/>
      <c r="N20" s="2049"/>
      <c r="O20" s="731"/>
      <c r="P20" s="731"/>
      <c r="Q20" s="2024"/>
      <c r="R20" s="2023"/>
      <c r="S20" s="730"/>
      <c r="T20" s="893"/>
    </row>
    <row r="21" spans="2:20" s="418" customFormat="1" hidden="1" outlineLevel="1">
      <c r="B21" s="2054" t="s">
        <v>2830</v>
      </c>
      <c r="C21" s="2054"/>
      <c r="D21" s="2054" t="s">
        <v>2829</v>
      </c>
      <c r="E21" s="2052">
        <v>0.04</v>
      </c>
      <c r="F21" s="2051"/>
      <c r="G21" s="2050"/>
      <c r="H21" s="2026"/>
      <c r="I21" s="2026"/>
      <c r="J21" s="2026"/>
      <c r="K21" s="2024"/>
      <c r="L21" s="2024"/>
      <c r="M21" s="1969"/>
      <c r="N21" s="2049"/>
      <c r="O21" s="731"/>
      <c r="P21" s="731"/>
      <c r="Q21" s="2024"/>
      <c r="R21" s="2023"/>
      <c r="S21" s="730"/>
      <c r="T21" s="893"/>
    </row>
    <row r="22" spans="2:20" s="418" customFormat="1" hidden="1" outlineLevel="1">
      <c r="B22" s="2054" t="s">
        <v>2828</v>
      </c>
      <c r="C22" s="2054"/>
      <c r="D22" s="2054" t="s">
        <v>2827</v>
      </c>
      <c r="E22" s="2052">
        <v>5.0000000000000001E-3</v>
      </c>
      <c r="F22" s="2051"/>
      <c r="G22" s="2050"/>
      <c r="H22" s="2026"/>
      <c r="I22" s="2026"/>
      <c r="J22" s="2026"/>
      <c r="K22" s="2024"/>
      <c r="L22" s="2024"/>
      <c r="M22" s="1969"/>
      <c r="N22" s="2049"/>
      <c r="O22" s="731"/>
      <c r="P22" s="731"/>
      <c r="Q22" s="2024"/>
      <c r="R22" s="2023"/>
      <c r="S22" s="730"/>
      <c r="T22" s="893"/>
    </row>
    <row r="23" spans="2:20" s="418" customFormat="1" hidden="1" outlineLevel="1">
      <c r="B23" s="2054" t="s">
        <v>2826</v>
      </c>
      <c r="C23" s="2054"/>
      <c r="D23" s="2063" t="s">
        <v>2825</v>
      </c>
      <c r="E23" s="2062">
        <v>0.01</v>
      </c>
      <c r="F23" s="2061"/>
      <c r="G23" s="2047"/>
      <c r="H23" s="2018"/>
      <c r="I23" s="2018"/>
      <c r="J23" s="2018"/>
      <c r="K23" s="2013"/>
      <c r="L23" s="2013"/>
      <c r="M23" s="2017"/>
      <c r="N23" s="2060"/>
      <c r="O23" s="2014"/>
      <c r="P23" s="2014"/>
      <c r="Q23" s="2013"/>
      <c r="R23" s="2012"/>
      <c r="S23" s="738"/>
      <c r="T23" s="893"/>
    </row>
    <row r="24" spans="2:20" hidden="1" outlineLevel="1">
      <c r="B24" s="2040" t="s">
        <v>2786</v>
      </c>
      <c r="C24" s="2040"/>
      <c r="D24" s="2040" t="s">
        <v>2824</v>
      </c>
      <c r="E24" s="2045">
        <v>0.37</v>
      </c>
      <c r="F24" s="2038">
        <f>+P24</f>
        <v>117990</v>
      </c>
      <c r="G24" s="2059">
        <v>4.4000000000000004</v>
      </c>
      <c r="H24" s="2058">
        <v>1.5</v>
      </c>
      <c r="I24" s="2057">
        <f>+S$7</f>
        <v>17500</v>
      </c>
      <c r="J24" s="2056">
        <f>+G24*H24*I24</f>
        <v>115500.00000000001</v>
      </c>
      <c r="K24" s="2032"/>
      <c r="L24" s="2032" t="s">
        <v>46</v>
      </c>
      <c r="M24" s="2055">
        <f>(11799000/150)/17500</f>
        <v>4.4948571428571427</v>
      </c>
      <c r="N24" s="2035">
        <v>1.5</v>
      </c>
      <c r="O24" s="718">
        <f>VLOOKUP(L24,$R$6:$S$12,2,FALSE)</f>
        <v>17500</v>
      </c>
      <c r="P24" s="718">
        <f>+M24*N24*O24</f>
        <v>117990</v>
      </c>
      <c r="Q24" s="2032"/>
      <c r="R24" s="2031"/>
      <c r="S24" s="717"/>
    </row>
    <row r="25" spans="2:20" s="418" customFormat="1" hidden="1" outlineLevel="1">
      <c r="B25" s="2054" t="s">
        <v>2823</v>
      </c>
      <c r="C25" s="2054"/>
      <c r="D25" s="2053" t="s">
        <v>2822</v>
      </c>
      <c r="E25" s="2052">
        <v>0.13</v>
      </c>
      <c r="F25" s="2051"/>
      <c r="G25" s="2050"/>
      <c r="H25" s="2026"/>
      <c r="I25" s="2026"/>
      <c r="J25" s="2026"/>
      <c r="K25" s="2024"/>
      <c r="L25" s="2024"/>
      <c r="M25" s="1969"/>
      <c r="N25" s="2049"/>
      <c r="O25" s="731"/>
      <c r="P25" s="731"/>
      <c r="Q25" s="2024"/>
      <c r="R25" s="2023"/>
      <c r="S25" s="730"/>
      <c r="T25" s="893"/>
    </row>
    <row r="26" spans="2:20" s="418" customFormat="1" hidden="1" outlineLevel="1">
      <c r="B26" s="2054" t="s">
        <v>2821</v>
      </c>
      <c r="C26" s="2054"/>
      <c r="D26" s="2053" t="s">
        <v>2820</v>
      </c>
      <c r="E26" s="2052">
        <v>0.11</v>
      </c>
      <c r="F26" s="2051"/>
      <c r="G26" s="2050"/>
      <c r="H26" s="2026"/>
      <c r="I26" s="2026"/>
      <c r="J26" s="2026"/>
      <c r="K26" s="2024"/>
      <c r="L26" s="2024"/>
      <c r="M26" s="1969"/>
      <c r="N26" s="2049"/>
      <c r="O26" s="731"/>
      <c r="P26" s="731"/>
      <c r="Q26" s="2024"/>
      <c r="R26" s="2023"/>
      <c r="S26" s="730"/>
      <c r="T26" s="893"/>
    </row>
    <row r="27" spans="2:20" hidden="1" outlineLevel="1">
      <c r="B27" s="2030" t="s">
        <v>2819</v>
      </c>
      <c r="C27" s="2054"/>
      <c r="D27" s="2053" t="s">
        <v>2818</v>
      </c>
      <c r="E27" s="2052">
        <v>7.0000000000000007E-2</v>
      </c>
      <c r="F27" s="2051"/>
      <c r="G27" s="2050"/>
      <c r="H27" s="2026"/>
      <c r="I27" s="2026"/>
      <c r="J27" s="2026"/>
      <c r="K27" s="2024"/>
      <c r="L27" s="2024"/>
      <c r="M27" s="1969"/>
      <c r="N27" s="2049"/>
      <c r="O27" s="731"/>
      <c r="P27" s="731"/>
      <c r="Q27" s="2024"/>
      <c r="R27" s="2023"/>
      <c r="S27" s="730"/>
    </row>
    <row r="28" spans="2:20" hidden="1" outlineLevel="1">
      <c r="B28" s="2030" t="s">
        <v>2817</v>
      </c>
      <c r="C28" s="2054"/>
      <c r="D28" s="2053" t="s">
        <v>2816</v>
      </c>
      <c r="E28" s="2052">
        <v>0.05</v>
      </c>
      <c r="F28" s="2051"/>
      <c r="G28" s="2050"/>
      <c r="H28" s="2026"/>
      <c r="I28" s="2026"/>
      <c r="J28" s="2026"/>
      <c r="K28" s="2024"/>
      <c r="L28" s="2024"/>
      <c r="M28" s="1969"/>
      <c r="N28" s="2049"/>
      <c r="O28" s="731"/>
      <c r="P28" s="731"/>
      <c r="Q28" s="2024"/>
      <c r="R28" s="2023"/>
      <c r="S28" s="730"/>
    </row>
    <row r="29" spans="2:20" hidden="1" outlineLevel="1">
      <c r="B29" s="2022" t="s">
        <v>2788</v>
      </c>
      <c r="C29" s="2022"/>
      <c r="D29" s="2022" t="s">
        <v>2815</v>
      </c>
      <c r="E29" s="2048">
        <v>0.71499999999999997</v>
      </c>
      <c r="F29" s="2020">
        <f t="shared" ref="F29:F34" si="5">+P29</f>
        <v>94500</v>
      </c>
      <c r="G29" s="2047"/>
      <c r="H29" s="2018"/>
      <c r="I29" s="2018"/>
      <c r="J29" s="2018"/>
      <c r="K29" s="2013"/>
      <c r="L29" s="2013" t="s">
        <v>46</v>
      </c>
      <c r="M29" s="2046">
        <v>3.6</v>
      </c>
      <c r="N29" s="1969">
        <v>1.5</v>
      </c>
      <c r="O29" s="2014">
        <f t="shared" ref="O29:O34" si="6">VLOOKUP(L29,$R$6:$S$12,2,FALSE)</f>
        <v>17500</v>
      </c>
      <c r="P29" s="2014">
        <f t="shared" ref="P29:P34" si="7">+M29*N29*O29</f>
        <v>94500</v>
      </c>
      <c r="Q29" s="2013"/>
      <c r="R29" s="2012"/>
      <c r="S29" s="738"/>
    </row>
    <row r="30" spans="2:20" hidden="1" outlineLevel="1">
      <c r="B30" s="2040" t="s">
        <v>2742</v>
      </c>
      <c r="C30" s="2040" t="s">
        <v>2814</v>
      </c>
      <c r="D30" s="2040" t="s">
        <v>2813</v>
      </c>
      <c r="E30" s="2045">
        <v>8.0000000000000002E-3</v>
      </c>
      <c r="F30" s="2038">
        <f t="shared" si="5"/>
        <v>4000</v>
      </c>
      <c r="G30" s="2037"/>
      <c r="H30" s="2036"/>
      <c r="I30" s="2036"/>
      <c r="J30" s="2036"/>
      <c r="K30" s="2032"/>
      <c r="L30" s="2032" t="s">
        <v>115</v>
      </c>
      <c r="M30" s="2042">
        <v>4000</v>
      </c>
      <c r="N30" s="2035">
        <v>1</v>
      </c>
      <c r="O30" s="2044">
        <f t="shared" si="6"/>
        <v>1</v>
      </c>
      <c r="P30" s="718">
        <f t="shared" si="7"/>
        <v>4000</v>
      </c>
      <c r="Q30" s="2032"/>
      <c r="R30" s="2031"/>
      <c r="S30" s="717"/>
    </row>
    <row r="31" spans="2:20" hidden="1" outlineLevel="1">
      <c r="B31" s="2030" t="s">
        <v>2740</v>
      </c>
      <c r="C31" s="2030" t="s">
        <v>2812</v>
      </c>
      <c r="D31" s="2030" t="s">
        <v>2811</v>
      </c>
      <c r="E31" s="2043">
        <v>2E-3</v>
      </c>
      <c r="F31" s="2028">
        <f t="shared" si="5"/>
        <v>1890</v>
      </c>
      <c r="G31" s="2027"/>
      <c r="H31" s="2026"/>
      <c r="I31" s="2026"/>
      <c r="J31" s="2026"/>
      <c r="K31" s="2024"/>
      <c r="L31" s="2024" t="s">
        <v>115</v>
      </c>
      <c r="M31" s="2042">
        <v>1890</v>
      </c>
      <c r="N31" s="1969">
        <v>1</v>
      </c>
      <c r="O31" s="2041">
        <f t="shared" si="6"/>
        <v>1</v>
      </c>
      <c r="P31" s="731">
        <f t="shared" si="7"/>
        <v>1890</v>
      </c>
      <c r="Q31" s="2024"/>
      <c r="R31" s="2023"/>
      <c r="S31" s="730"/>
    </row>
    <row r="32" spans="2:20" hidden="1" outlineLevel="1">
      <c r="B32" s="2030" t="s">
        <v>2738</v>
      </c>
      <c r="C32" s="2030" t="s">
        <v>2810</v>
      </c>
      <c r="D32" s="2030" t="s">
        <v>2809</v>
      </c>
      <c r="E32" s="2043">
        <v>1.0999999999999999E-2</v>
      </c>
      <c r="F32" s="2028">
        <f t="shared" si="5"/>
        <v>3180</v>
      </c>
      <c r="G32" s="2027"/>
      <c r="H32" s="2026"/>
      <c r="I32" s="2026"/>
      <c r="J32" s="2026"/>
      <c r="K32" s="2024"/>
      <c r="L32" s="2024" t="s">
        <v>115</v>
      </c>
      <c r="M32" s="2042">
        <v>3180</v>
      </c>
      <c r="N32" s="1969">
        <v>1</v>
      </c>
      <c r="O32" s="2041">
        <f t="shared" si="6"/>
        <v>1</v>
      </c>
      <c r="P32" s="731">
        <f t="shared" si="7"/>
        <v>3180</v>
      </c>
      <c r="Q32" s="2024"/>
      <c r="R32" s="2023"/>
      <c r="S32" s="730"/>
    </row>
    <row r="33" spans="1:20" hidden="1" outlineLevel="1">
      <c r="B33" s="2030" t="s">
        <v>2736</v>
      </c>
      <c r="C33" s="2030"/>
      <c r="D33" s="2030" t="s">
        <v>2808</v>
      </c>
      <c r="E33" s="2043">
        <v>5.0000000000000001E-3</v>
      </c>
      <c r="F33" s="2028">
        <f t="shared" si="5"/>
        <v>100</v>
      </c>
      <c r="G33" s="2027"/>
      <c r="H33" s="2026"/>
      <c r="I33" s="2026"/>
      <c r="J33" s="2026"/>
      <c r="K33" s="2024"/>
      <c r="L33" s="2024" t="s">
        <v>115</v>
      </c>
      <c r="M33" s="2042">
        <v>100</v>
      </c>
      <c r="N33" s="1969">
        <v>1</v>
      </c>
      <c r="O33" s="2041">
        <f t="shared" si="6"/>
        <v>1</v>
      </c>
      <c r="P33" s="731">
        <f t="shared" si="7"/>
        <v>100</v>
      </c>
      <c r="Q33" s="2024"/>
      <c r="R33" s="2023"/>
      <c r="S33" s="730"/>
    </row>
    <row r="34" spans="1:20" hidden="1" outlineLevel="1">
      <c r="B34" s="2030" t="s">
        <v>2734</v>
      </c>
      <c r="C34" s="2030"/>
      <c r="D34" s="2030" t="s">
        <v>2733</v>
      </c>
      <c r="E34" s="2043">
        <v>2E-3</v>
      </c>
      <c r="F34" s="2028">
        <f t="shared" si="5"/>
        <v>100</v>
      </c>
      <c r="G34" s="2027"/>
      <c r="H34" s="2026"/>
      <c r="I34" s="2026"/>
      <c r="J34" s="2026"/>
      <c r="K34" s="2024"/>
      <c r="L34" s="2024" t="s">
        <v>115</v>
      </c>
      <c r="M34" s="2042">
        <v>100</v>
      </c>
      <c r="N34" s="1969">
        <v>1</v>
      </c>
      <c r="O34" s="2041">
        <f t="shared" si="6"/>
        <v>1</v>
      </c>
      <c r="P34" s="731">
        <f t="shared" si="7"/>
        <v>100</v>
      </c>
      <c r="Q34" s="2024"/>
      <c r="R34" s="2023"/>
      <c r="S34" s="730"/>
    </row>
    <row r="35" spans="1:20" hidden="1" outlineLevel="1">
      <c r="B35" s="2040" t="s">
        <v>2807</v>
      </c>
      <c r="C35" s="2040"/>
      <c r="D35" s="2040" t="s">
        <v>2806</v>
      </c>
      <c r="E35" s="2039">
        <v>0.5</v>
      </c>
      <c r="F35" s="2038"/>
      <c r="G35" s="2037"/>
      <c r="H35" s="2036"/>
      <c r="I35" s="2036"/>
      <c r="J35" s="2036"/>
      <c r="K35" s="2032"/>
      <c r="L35" s="2032" t="s">
        <v>46</v>
      </c>
      <c r="M35" s="2035"/>
      <c r="N35" s="2034"/>
      <c r="O35" s="2033"/>
      <c r="P35" s="718"/>
      <c r="Q35" s="2032"/>
      <c r="R35" s="2031"/>
      <c r="S35" s="717"/>
    </row>
    <row r="36" spans="1:20" hidden="1" outlineLevel="1">
      <c r="B36" s="2030" t="s">
        <v>2805</v>
      </c>
      <c r="C36" s="2030"/>
      <c r="D36" s="2030" t="s">
        <v>2804</v>
      </c>
      <c r="E36" s="2029">
        <v>0.5</v>
      </c>
      <c r="F36" s="2028"/>
      <c r="G36" s="2027"/>
      <c r="H36" s="2026"/>
      <c r="I36" s="2026"/>
      <c r="J36" s="2026"/>
      <c r="K36" s="2024"/>
      <c r="L36" s="2024" t="s">
        <v>46</v>
      </c>
      <c r="M36" s="1969"/>
      <c r="N36" s="2025"/>
      <c r="O36" s="1971"/>
      <c r="P36" s="731"/>
      <c r="Q36" s="2024"/>
      <c r="R36" s="2023"/>
      <c r="S36" s="730"/>
    </row>
    <row r="37" spans="1:20" hidden="1" outlineLevel="1">
      <c r="B37" s="2030" t="s">
        <v>2803</v>
      </c>
      <c r="C37" s="2030"/>
      <c r="D37" s="2030" t="s">
        <v>2802</v>
      </c>
      <c r="E37" s="2029">
        <v>0.5</v>
      </c>
      <c r="F37" s="2028"/>
      <c r="G37" s="2027"/>
      <c r="H37" s="2026"/>
      <c r="I37" s="2026"/>
      <c r="J37" s="2026"/>
      <c r="K37" s="2024"/>
      <c r="L37" s="2024" t="s">
        <v>46</v>
      </c>
      <c r="M37" s="1969"/>
      <c r="N37" s="2025"/>
      <c r="O37" s="1971"/>
      <c r="P37" s="731"/>
      <c r="Q37" s="2024"/>
      <c r="R37" s="2023"/>
      <c r="S37" s="730"/>
    </row>
    <row r="38" spans="1:20" hidden="1" outlineLevel="1">
      <c r="B38" s="2030" t="s">
        <v>2801</v>
      </c>
      <c r="C38" s="2030"/>
      <c r="D38" s="2030" t="s">
        <v>2800</v>
      </c>
      <c r="E38" s="2029">
        <v>0.9</v>
      </c>
      <c r="F38" s="2028"/>
      <c r="G38" s="2027"/>
      <c r="H38" s="2026"/>
      <c r="I38" s="2026"/>
      <c r="J38" s="2026"/>
      <c r="K38" s="2024"/>
      <c r="L38" s="2024" t="s">
        <v>46</v>
      </c>
      <c r="M38" s="1969"/>
      <c r="N38" s="2025"/>
      <c r="O38" s="1971"/>
      <c r="P38" s="731"/>
      <c r="Q38" s="2024"/>
      <c r="R38" s="2023"/>
      <c r="S38" s="730"/>
    </row>
    <row r="39" spans="1:20" hidden="1" outlineLevel="1">
      <c r="B39" s="2030" t="s">
        <v>2799</v>
      </c>
      <c r="C39" s="2030"/>
      <c r="D39" s="2030" t="s">
        <v>2798</v>
      </c>
      <c r="E39" s="2029">
        <v>1.4</v>
      </c>
      <c r="F39" s="2028"/>
      <c r="G39" s="2027"/>
      <c r="H39" s="2026"/>
      <c r="I39" s="2026"/>
      <c r="J39" s="2026"/>
      <c r="K39" s="2024"/>
      <c r="L39" s="2024" t="s">
        <v>46</v>
      </c>
      <c r="M39" s="1969"/>
      <c r="N39" s="2025"/>
      <c r="O39" s="1971"/>
      <c r="P39" s="731"/>
      <c r="Q39" s="2024"/>
      <c r="R39" s="2023"/>
      <c r="S39" s="730"/>
    </row>
    <row r="40" spans="1:20" hidden="1" outlineLevel="1">
      <c r="B40" s="2022" t="s">
        <v>2797</v>
      </c>
      <c r="C40" s="2022"/>
      <c r="D40" s="2022" t="s">
        <v>2796</v>
      </c>
      <c r="E40" s="2021">
        <v>1.4</v>
      </c>
      <c r="F40" s="2020"/>
      <c r="G40" s="2019"/>
      <c r="H40" s="2018"/>
      <c r="I40" s="2018"/>
      <c r="J40" s="2018"/>
      <c r="K40" s="2013"/>
      <c r="L40" s="2013" t="s">
        <v>46</v>
      </c>
      <c r="M40" s="2017"/>
      <c r="N40" s="2016"/>
      <c r="O40" s="2015"/>
      <c r="P40" s="2014"/>
      <c r="Q40" s="2013"/>
      <c r="R40" s="2012"/>
      <c r="S40" s="738"/>
    </row>
    <row r="41" spans="1:20" s="1506" customFormat="1" ht="18" collapsed="1">
      <c r="B41" s="2184" t="s">
        <v>2795</v>
      </c>
      <c r="C41" s="2185"/>
      <c r="D41" s="2185"/>
      <c r="E41" s="2185"/>
      <c r="F41" s="2185"/>
      <c r="G41" s="2185"/>
      <c r="H41" s="2185"/>
      <c r="I41" s="2185"/>
      <c r="J41" s="2185"/>
      <c r="K41" s="2185"/>
      <c r="L41" s="2185"/>
      <c r="M41" s="2185"/>
      <c r="N41" s="2185"/>
      <c r="O41" s="2185"/>
      <c r="P41" s="2185"/>
      <c r="Q41" s="2185"/>
      <c r="R41" s="2185"/>
      <c r="S41" s="2186"/>
      <c r="T41" s="1622"/>
    </row>
    <row r="42" spans="1:20" s="1506" customFormat="1" ht="14.45" hidden="1" customHeight="1" outlineLevel="1">
      <c r="A42" s="1624"/>
      <c r="B42" s="2011" t="s">
        <v>21</v>
      </c>
      <c r="C42" s="2010" t="s">
        <v>19</v>
      </c>
      <c r="D42" s="1963" t="s">
        <v>2778</v>
      </c>
      <c r="E42" s="2187" t="s">
        <v>2777</v>
      </c>
      <c r="F42" s="2188"/>
      <c r="G42" s="2188"/>
      <c r="H42" s="2188"/>
      <c r="I42" s="2188"/>
      <c r="J42" s="2188"/>
      <c r="K42" s="2188"/>
      <c r="L42" s="2188"/>
      <c r="M42" s="2188"/>
      <c r="N42" s="2188"/>
      <c r="O42" s="2189"/>
      <c r="P42" s="2009" t="s">
        <v>21</v>
      </c>
      <c r="Q42" s="2008" t="s">
        <v>19</v>
      </c>
      <c r="R42" s="2190">
        <v>43088</v>
      </c>
      <c r="S42" s="2191"/>
      <c r="T42" s="1495"/>
    </row>
    <row r="43" spans="1:20" hidden="1" outlineLevel="1">
      <c r="B43" s="363">
        <f>B70</f>
        <v>500</v>
      </c>
      <c r="C43" s="363">
        <f>C70</f>
        <v>410</v>
      </c>
      <c r="D43" s="1956" t="s">
        <v>2776</v>
      </c>
      <c r="E43" s="2192" t="s">
        <v>2775</v>
      </c>
      <c r="F43" s="2192"/>
      <c r="G43" s="2192"/>
      <c r="H43" s="2192"/>
      <c r="I43" s="2192"/>
      <c r="J43" s="2192"/>
      <c r="K43" s="2192"/>
      <c r="L43" s="2192"/>
      <c r="M43" s="2192"/>
      <c r="N43" s="2192"/>
      <c r="O43" s="2192"/>
      <c r="P43" s="1961">
        <f>+B43</f>
        <v>500</v>
      </c>
      <c r="Q43" s="1961">
        <f>P44*100+10</f>
        <v>410</v>
      </c>
      <c r="R43" s="1954" t="s">
        <v>126</v>
      </c>
      <c r="S43" s="1953">
        <f>+S$7</f>
        <v>17500</v>
      </c>
    </row>
    <row r="44" spans="1:20" hidden="1" outlineLevel="1">
      <c r="B44" s="2193">
        <f>B71</f>
        <v>0</v>
      </c>
      <c r="C44" s="2193"/>
      <c r="D44" s="1956" t="s">
        <v>2774</v>
      </c>
      <c r="E44" s="2192" t="s">
        <v>2773</v>
      </c>
      <c r="F44" s="2192"/>
      <c r="G44" s="2192"/>
      <c r="H44" s="2192"/>
      <c r="I44" s="2192"/>
      <c r="J44" s="2192"/>
      <c r="K44" s="2192"/>
      <c r="L44" s="2192"/>
      <c r="M44" s="2192"/>
      <c r="N44" s="2192"/>
      <c r="O44" s="2192"/>
      <c r="P44" s="1961">
        <f>ROUNDDOWN(C43/100,0)</f>
        <v>4</v>
      </c>
      <c r="Q44" s="1955">
        <f>IF(P43&lt;=1400,0,IF(AND(P43&gt;1400,P43&lt;=2100),1,2))</f>
        <v>0</v>
      </c>
      <c r="R44" s="1954" t="s">
        <v>2772</v>
      </c>
      <c r="S44" s="1953">
        <f>+S$8</f>
        <v>16079.99</v>
      </c>
    </row>
    <row r="45" spans="1:20" hidden="1" outlineLevel="1">
      <c r="B45" s="2193"/>
      <c r="C45" s="2193"/>
      <c r="D45" s="1956"/>
      <c r="E45" s="2207" t="s">
        <v>2771</v>
      </c>
      <c r="F45" s="2208"/>
      <c r="G45" s="2208"/>
      <c r="H45" s="2208"/>
      <c r="I45" s="2208"/>
      <c r="J45" s="2208"/>
      <c r="K45" s="2208"/>
      <c r="L45" s="2208"/>
      <c r="M45" s="2208"/>
      <c r="N45" s="2208"/>
      <c r="O45" s="2209"/>
      <c r="P45" s="1960">
        <f>P44*(Q44+1)</f>
        <v>4</v>
      </c>
      <c r="Q45" s="1959">
        <f>(P43-Q44*34.3)/(Q44+1)</f>
        <v>500</v>
      </c>
      <c r="R45" s="1954" t="s">
        <v>2770</v>
      </c>
      <c r="S45" s="1953">
        <f>+S$9</f>
        <v>3429.69</v>
      </c>
    </row>
    <row r="46" spans="1:20" hidden="1" outlineLevel="1">
      <c r="B46" s="2215"/>
      <c r="C46" s="2216"/>
      <c r="D46" s="1956"/>
      <c r="E46" s="2192" t="s">
        <v>2769</v>
      </c>
      <c r="F46" s="2192"/>
      <c r="G46" s="2192"/>
      <c r="H46" s="2192"/>
      <c r="I46" s="2192"/>
      <c r="J46" s="2192"/>
      <c r="K46" s="2192"/>
      <c r="L46" s="2192"/>
      <c r="M46" s="2192"/>
      <c r="N46" s="2192"/>
      <c r="O46" s="2192"/>
      <c r="P46" s="1958">
        <f>Q43/1000*P43/1000</f>
        <v>0.20499999999999999</v>
      </c>
      <c r="Q46" s="1957" t="str">
        <f>IF(P46&lt;0.5,"2Nm",IF(AND(P46&gt;0.5,P46&lt;1),"5Nm",IF(AND(P46&gt;1,P46&lt;2),"10Nm",IF(AND(P46&gt;2,P46&lt;4),"20Nm",IF(AND(P46&gt;4,P46&lt;6),"30Nm",IF(AND(P46&gt;6,P46&lt;8),"40Nm","NA"))))))</f>
        <v>2Nm</v>
      </c>
      <c r="R46" s="1954" t="s">
        <v>2768</v>
      </c>
      <c r="S46" s="1953">
        <f>+S$10</f>
        <v>2192.36</v>
      </c>
    </row>
    <row r="47" spans="1:20" hidden="1" outlineLevel="1">
      <c r="B47" s="2193"/>
      <c r="C47" s="2193"/>
      <c r="D47" s="1956"/>
      <c r="E47" s="2207"/>
      <c r="F47" s="2208"/>
      <c r="G47" s="2208"/>
      <c r="H47" s="2208"/>
      <c r="I47" s="2208"/>
      <c r="J47" s="2208"/>
      <c r="K47" s="2208"/>
      <c r="L47" s="2208"/>
      <c r="M47" s="2208"/>
      <c r="N47" s="2208"/>
      <c r="O47" s="2209"/>
      <c r="P47" s="2217"/>
      <c r="Q47" s="2217"/>
      <c r="R47" s="1954" t="s">
        <v>2767</v>
      </c>
      <c r="S47" s="1953">
        <f>+S$11</f>
        <v>11262.76</v>
      </c>
    </row>
    <row r="48" spans="1:20" ht="15" hidden="1" outlineLevel="1">
      <c r="B48" s="2210" t="s">
        <v>1157</v>
      </c>
      <c r="C48" s="2210" t="s">
        <v>2766</v>
      </c>
      <c r="D48" s="2212" t="s">
        <v>2765</v>
      </c>
      <c r="E48" s="2214" t="s">
        <v>2764</v>
      </c>
      <c r="F48" s="2214"/>
      <c r="G48" s="2214"/>
      <c r="H48" s="2214"/>
      <c r="I48" s="2214"/>
      <c r="J48" s="2214" t="s">
        <v>2763</v>
      </c>
      <c r="K48" s="2214"/>
      <c r="L48" s="2214"/>
      <c r="M48" s="2214"/>
      <c r="N48" s="2214"/>
      <c r="O48" s="2214"/>
      <c r="P48" s="2203" t="s">
        <v>2762</v>
      </c>
      <c r="Q48" s="2204"/>
      <c r="R48" s="2205" t="s">
        <v>1160</v>
      </c>
      <c r="S48" s="2205"/>
    </row>
    <row r="49" spans="1:24" ht="13.9" hidden="1" customHeight="1" outlineLevel="1">
      <c r="B49" s="2211"/>
      <c r="C49" s="2211"/>
      <c r="D49" s="2213"/>
      <c r="E49" s="1948" t="s">
        <v>1085</v>
      </c>
      <c r="F49" s="1952" t="s">
        <v>2492</v>
      </c>
      <c r="G49" s="1952" t="s">
        <v>2761</v>
      </c>
      <c r="H49" s="1948" t="s">
        <v>2760</v>
      </c>
      <c r="I49" s="1952" t="s">
        <v>2794</v>
      </c>
      <c r="J49" s="1950" t="s">
        <v>82</v>
      </c>
      <c r="K49" s="1949" t="s">
        <v>1163</v>
      </c>
      <c r="L49" s="1948" t="s">
        <v>1154</v>
      </c>
      <c r="M49" s="1948" t="s">
        <v>34</v>
      </c>
      <c r="N49" s="1948" t="s">
        <v>2758</v>
      </c>
      <c r="O49" s="1948" t="s">
        <v>13</v>
      </c>
      <c r="P49" s="1286" t="s">
        <v>2757</v>
      </c>
      <c r="Q49" s="900" t="s">
        <v>2756</v>
      </c>
      <c r="R49" s="1286" t="s">
        <v>2755</v>
      </c>
      <c r="S49" s="905" t="s">
        <v>2754</v>
      </c>
    </row>
    <row r="50" spans="1:24" hidden="1" outlineLevel="1">
      <c r="B50" s="1940" t="s">
        <v>2793</v>
      </c>
      <c r="C50" s="1940"/>
      <c r="D50" s="1939" t="str">
        <f t="shared" ref="D50:D58" si="8">VLOOKUP($B50,$B$7:$S$40,3,FALSE)</f>
        <v>Damper Frame : Horizontal, T/B Profile -34.4T x 125W</v>
      </c>
      <c r="E50" s="474" t="s">
        <v>1080</v>
      </c>
      <c r="F50" s="2006"/>
      <c r="G50" s="1932"/>
      <c r="H50" s="1930"/>
      <c r="I50" s="1937">
        <f>P43+34.4*2</f>
        <v>568.79999999999995</v>
      </c>
      <c r="J50" s="2004">
        <v>1</v>
      </c>
      <c r="K50" s="1934">
        <f>IF(F50&gt;0,22/28*((F50/1000)^2-(F50/1000-2*G50/1000)^2)*H50/1000,IF(G50&gt;0,G50/1000*H50/1000*I50/1000, IF(H50&gt;0,H50/1000*I50/1000, IF(I50=0,1,I50/1000))))</f>
        <v>0.56879999999999997</v>
      </c>
      <c r="L50" s="1933">
        <f t="shared" ref="L50:L58" si="9">J50*K50</f>
        <v>0.56879999999999997</v>
      </c>
      <c r="M50" s="2003">
        <v>1.05</v>
      </c>
      <c r="N50" s="1931">
        <v>2</v>
      </c>
      <c r="O50" s="2002">
        <f t="shared" ref="O50:O58" si="10">L50*M50*N50</f>
        <v>1.19448</v>
      </c>
      <c r="P50" s="2001">
        <f t="shared" ref="P50:P58" si="11">IF($J50=1,VLOOKUP($B50,$B$7:$S$40,4,FALSE),1)</f>
        <v>1.032</v>
      </c>
      <c r="Q50" s="2000">
        <f t="shared" ref="Q50:Q58" si="12">O50*P50/M50</f>
        <v>1.1740031999999998</v>
      </c>
      <c r="R50" s="1999">
        <f t="shared" ref="R50:R58" si="13">VLOOKUP($B50,$B$7:$S$40,5,FALSE)</f>
        <v>86114.207999999999</v>
      </c>
      <c r="S50" s="2007">
        <f t="shared" ref="S50:S58" si="14">+O50*R50</f>
        <v>102861.69917183999</v>
      </c>
    </row>
    <row r="51" spans="1:24" hidden="1" outlineLevel="1">
      <c r="B51" s="371" t="s">
        <v>2792</v>
      </c>
      <c r="C51" s="371"/>
      <c r="D51" s="1925" t="str">
        <f t="shared" si="8"/>
        <v>Damper Frame : Vertical,  L/R Profile - 34.4T x 125W</v>
      </c>
      <c r="E51" s="416" t="s">
        <v>1080</v>
      </c>
      <c r="F51" s="1997"/>
      <c r="G51" s="1918"/>
      <c r="H51" s="1916"/>
      <c r="I51" s="1923">
        <f>Q43</f>
        <v>410</v>
      </c>
      <c r="J51" s="1995">
        <v>1</v>
      </c>
      <c r="K51" s="1920">
        <f>IF(F51&gt;0,22/28*((F51/1000)^2-(F51/1000-2*G51/1000)^2)*H51/1000,IF(G51&gt;0,G51/1000*H51/1000*I51/1000, IF(H51&gt;0,H51/1000*I51/1000, IF(I51=0,1,I51/1000))))</f>
        <v>0.41</v>
      </c>
      <c r="L51" s="1919">
        <f t="shared" si="9"/>
        <v>0.41</v>
      </c>
      <c r="M51" s="1994">
        <v>1.05</v>
      </c>
      <c r="N51" s="1917">
        <v>2</v>
      </c>
      <c r="O51" s="1993">
        <f t="shared" si="10"/>
        <v>0.86099999999999999</v>
      </c>
      <c r="P51" s="1992">
        <f t="shared" si="11"/>
        <v>1.4</v>
      </c>
      <c r="Q51" s="1991">
        <f t="shared" si="12"/>
        <v>1.1479999999999997</v>
      </c>
      <c r="R51" s="1990">
        <f t="shared" si="13"/>
        <v>109200</v>
      </c>
      <c r="S51" s="1989">
        <f t="shared" si="14"/>
        <v>94021.2</v>
      </c>
    </row>
    <row r="52" spans="1:24" hidden="1" outlineLevel="1">
      <c r="B52" s="371" t="s">
        <v>2791</v>
      </c>
      <c r="C52" s="371"/>
      <c r="D52" s="1925" t="str">
        <f t="shared" si="8"/>
        <v>Damper Frame : Vertical, Center Profile - 34.4T x 125W</v>
      </c>
      <c r="E52" s="416" t="s">
        <v>1080</v>
      </c>
      <c r="F52" s="1997"/>
      <c r="G52" s="1918"/>
      <c r="H52" s="1916"/>
      <c r="I52" s="1996">
        <f>Q43</f>
        <v>410</v>
      </c>
      <c r="J52" s="1995">
        <v>1</v>
      </c>
      <c r="K52" s="1920">
        <f>IF(F52&gt;0,22/28*((F52/1000)^2-(F52/1000-2*G52/1000)^2)*H52/1000,IF(G52&gt;0,G52/1000*H52/1000*I52/1000, IF(H52&gt;0,H52/1000*I52/1000, IF(I52=0,1,I52/1000))))</f>
        <v>0.41</v>
      </c>
      <c r="L52" s="1919">
        <f t="shared" si="9"/>
        <v>0.41</v>
      </c>
      <c r="M52" s="1994">
        <v>1.05</v>
      </c>
      <c r="N52" s="1917">
        <f>+Q44</f>
        <v>0</v>
      </c>
      <c r="O52" s="1993">
        <f t="shared" si="10"/>
        <v>0</v>
      </c>
      <c r="P52" s="1992">
        <f t="shared" si="11"/>
        <v>1.7589999999999999</v>
      </c>
      <c r="Q52" s="1991">
        <f t="shared" si="12"/>
        <v>0</v>
      </c>
      <c r="R52" s="1990">
        <f t="shared" si="13"/>
        <v>214624.38499999998</v>
      </c>
      <c r="S52" s="1989">
        <f t="shared" si="14"/>
        <v>0</v>
      </c>
    </row>
    <row r="53" spans="1:24" hidden="1" outlineLevel="1">
      <c r="B53" s="371" t="s">
        <v>2790</v>
      </c>
      <c r="C53" s="371"/>
      <c r="D53" s="1925" t="str">
        <f t="shared" si="8"/>
        <v>Damper, Leaf : Flat Blade Profile - 15.7T x 108W</v>
      </c>
      <c r="E53" s="416" t="s">
        <v>1080</v>
      </c>
      <c r="F53" s="1997"/>
      <c r="G53" s="1918"/>
      <c r="H53" s="1916"/>
      <c r="I53" s="1884">
        <f>+Q45</f>
        <v>500</v>
      </c>
      <c r="J53" s="1995">
        <v>1</v>
      </c>
      <c r="K53" s="1920">
        <f>IF(F53&gt;0,22/28*((F53/1000)^2-(F53/1000-2*G53/1000)^2)*H53/1000,IF(G53&gt;0,G53/1000*H53/1000*Q45/1000, IF(H53&gt;0,H53/1000*Q45/1000, IF(Q45=0,1,Q45/1000))))</f>
        <v>0.5</v>
      </c>
      <c r="L53" s="1919">
        <f t="shared" si="9"/>
        <v>0.5</v>
      </c>
      <c r="M53" s="1994">
        <v>1.05</v>
      </c>
      <c r="N53" s="1917">
        <f>+P45</f>
        <v>4</v>
      </c>
      <c r="O53" s="1993">
        <f t="shared" si="10"/>
        <v>2.1</v>
      </c>
      <c r="P53" s="1992">
        <f t="shared" si="11"/>
        <v>0.85</v>
      </c>
      <c r="Q53" s="1991">
        <f t="shared" si="12"/>
        <v>1.7</v>
      </c>
      <c r="R53" s="1990">
        <f t="shared" si="13"/>
        <v>69353.625</v>
      </c>
      <c r="S53" s="1989">
        <f t="shared" si="14"/>
        <v>145642.61250000002</v>
      </c>
    </row>
    <row r="54" spans="1:24" hidden="1" outlineLevel="1">
      <c r="B54" s="371" t="s">
        <v>2789</v>
      </c>
      <c r="C54" s="371"/>
      <c r="D54" s="1925" t="str">
        <f t="shared" si="8"/>
        <v>Damper, Gasket : 200m/roll (密封胶条）</v>
      </c>
      <c r="E54" s="416" t="s">
        <v>1080</v>
      </c>
      <c r="F54" s="1997"/>
      <c r="G54" s="1918"/>
      <c r="H54" s="1916"/>
      <c r="I54" s="1996">
        <f>Q45</f>
        <v>500</v>
      </c>
      <c r="J54" s="1995">
        <v>1</v>
      </c>
      <c r="K54" s="1920">
        <f>IF(F54&gt;0,22/28*((F54/1000)^2-(F54/1000-2*G54/1000)^2)*H54/1000,IF(G54&gt;0,G54/1000*H54/1000*I54/1000, IF(H54&gt;0,H54/1000*I54/1000, IF(I54=0,1,I54/1000))))</f>
        <v>0.5</v>
      </c>
      <c r="L54" s="1919">
        <f t="shared" si="9"/>
        <v>0.5</v>
      </c>
      <c r="M54" s="1994">
        <v>1.05</v>
      </c>
      <c r="N54" s="1917">
        <f>(N53*2)+((P46+1)*2)</f>
        <v>10.41</v>
      </c>
      <c r="O54" s="1993">
        <f t="shared" si="10"/>
        <v>5.4652500000000002</v>
      </c>
      <c r="P54" s="1992">
        <f t="shared" si="11"/>
        <v>3.7350000000000001E-2</v>
      </c>
      <c r="Q54" s="1991">
        <f t="shared" si="12"/>
        <v>0.19440675000000002</v>
      </c>
      <c r="R54" s="1990">
        <f t="shared" si="13"/>
        <v>2454.75</v>
      </c>
      <c r="S54" s="1989">
        <f t="shared" si="14"/>
        <v>13415.822437500001</v>
      </c>
    </row>
    <row r="55" spans="1:24" hidden="1" outlineLevel="1">
      <c r="B55" s="1911" t="s">
        <v>2788</v>
      </c>
      <c r="C55" s="1911"/>
      <c r="D55" s="1910" t="str">
        <f t="shared" si="8"/>
        <v>Damper, Actuator Base : 90W x 150L</v>
      </c>
      <c r="E55" s="490" t="s">
        <v>1080</v>
      </c>
      <c r="F55" s="1987"/>
      <c r="G55" s="1903"/>
      <c r="H55" s="1901"/>
      <c r="I55" s="1908">
        <v>150</v>
      </c>
      <c r="J55" s="1942">
        <v>1</v>
      </c>
      <c r="K55" s="1905">
        <f>IF(F55&gt;0,22/28*((F55/1000)^2-(F55/1000-2*G55/1000)^2)*H55/1000,IF(G55&gt;0,G55/1000*H55/1000*I55/1000, IF(H55&gt;0,H55/1000*I55/1000, IF(I55=0,1,I55/1000))))</f>
        <v>0.15</v>
      </c>
      <c r="L55" s="1904">
        <f t="shared" si="9"/>
        <v>0.15</v>
      </c>
      <c r="M55" s="1984">
        <v>1</v>
      </c>
      <c r="N55" s="1902">
        <f>IF(B44=1,1,0)</f>
        <v>0</v>
      </c>
      <c r="O55" s="1983">
        <f t="shared" si="10"/>
        <v>0</v>
      </c>
      <c r="P55" s="1982">
        <f t="shared" si="11"/>
        <v>0.71499999999999997</v>
      </c>
      <c r="Q55" s="1981">
        <f t="shared" si="12"/>
        <v>0</v>
      </c>
      <c r="R55" s="1980">
        <f t="shared" si="13"/>
        <v>94500</v>
      </c>
      <c r="S55" s="1979">
        <f t="shared" si="14"/>
        <v>0</v>
      </c>
    </row>
    <row r="56" spans="1:24" s="418" customFormat="1" ht="15" hidden="1" outlineLevel="1">
      <c r="A56" s="1624"/>
      <c r="B56" s="1940" t="s">
        <v>2787</v>
      </c>
      <c r="C56" s="1940"/>
      <c r="D56" s="1939" t="str">
        <f t="shared" si="8"/>
        <v>Damper, Gear Housing Set : PA (齿轮）</v>
      </c>
      <c r="E56" s="474" t="s">
        <v>148</v>
      </c>
      <c r="F56" s="2006"/>
      <c r="G56" s="1932"/>
      <c r="H56" s="1930"/>
      <c r="I56" s="2005"/>
      <c r="J56" s="2004">
        <v>1</v>
      </c>
      <c r="K56" s="1934">
        <f>IF(F56&gt;0,22/28*((F56/1000)^2-(F56/1000-2*G56/1000)^2)*H56/1000,IF(G56&gt;0,G56/1000*H56/1000*I56/1000, IF(H56&gt;0,H56/1000*I56/1000, IF(I56=0,1,I56/1000))))</f>
        <v>1</v>
      </c>
      <c r="L56" s="1933">
        <f t="shared" si="9"/>
        <v>1</v>
      </c>
      <c r="M56" s="2003">
        <v>1</v>
      </c>
      <c r="N56" s="1931">
        <f>+N53</f>
        <v>4</v>
      </c>
      <c r="O56" s="2002">
        <f t="shared" si="10"/>
        <v>4</v>
      </c>
      <c r="P56" s="2001">
        <f t="shared" si="11"/>
        <v>0.12</v>
      </c>
      <c r="Q56" s="2000">
        <f t="shared" si="12"/>
        <v>0.48</v>
      </c>
      <c r="R56" s="1999">
        <f t="shared" si="13"/>
        <v>20355.000000000004</v>
      </c>
      <c r="S56" s="1998">
        <f t="shared" si="14"/>
        <v>81420.000000000015</v>
      </c>
      <c r="T56" s="1495"/>
      <c r="U56" s="1624"/>
      <c r="V56" s="1624"/>
      <c r="W56" s="1624"/>
      <c r="X56" s="1624"/>
    </row>
    <row r="57" spans="1:24" s="418" customFormat="1" ht="15" hidden="1" outlineLevel="1">
      <c r="A57" s="1624"/>
      <c r="B57" s="371" t="s">
        <v>2786</v>
      </c>
      <c r="C57" s="371"/>
      <c r="D57" s="1925" t="str">
        <f t="shared" si="8"/>
        <v>Damper, Handle : (铝执手)</v>
      </c>
      <c r="E57" s="416" t="s">
        <v>148</v>
      </c>
      <c r="F57" s="1997"/>
      <c r="G57" s="1918"/>
      <c r="H57" s="1916"/>
      <c r="I57" s="1996"/>
      <c r="J57" s="1995">
        <v>1</v>
      </c>
      <c r="K57" s="1920">
        <f>IF(F57&gt;0,22/28*((F57/1000)^2-(F57/1000-2*G57/1000)^2)*H57/1000,IF(G57&gt;0,G57/1000*H57/1000*I57/1000, IF(H57&gt;0,H57/1000*I57/1000, IF(I57=0,1,I57/1000))))</f>
        <v>1</v>
      </c>
      <c r="L57" s="1919">
        <f t="shared" si="9"/>
        <v>1</v>
      </c>
      <c r="M57" s="1994">
        <v>1</v>
      </c>
      <c r="N57" s="1917">
        <f>IF(B44=0,1,0)</f>
        <v>1</v>
      </c>
      <c r="O57" s="1993">
        <f t="shared" si="10"/>
        <v>1</v>
      </c>
      <c r="P57" s="1992">
        <f t="shared" si="11"/>
        <v>0.37</v>
      </c>
      <c r="Q57" s="1991">
        <f t="shared" si="12"/>
        <v>0.37</v>
      </c>
      <c r="R57" s="1990">
        <f t="shared" si="13"/>
        <v>117990</v>
      </c>
      <c r="S57" s="1989">
        <f t="shared" si="14"/>
        <v>117990</v>
      </c>
      <c r="T57" s="1495"/>
      <c r="U57" s="1624"/>
      <c r="V57" s="1624"/>
      <c r="W57" s="1624"/>
      <c r="X57" s="1624"/>
    </row>
    <row r="58" spans="1:24" s="418" customFormat="1" ht="15" hidden="1" outlineLevel="1">
      <c r="A58" s="1624"/>
      <c r="B58" s="1988" t="str">
        <f>+Q$46</f>
        <v>2Nm</v>
      </c>
      <c r="C58" s="1911"/>
      <c r="D58" s="1910" t="str">
        <f t="shared" si="8"/>
        <v>Actuator 2Nm, 70sec : 0.5m2 FA</v>
      </c>
      <c r="E58" s="490" t="s">
        <v>148</v>
      </c>
      <c r="F58" s="1987"/>
      <c r="G58" s="1903"/>
      <c r="H58" s="1901"/>
      <c r="I58" s="1986"/>
      <c r="J58" s="1942">
        <v>1</v>
      </c>
      <c r="K58" s="1905">
        <f>IF(F58&gt;0,22/28*((F58/1000)^2-(F58/1000-2*G58/1000)^2)*H58/1000,IF(G58&gt;0,G58/1000*H58/1000*I58/1000, IF(H58&gt;0,H58/1000*I58/1000, IF(I58=0,1,I58/1000))))</f>
        <v>1</v>
      </c>
      <c r="L58" s="1985">
        <f t="shared" si="9"/>
        <v>1</v>
      </c>
      <c r="M58" s="1984">
        <v>1</v>
      </c>
      <c r="N58" s="1902">
        <f>IF(B44=1,1,0)</f>
        <v>0</v>
      </c>
      <c r="O58" s="1983">
        <f t="shared" si="10"/>
        <v>0</v>
      </c>
      <c r="P58" s="1982">
        <f t="shared" si="11"/>
        <v>0.5</v>
      </c>
      <c r="Q58" s="1981">
        <f t="shared" si="12"/>
        <v>0</v>
      </c>
      <c r="R58" s="1980">
        <f t="shared" si="13"/>
        <v>0</v>
      </c>
      <c r="S58" s="1979">
        <f t="shared" si="14"/>
        <v>0</v>
      </c>
      <c r="T58" s="1495"/>
      <c r="U58" s="1624"/>
      <c r="V58" s="1624"/>
      <c r="W58" s="1624"/>
      <c r="X58" s="1624"/>
    </row>
    <row r="59" spans="1:24" s="418" customFormat="1" hidden="1" outlineLevel="1">
      <c r="A59" s="1624"/>
      <c r="B59" s="403"/>
      <c r="C59" s="403"/>
      <c r="D59" s="403"/>
      <c r="E59" s="2206" t="s">
        <v>2732</v>
      </c>
      <c r="F59" s="2206"/>
      <c r="G59" s="2206"/>
      <c r="H59" s="2206"/>
      <c r="J59" s="401"/>
      <c r="M59" s="400"/>
      <c r="N59" s="1978"/>
      <c r="O59" s="400"/>
      <c r="P59" s="400"/>
      <c r="Q59" s="1896">
        <f>SUM(Q50:Q58)</f>
        <v>5.0664099499999997</v>
      </c>
      <c r="R59" s="1777"/>
      <c r="S59" s="1777">
        <f>SUM(S50:S58)</f>
        <v>555351.33410933998</v>
      </c>
      <c r="T59" s="1977">
        <f>+S59/S92</f>
        <v>2.2548080233690899</v>
      </c>
      <c r="U59" s="1624"/>
      <c r="V59" s="1624"/>
      <c r="W59" s="1624"/>
      <c r="X59" s="1624"/>
    </row>
    <row r="60" spans="1:24" s="418" customFormat="1" ht="15" hidden="1" outlineLevel="1">
      <c r="A60" s="1506"/>
      <c r="B60" s="1772"/>
      <c r="C60" s="1772"/>
      <c r="D60" s="1772"/>
      <c r="E60" s="2218" t="s">
        <v>2731</v>
      </c>
      <c r="F60" s="2218"/>
      <c r="G60" s="2218"/>
      <c r="H60" s="2218"/>
      <c r="I60" s="1624"/>
      <c r="J60" s="1624"/>
      <c r="K60" s="1624"/>
      <c r="L60" s="1624"/>
      <c r="M60" s="1506"/>
      <c r="N60" s="503"/>
      <c r="O60" s="502"/>
      <c r="P60" s="502"/>
      <c r="Q60" s="1495"/>
      <c r="R60" s="1831">
        <v>0.4</v>
      </c>
      <c r="S60" s="1777">
        <f>+S61-S59</f>
        <v>370234.22273956006</v>
      </c>
      <c r="T60" s="1495"/>
      <c r="U60" s="1624"/>
      <c r="V60" s="1624"/>
      <c r="W60" s="1624"/>
      <c r="X60" s="1624"/>
    </row>
    <row r="61" spans="1:24" ht="15" hidden="1" outlineLevel="1">
      <c r="A61" s="1506"/>
      <c r="B61" s="1772"/>
      <c r="C61" s="1772"/>
      <c r="D61" s="1772"/>
      <c r="E61" s="2219" t="s">
        <v>2730</v>
      </c>
      <c r="F61" s="2219"/>
      <c r="G61" s="2219"/>
      <c r="H61" s="2219"/>
      <c r="K61" s="1624"/>
      <c r="L61" s="1624"/>
      <c r="M61" s="1892"/>
      <c r="N61" s="1891"/>
      <c r="O61" s="2220"/>
      <c r="P61" s="2220"/>
      <c r="Q61" s="2220"/>
      <c r="R61" s="1894"/>
      <c r="S61" s="1893">
        <f>+S59/(1-R60)</f>
        <v>925585.55684890004</v>
      </c>
      <c r="T61" s="1976">
        <f>ROUNDUP(S61,-5)</f>
        <v>1000000</v>
      </c>
      <c r="U61" s="1506"/>
      <c r="V61" s="1506"/>
      <c r="W61" s="1506"/>
      <c r="X61" s="1506"/>
    </row>
    <row r="62" spans="1:24" ht="15" hidden="1" outlineLevel="1">
      <c r="A62" s="1506"/>
      <c r="B62" s="1772"/>
      <c r="C62" s="1772"/>
      <c r="D62" s="1772"/>
      <c r="E62" s="1844"/>
      <c r="F62" s="1844"/>
      <c r="G62" s="1844"/>
      <c r="H62" s="1844"/>
      <c r="K62" s="1624"/>
      <c r="L62" s="1624"/>
      <c r="M62" s="1892"/>
      <c r="N62" s="1891"/>
      <c r="O62" s="1890"/>
      <c r="P62" s="1890"/>
      <c r="Q62" s="1890"/>
      <c r="R62" s="1773"/>
      <c r="S62" s="1774"/>
      <c r="T62" s="1964"/>
      <c r="U62" s="1506"/>
      <c r="V62" s="1506"/>
      <c r="W62" s="1506"/>
      <c r="X62" s="1506"/>
    </row>
    <row r="63" spans="1:24" ht="15" hidden="1" outlineLevel="1">
      <c r="A63" s="1506"/>
      <c r="B63" s="1772"/>
      <c r="C63" s="1772"/>
      <c r="D63" s="1772"/>
      <c r="E63" s="1972"/>
      <c r="F63" s="1972"/>
      <c r="G63" s="1972"/>
      <c r="H63" s="1975" t="s">
        <v>2785</v>
      </c>
      <c r="I63" s="1974" t="s">
        <v>2784</v>
      </c>
      <c r="J63" s="729" t="s">
        <v>2783</v>
      </c>
      <c r="K63" s="729" t="s">
        <v>2782</v>
      </c>
      <c r="L63" s="729" t="s">
        <v>1079</v>
      </c>
      <c r="M63" s="729" t="s">
        <v>33</v>
      </c>
      <c r="N63" s="1968" t="s">
        <v>126</v>
      </c>
      <c r="O63" s="1967"/>
      <c r="P63" s="1967"/>
      <c r="Q63" s="1967"/>
      <c r="R63" s="1966"/>
      <c r="S63" s="1973" t="s">
        <v>2781</v>
      </c>
      <c r="T63" s="1964"/>
      <c r="U63" s="1506"/>
      <c r="V63" s="1506"/>
      <c r="W63" s="1506"/>
      <c r="X63" s="1506"/>
    </row>
    <row r="64" spans="1:24" ht="15" hidden="1" outlineLevel="1">
      <c r="A64" s="1506"/>
      <c r="B64" s="1772"/>
      <c r="C64" s="1772"/>
      <c r="D64" s="1772"/>
      <c r="E64" s="2221" t="s">
        <v>2780</v>
      </c>
      <c r="F64" s="2221"/>
      <c r="G64" s="2221"/>
      <c r="H64" s="729">
        <v>2</v>
      </c>
      <c r="I64" s="1971">
        <f>Q44+1</f>
        <v>1</v>
      </c>
      <c r="J64" s="729">
        <f>P43/1000*Q43/1000</f>
        <v>0.20499999999999999</v>
      </c>
      <c r="K64" s="1970">
        <f>IF(I64=1,117,IF(I64=2,217,IF(I64=3,315,"NA")))</f>
        <v>117</v>
      </c>
      <c r="L64" s="1970">
        <f>+J64*K64</f>
        <v>23.984999999999999</v>
      </c>
      <c r="M64" s="1969">
        <v>1.8</v>
      </c>
      <c r="N64" s="1968">
        <f>+S43</f>
        <v>17500</v>
      </c>
      <c r="O64" s="1967"/>
      <c r="P64" s="1967"/>
      <c r="Q64" s="1967"/>
      <c r="R64" s="1966"/>
      <c r="S64" s="1965">
        <f>+L64*M64*N64</f>
        <v>755527.5</v>
      </c>
      <c r="T64" s="1964"/>
      <c r="U64" s="1506"/>
      <c r="V64" s="1506"/>
      <c r="W64" s="1506"/>
      <c r="X64" s="1506"/>
    </row>
    <row r="65" spans="1:24" ht="15" hidden="1" outlineLevel="1">
      <c r="A65" s="1506"/>
      <c r="B65" s="1772"/>
      <c r="C65" s="1772"/>
      <c r="D65" s="1772"/>
      <c r="E65" s="2221"/>
      <c r="F65" s="2221"/>
      <c r="G65" s="2221"/>
      <c r="H65" s="729">
        <v>3</v>
      </c>
      <c r="I65" s="1971">
        <f>+I64</f>
        <v>1</v>
      </c>
      <c r="J65" s="729">
        <f>+J64</f>
        <v>0.20499999999999999</v>
      </c>
      <c r="K65" s="1970">
        <f>IF(I65=1,135,IF(I65=2,250,IF(I65=3,362,"NA")))</f>
        <v>135</v>
      </c>
      <c r="L65" s="1970">
        <f>+J65*K65</f>
        <v>27.674999999999997</v>
      </c>
      <c r="M65" s="1969">
        <v>1.8</v>
      </c>
      <c r="N65" s="1968">
        <f>+N64</f>
        <v>17500</v>
      </c>
      <c r="O65" s="1967"/>
      <c r="P65" s="1967"/>
      <c r="Q65" s="1967"/>
      <c r="R65" s="1966"/>
      <c r="S65" s="1965">
        <f>+L65*M65*N65</f>
        <v>871762.5</v>
      </c>
      <c r="T65" s="1964"/>
      <c r="U65" s="1506"/>
      <c r="V65" s="1506"/>
      <c r="W65" s="1506"/>
      <c r="X65" s="1506"/>
    </row>
    <row r="66" spans="1:24" ht="15" hidden="1" outlineLevel="1">
      <c r="A66" s="1506"/>
      <c r="B66" s="1772"/>
      <c r="C66" s="1772"/>
      <c r="D66" s="1772"/>
      <c r="E66" s="2221"/>
      <c r="F66" s="2221"/>
      <c r="G66" s="2221"/>
      <c r="H66" s="729">
        <v>4</v>
      </c>
      <c r="I66" s="1971">
        <f>+I64</f>
        <v>1</v>
      </c>
      <c r="J66" s="729">
        <f>+J64</f>
        <v>0.20499999999999999</v>
      </c>
      <c r="K66" s="1970">
        <f>IF(I66=1,310,"NA")</f>
        <v>310</v>
      </c>
      <c r="L66" s="1970">
        <f>+J66*K66</f>
        <v>63.55</v>
      </c>
      <c r="M66" s="1969">
        <v>1.8</v>
      </c>
      <c r="N66" s="1968">
        <f>+N64</f>
        <v>17500</v>
      </c>
      <c r="O66" s="1967"/>
      <c r="P66" s="1967"/>
      <c r="Q66" s="1967"/>
      <c r="R66" s="1966"/>
      <c r="S66" s="1965">
        <f>+L66*M66*N66</f>
        <v>2001825</v>
      </c>
      <c r="T66" s="1964"/>
      <c r="U66" s="1506"/>
      <c r="V66" s="1506"/>
      <c r="W66" s="1506"/>
      <c r="X66" s="1506"/>
    </row>
    <row r="67" spans="1:24" ht="15" collapsed="1">
      <c r="A67" s="1506"/>
      <c r="B67" s="1772"/>
      <c r="C67" s="1772"/>
      <c r="D67" s="1772"/>
      <c r="E67" s="1772"/>
      <c r="F67" s="1772"/>
      <c r="G67" s="1772"/>
      <c r="H67" s="1772"/>
      <c r="I67" s="1844"/>
      <c r="J67" s="1844"/>
      <c r="K67" s="1844"/>
      <c r="L67" s="1844"/>
      <c r="M67" s="1892"/>
      <c r="N67" s="1891"/>
      <c r="O67" s="1890"/>
      <c r="P67" s="1890"/>
      <c r="Q67" s="1890"/>
      <c r="R67" s="1773"/>
      <c r="S67" s="1773"/>
      <c r="U67" s="1506"/>
      <c r="V67" s="1506"/>
      <c r="W67" s="1506"/>
      <c r="X67" s="1506"/>
    </row>
    <row r="68" spans="1:24" ht="18">
      <c r="A68" s="1506"/>
      <c r="B68" s="2184" t="s">
        <v>2779</v>
      </c>
      <c r="C68" s="2185"/>
      <c r="D68" s="2185"/>
      <c r="E68" s="2185"/>
      <c r="F68" s="2185"/>
      <c r="G68" s="2185"/>
      <c r="H68" s="2185"/>
      <c r="I68" s="2185"/>
      <c r="J68" s="2185"/>
      <c r="K68" s="2185"/>
      <c r="L68" s="2185"/>
      <c r="M68" s="2185"/>
      <c r="N68" s="2185"/>
      <c r="O68" s="2185"/>
      <c r="P68" s="2185"/>
      <c r="Q68" s="2185"/>
      <c r="R68" s="2185"/>
      <c r="S68" s="2186"/>
      <c r="U68" s="1506"/>
      <c r="V68" s="1506"/>
      <c r="W68" s="1506"/>
      <c r="X68" s="1506"/>
    </row>
    <row r="69" spans="1:24" s="1506" customFormat="1" ht="14.45" customHeight="1" outlineLevel="1">
      <c r="A69" s="1624"/>
      <c r="B69" s="915" t="s">
        <v>21</v>
      </c>
      <c r="C69" s="915" t="s">
        <v>19</v>
      </c>
      <c r="D69" s="1963" t="s">
        <v>2778</v>
      </c>
      <c r="E69" s="2187" t="s">
        <v>2777</v>
      </c>
      <c r="F69" s="2188"/>
      <c r="G69" s="2188"/>
      <c r="H69" s="2188"/>
      <c r="I69" s="2188"/>
      <c r="J69" s="2188"/>
      <c r="K69" s="2188"/>
      <c r="L69" s="2188"/>
      <c r="M69" s="2188"/>
      <c r="N69" s="2188"/>
      <c r="O69" s="2189"/>
      <c r="P69" s="1962" t="s">
        <v>21</v>
      </c>
      <c r="Q69" s="1962" t="s">
        <v>19</v>
      </c>
      <c r="R69" s="2190">
        <v>43088</v>
      </c>
      <c r="S69" s="2191"/>
      <c r="T69" s="1495"/>
    </row>
    <row r="70" spans="1:24" ht="15" outlineLevel="1">
      <c r="B70" s="363">
        <v>500</v>
      </c>
      <c r="C70" s="363">
        <v>410</v>
      </c>
      <c r="D70" s="1956" t="s">
        <v>2776</v>
      </c>
      <c r="E70" s="2192" t="s">
        <v>2775</v>
      </c>
      <c r="F70" s="2192"/>
      <c r="G70" s="2192"/>
      <c r="H70" s="2192"/>
      <c r="I70" s="2192"/>
      <c r="J70" s="2192"/>
      <c r="K70" s="2192"/>
      <c r="L70" s="2192"/>
      <c r="M70" s="2192"/>
      <c r="N70" s="2192"/>
      <c r="O70" s="2192"/>
      <c r="P70" s="1961">
        <f>+B70</f>
        <v>500</v>
      </c>
      <c r="Q70" s="1961">
        <f>P71*100+10</f>
        <v>410</v>
      </c>
      <c r="R70" s="1954" t="s">
        <v>126</v>
      </c>
      <c r="S70" s="1953">
        <f>+S$7</f>
        <v>17500</v>
      </c>
      <c r="W70" s="1506"/>
      <c r="X70" s="1506"/>
    </row>
    <row r="71" spans="1:24" outlineLevel="1">
      <c r="B71" s="2193">
        <v>0</v>
      </c>
      <c r="C71" s="2193"/>
      <c r="D71" s="1956" t="s">
        <v>2774</v>
      </c>
      <c r="E71" s="2192" t="s">
        <v>2773</v>
      </c>
      <c r="F71" s="2192"/>
      <c r="G71" s="2192"/>
      <c r="H71" s="2192"/>
      <c r="I71" s="2192"/>
      <c r="J71" s="2192"/>
      <c r="K71" s="2192"/>
      <c r="L71" s="2192"/>
      <c r="M71" s="2192"/>
      <c r="N71" s="2192"/>
      <c r="O71" s="2192"/>
      <c r="P71" s="1961">
        <f>ROUNDDOWN(C70/100,0)</f>
        <v>4</v>
      </c>
      <c r="Q71" s="1955">
        <f>IF(P70&lt;=1400,0,IF(AND(P70&gt;1400,P70&lt;=2100),1,2))</f>
        <v>0</v>
      </c>
      <c r="R71" s="1954" t="s">
        <v>2772</v>
      </c>
      <c r="S71" s="1953">
        <f>+S$8</f>
        <v>16079.99</v>
      </c>
    </row>
    <row r="72" spans="1:24" s="1506" customFormat="1" ht="15" outlineLevel="1">
      <c r="A72" s="1624"/>
      <c r="B72" s="2193"/>
      <c r="C72" s="2193"/>
      <c r="D72" s="1956"/>
      <c r="E72" s="2207" t="s">
        <v>2771</v>
      </c>
      <c r="F72" s="2208"/>
      <c r="G72" s="2208"/>
      <c r="H72" s="2208"/>
      <c r="I72" s="2208"/>
      <c r="J72" s="2208"/>
      <c r="K72" s="2208"/>
      <c r="L72" s="2208"/>
      <c r="M72" s="2208"/>
      <c r="N72" s="2208"/>
      <c r="O72" s="2209"/>
      <c r="P72" s="1960">
        <f>P71*(Q71+1)</f>
        <v>4</v>
      </c>
      <c r="Q72" s="1959">
        <f>(P70-Q71*34.3)/(Q71+1)</f>
        <v>500</v>
      </c>
      <c r="R72" s="1954" t="s">
        <v>2770</v>
      </c>
      <c r="S72" s="1953">
        <f>+S$9</f>
        <v>3429.69</v>
      </c>
      <c r="T72" s="1622"/>
      <c r="U72" s="1624"/>
      <c r="V72" s="1624"/>
      <c r="W72" s="1624"/>
      <c r="X72" s="1624"/>
    </row>
    <row r="73" spans="1:24" s="1506" customFormat="1" ht="15" outlineLevel="1">
      <c r="A73" s="1624"/>
      <c r="B73" s="2193"/>
      <c r="C73" s="2193"/>
      <c r="D73" s="1956"/>
      <c r="E73" s="2192" t="s">
        <v>2769</v>
      </c>
      <c r="F73" s="2192"/>
      <c r="G73" s="2192"/>
      <c r="H73" s="2192"/>
      <c r="I73" s="2192"/>
      <c r="J73" s="2192"/>
      <c r="K73" s="2192"/>
      <c r="L73" s="2192"/>
      <c r="M73" s="2192"/>
      <c r="N73" s="2192"/>
      <c r="O73" s="2192"/>
      <c r="P73" s="1958">
        <f>Q70/1000*P70/1000</f>
        <v>0.20499999999999999</v>
      </c>
      <c r="Q73" s="1957" t="str">
        <f>IF(P73&lt;0.5,"2Nm",IF(AND(P73&gt;0.5,P73&lt;1),"5Nm",IF(AND(P73&gt;1,P73&lt;2),"10Nm",IF(AND(P73&gt;2,P73&lt;4),"20Nm",IF(AND(P73&gt;4,P73&lt;6),"30Nm",IF(AND(P73&gt;6,P73&lt;8),"40Nm","NA"))))))</f>
        <v>2Nm</v>
      </c>
      <c r="R73" s="1954" t="s">
        <v>2768</v>
      </c>
      <c r="S73" s="1953">
        <f>+S$10</f>
        <v>2192.36</v>
      </c>
      <c r="T73" s="1622"/>
      <c r="U73" s="1624"/>
      <c r="V73" s="1624"/>
      <c r="W73" s="1624"/>
      <c r="X73" s="1624"/>
    </row>
    <row r="74" spans="1:24" s="1506" customFormat="1" ht="15" outlineLevel="1">
      <c r="A74" s="1624"/>
      <c r="B74" s="2193"/>
      <c r="C74" s="2193"/>
      <c r="D74" s="1956"/>
      <c r="E74" s="2207"/>
      <c r="F74" s="2208"/>
      <c r="G74" s="2208"/>
      <c r="H74" s="2208"/>
      <c r="I74" s="2208"/>
      <c r="J74" s="2208"/>
      <c r="K74" s="2208"/>
      <c r="L74" s="2208"/>
      <c r="M74" s="2208"/>
      <c r="N74" s="2208"/>
      <c r="O74" s="2209"/>
      <c r="P74" s="2222"/>
      <c r="Q74" s="2223"/>
      <c r="R74" s="1954" t="s">
        <v>2767</v>
      </c>
      <c r="S74" s="1953">
        <f>+S$11</f>
        <v>11262.76</v>
      </c>
      <c r="T74" s="1622"/>
      <c r="U74" s="1624"/>
      <c r="V74" s="1624"/>
      <c r="W74" s="1624"/>
      <c r="X74" s="1624"/>
    </row>
    <row r="75" spans="1:24" s="1506" customFormat="1" ht="15" outlineLevel="1">
      <c r="A75" s="1624"/>
      <c r="B75" s="2210" t="s">
        <v>1157</v>
      </c>
      <c r="C75" s="2210" t="s">
        <v>2766</v>
      </c>
      <c r="D75" s="2212" t="s">
        <v>2765</v>
      </c>
      <c r="E75" s="2224" t="s">
        <v>2764</v>
      </c>
      <c r="F75" s="2225"/>
      <c r="G75" s="2225"/>
      <c r="H75" s="2225"/>
      <c r="I75" s="2226"/>
      <c r="J75" s="2214" t="s">
        <v>2763</v>
      </c>
      <c r="K75" s="2214"/>
      <c r="L75" s="2214"/>
      <c r="M75" s="2214"/>
      <c r="N75" s="2214"/>
      <c r="O75" s="2214"/>
      <c r="P75" s="2203" t="s">
        <v>2762</v>
      </c>
      <c r="Q75" s="2204"/>
      <c r="R75" s="2205" t="s">
        <v>1160</v>
      </c>
      <c r="S75" s="2205"/>
      <c r="T75" s="1622"/>
      <c r="U75" s="1624"/>
      <c r="V75" s="1624"/>
      <c r="W75" s="1624"/>
      <c r="X75" s="1624"/>
    </row>
    <row r="76" spans="1:24" ht="16.5" outlineLevel="1">
      <c r="B76" s="2211"/>
      <c r="C76" s="2211"/>
      <c r="D76" s="2213"/>
      <c r="E76" s="1948" t="s">
        <v>1085</v>
      </c>
      <c r="F76" s="1952" t="s">
        <v>2492</v>
      </c>
      <c r="G76" s="1952" t="s">
        <v>2761</v>
      </c>
      <c r="H76" s="1948" t="s">
        <v>2760</v>
      </c>
      <c r="I76" s="1951" t="s">
        <v>2759</v>
      </c>
      <c r="J76" s="1950" t="s">
        <v>82</v>
      </c>
      <c r="K76" s="1949" t="s">
        <v>1163</v>
      </c>
      <c r="L76" s="1948" t="s">
        <v>1154</v>
      </c>
      <c r="M76" s="1948" t="s">
        <v>34</v>
      </c>
      <c r="N76" s="1947" t="s">
        <v>2758</v>
      </c>
      <c r="O76" s="1947" t="s">
        <v>13</v>
      </c>
      <c r="P76" s="1286" t="s">
        <v>2757</v>
      </c>
      <c r="Q76" s="900" t="s">
        <v>2756</v>
      </c>
      <c r="R76" s="1286" t="s">
        <v>2755</v>
      </c>
      <c r="S76" s="905" t="s">
        <v>2754</v>
      </c>
    </row>
    <row r="77" spans="1:24" outlineLevel="1">
      <c r="B77" s="1940" t="s">
        <v>2744</v>
      </c>
      <c r="C77" s="1940"/>
      <c r="D77" s="1939" t="s">
        <v>2753</v>
      </c>
      <c r="E77" s="474" t="s">
        <v>97</v>
      </c>
      <c r="F77" s="1938"/>
      <c r="G77" s="1937">
        <v>1</v>
      </c>
      <c r="H77" s="1931">
        <v>176.5</v>
      </c>
      <c r="I77" s="1936">
        <f>+Q70+30*2</f>
        <v>470</v>
      </c>
      <c r="J77" s="1946">
        <f t="shared" ref="J77:J86" si="15">VLOOKUP($B77,$B$7:$S$40,4,FALSE)</f>
        <v>2720</v>
      </c>
      <c r="K77" s="1934">
        <f t="shared" ref="K77:K91" si="16">IF(F77&gt;0,22/28*((F77/1000)^2-(F77/1000-2*G77/1000)^2)*H77/1000,IF(G77&gt;0,G77/1000*H77/1000*I77/1000, IF(H77&gt;0,H77/1000*I77/1000, IF(I77=0,1,I77/1000))))</f>
        <v>8.2954999999999981E-5</v>
      </c>
      <c r="L77" s="1933">
        <f t="shared" ref="L77:L91" si="17">J77*K77</f>
        <v>0.22563759999999994</v>
      </c>
      <c r="M77" s="1932">
        <v>1.1000000000000001</v>
      </c>
      <c r="N77" s="1931">
        <v>2</v>
      </c>
      <c r="O77" s="1930">
        <f t="shared" ref="O77:O91" si="18">L77*M77*N77</f>
        <v>0.49640271999999991</v>
      </c>
      <c r="P77" s="1929">
        <f t="shared" ref="P77:P91" si="19">IF($J77=1,VLOOKUP($B77,$B$7:$S$40,4,FALSE),1)</f>
        <v>1</v>
      </c>
      <c r="Q77" s="1928">
        <f t="shared" ref="Q77:Q91" si="20">O77*P77/M77</f>
        <v>0.45127519999999988</v>
      </c>
      <c r="R77" s="1927">
        <f t="shared" ref="R77:R91" si="21">VLOOKUP($B77,$B$7:$S$40,5,FALSE)</f>
        <v>83085</v>
      </c>
      <c r="S77" s="1926">
        <f t="shared" ref="S77:S91" si="22">+O77*R77</f>
        <v>41243.619991199994</v>
      </c>
    </row>
    <row r="78" spans="1:24" outlineLevel="1">
      <c r="B78" s="371" t="s">
        <v>2744</v>
      </c>
      <c r="C78" s="371"/>
      <c r="D78" s="1925" t="s">
        <v>2752</v>
      </c>
      <c r="E78" s="416" t="s">
        <v>97</v>
      </c>
      <c r="F78" s="1924"/>
      <c r="G78" s="1923">
        <v>1</v>
      </c>
      <c r="H78" s="1917">
        <v>176.5</v>
      </c>
      <c r="I78" s="1945">
        <f>+P70</f>
        <v>500</v>
      </c>
      <c r="J78" s="1943">
        <f t="shared" si="15"/>
        <v>2720</v>
      </c>
      <c r="K78" s="1920">
        <f t="shared" si="16"/>
        <v>8.824999999999999E-5</v>
      </c>
      <c r="L78" s="1919">
        <f t="shared" si="17"/>
        <v>0.24003999999999998</v>
      </c>
      <c r="M78" s="1918">
        <v>1.1000000000000001</v>
      </c>
      <c r="N78" s="1917">
        <v>2</v>
      </c>
      <c r="O78" s="1916">
        <f t="shared" si="18"/>
        <v>0.528088</v>
      </c>
      <c r="P78" s="1915">
        <f t="shared" si="19"/>
        <v>1</v>
      </c>
      <c r="Q78" s="1914">
        <f t="shared" si="20"/>
        <v>0.48007999999999995</v>
      </c>
      <c r="R78" s="1913">
        <f t="shared" si="21"/>
        <v>83085</v>
      </c>
      <c r="S78" s="1912">
        <f t="shared" si="22"/>
        <v>43876.191480000001</v>
      </c>
    </row>
    <row r="79" spans="1:24" outlineLevel="1">
      <c r="B79" s="371" t="s">
        <v>2744</v>
      </c>
      <c r="C79" s="371"/>
      <c r="D79" s="1925" t="s">
        <v>2751</v>
      </c>
      <c r="E79" s="416" t="s">
        <v>97</v>
      </c>
      <c r="F79" s="1924"/>
      <c r="G79" s="1923">
        <v>1</v>
      </c>
      <c r="H79" s="1917">
        <v>176.5</v>
      </c>
      <c r="I79" s="1922">
        <f>+Q70</f>
        <v>410</v>
      </c>
      <c r="J79" s="1943">
        <f t="shared" si="15"/>
        <v>2720</v>
      </c>
      <c r="K79" s="1920">
        <f t="shared" si="16"/>
        <v>7.2365000000000003E-5</v>
      </c>
      <c r="L79" s="1919">
        <f t="shared" si="17"/>
        <v>0.1968328</v>
      </c>
      <c r="M79" s="1918">
        <v>1.1000000000000001</v>
      </c>
      <c r="N79" s="1917">
        <f>IF(P$70&gt;1000,1,0)</f>
        <v>0</v>
      </c>
      <c r="O79" s="1916">
        <f t="shared" si="18"/>
        <v>0</v>
      </c>
      <c r="P79" s="1915">
        <f t="shared" si="19"/>
        <v>1</v>
      </c>
      <c r="Q79" s="1914">
        <f t="shared" si="20"/>
        <v>0</v>
      </c>
      <c r="R79" s="1913">
        <f t="shared" si="21"/>
        <v>83085</v>
      </c>
      <c r="S79" s="1912">
        <f t="shared" si="22"/>
        <v>0</v>
      </c>
    </row>
    <row r="80" spans="1:24" outlineLevel="1">
      <c r="B80" s="371" t="s">
        <v>2744</v>
      </c>
      <c r="C80" s="371"/>
      <c r="D80" s="1925" t="s">
        <v>2750</v>
      </c>
      <c r="E80" s="416" t="s">
        <v>97</v>
      </c>
      <c r="F80" s="1924"/>
      <c r="G80" s="1923">
        <v>1</v>
      </c>
      <c r="H80" s="1917">
        <v>123.2</v>
      </c>
      <c r="I80" s="1922">
        <f>+Q72</f>
        <v>500</v>
      </c>
      <c r="J80" s="1943">
        <f t="shared" si="15"/>
        <v>2720</v>
      </c>
      <c r="K80" s="1920">
        <f t="shared" si="16"/>
        <v>6.1600000000000007E-5</v>
      </c>
      <c r="L80" s="1919">
        <f t="shared" si="17"/>
        <v>0.16755200000000001</v>
      </c>
      <c r="M80" s="1918">
        <v>1.1000000000000001</v>
      </c>
      <c r="N80" s="1917">
        <f>+P$71</f>
        <v>4</v>
      </c>
      <c r="O80" s="1916">
        <f t="shared" si="18"/>
        <v>0.73722880000000013</v>
      </c>
      <c r="P80" s="1915">
        <f t="shared" si="19"/>
        <v>1</v>
      </c>
      <c r="Q80" s="1914">
        <f t="shared" si="20"/>
        <v>0.67020800000000003</v>
      </c>
      <c r="R80" s="1913">
        <f t="shared" si="21"/>
        <v>83085</v>
      </c>
      <c r="S80" s="1912">
        <f t="shared" si="22"/>
        <v>61252.654848000013</v>
      </c>
    </row>
    <row r="81" spans="2:20" outlineLevel="1">
      <c r="B81" s="371" t="s">
        <v>2744</v>
      </c>
      <c r="C81" s="371"/>
      <c r="D81" s="1925" t="s">
        <v>2749</v>
      </c>
      <c r="E81" s="416" t="s">
        <v>97</v>
      </c>
      <c r="F81" s="1924"/>
      <c r="G81" s="1923">
        <v>1</v>
      </c>
      <c r="H81" s="1917">
        <v>33.299999999999997</v>
      </c>
      <c r="I81" s="1922">
        <f>+Q72</f>
        <v>500</v>
      </c>
      <c r="J81" s="1943">
        <f t="shared" si="15"/>
        <v>2720</v>
      </c>
      <c r="K81" s="1920">
        <f t="shared" si="16"/>
        <v>1.6649999999999998E-5</v>
      </c>
      <c r="L81" s="1919">
        <f t="shared" si="17"/>
        <v>4.5287999999999995E-2</v>
      </c>
      <c r="M81" s="1918">
        <v>1.1000000000000001</v>
      </c>
      <c r="N81" s="1917">
        <v>2</v>
      </c>
      <c r="O81" s="1916">
        <f t="shared" si="18"/>
        <v>9.9633600000000003E-2</v>
      </c>
      <c r="P81" s="1915">
        <f t="shared" si="19"/>
        <v>1</v>
      </c>
      <c r="Q81" s="1914">
        <f t="shared" si="20"/>
        <v>9.057599999999999E-2</v>
      </c>
      <c r="R81" s="1913">
        <f t="shared" si="21"/>
        <v>83085</v>
      </c>
      <c r="S81" s="1912">
        <f t="shared" si="22"/>
        <v>8278.0576560000009</v>
      </c>
    </row>
    <row r="82" spans="2:20" outlineLevel="1">
      <c r="B82" s="371" t="s">
        <v>2744</v>
      </c>
      <c r="C82" s="371"/>
      <c r="D82" s="1925" t="s">
        <v>2748</v>
      </c>
      <c r="E82" s="416" t="s">
        <v>97</v>
      </c>
      <c r="F82" s="1924"/>
      <c r="G82" s="1923">
        <v>1</v>
      </c>
      <c r="H82" s="1917">
        <v>90</v>
      </c>
      <c r="I82" s="1944">
        <v>156.5</v>
      </c>
      <c r="J82" s="1943">
        <f t="shared" si="15"/>
        <v>2720</v>
      </c>
      <c r="K82" s="1920">
        <f t="shared" si="16"/>
        <v>1.4084999999999998E-5</v>
      </c>
      <c r="L82" s="1919">
        <f t="shared" si="17"/>
        <v>3.8311199999999997E-2</v>
      </c>
      <c r="M82" s="1918">
        <v>1.1000000000000001</v>
      </c>
      <c r="N82" s="1917">
        <v>1</v>
      </c>
      <c r="O82" s="1916">
        <f t="shared" si="18"/>
        <v>4.2142319999999997E-2</v>
      </c>
      <c r="P82" s="1915">
        <f t="shared" si="19"/>
        <v>1</v>
      </c>
      <c r="Q82" s="1914">
        <f t="shared" si="20"/>
        <v>3.8311199999999997E-2</v>
      </c>
      <c r="R82" s="1913">
        <f t="shared" si="21"/>
        <v>83085</v>
      </c>
      <c r="S82" s="1912">
        <f t="shared" si="22"/>
        <v>3501.3946571999995</v>
      </c>
    </row>
    <row r="83" spans="2:20" outlineLevel="1">
      <c r="B83" s="371" t="s">
        <v>2744</v>
      </c>
      <c r="C83" s="371"/>
      <c r="D83" s="1925" t="s">
        <v>2747</v>
      </c>
      <c r="E83" s="416" t="s">
        <v>97</v>
      </c>
      <c r="F83" s="1924"/>
      <c r="G83" s="1923">
        <v>3</v>
      </c>
      <c r="H83" s="1917">
        <v>25</v>
      </c>
      <c r="I83" s="1922">
        <v>60</v>
      </c>
      <c r="J83" s="1943">
        <f t="shared" si="15"/>
        <v>2720</v>
      </c>
      <c r="K83" s="1920">
        <f t="shared" si="16"/>
        <v>4.4999999999999993E-6</v>
      </c>
      <c r="L83" s="1919">
        <f t="shared" si="17"/>
        <v>1.2239999999999997E-2</v>
      </c>
      <c r="M83" s="1918">
        <v>1.1000000000000001</v>
      </c>
      <c r="N83" s="1917">
        <f>P$71-2</f>
        <v>2</v>
      </c>
      <c r="O83" s="1916">
        <f t="shared" si="18"/>
        <v>2.6927999999999997E-2</v>
      </c>
      <c r="P83" s="1915">
        <f t="shared" si="19"/>
        <v>1</v>
      </c>
      <c r="Q83" s="1914">
        <f t="shared" si="20"/>
        <v>2.4479999999999995E-2</v>
      </c>
      <c r="R83" s="1913">
        <f t="shared" si="21"/>
        <v>83085</v>
      </c>
      <c r="S83" s="1912">
        <f t="shared" si="22"/>
        <v>2237.31288</v>
      </c>
    </row>
    <row r="84" spans="2:20" outlineLevel="1">
      <c r="B84" s="371" t="s">
        <v>2744</v>
      </c>
      <c r="C84" s="371"/>
      <c r="D84" s="1925" t="s">
        <v>2746</v>
      </c>
      <c r="E84" s="416" t="s">
        <v>97</v>
      </c>
      <c r="F84" s="1924"/>
      <c r="G84" s="1923">
        <v>3</v>
      </c>
      <c r="H84" s="1917">
        <v>25</v>
      </c>
      <c r="I84" s="1922">
        <v>140</v>
      </c>
      <c r="J84" s="1943">
        <f t="shared" si="15"/>
        <v>2720</v>
      </c>
      <c r="K84" s="1920">
        <f t="shared" si="16"/>
        <v>1.0499999999999999E-5</v>
      </c>
      <c r="L84" s="1919">
        <f t="shared" si="17"/>
        <v>2.8559999999999999E-2</v>
      </c>
      <c r="M84" s="1918">
        <v>1.1000000000000001</v>
      </c>
      <c r="N84" s="1917">
        <v>1</v>
      </c>
      <c r="O84" s="1916">
        <f t="shared" si="18"/>
        <v>3.1415999999999999E-2</v>
      </c>
      <c r="P84" s="1915">
        <f t="shared" si="19"/>
        <v>1</v>
      </c>
      <c r="Q84" s="1914">
        <f t="shared" si="20"/>
        <v>2.8559999999999999E-2</v>
      </c>
      <c r="R84" s="1913">
        <f t="shared" si="21"/>
        <v>83085</v>
      </c>
      <c r="S84" s="1912">
        <f t="shared" si="22"/>
        <v>2610.1983599999999</v>
      </c>
    </row>
    <row r="85" spans="2:20" outlineLevel="1">
      <c r="B85" s="371" t="s">
        <v>2744</v>
      </c>
      <c r="C85" s="371"/>
      <c r="D85" s="1925" t="s">
        <v>2745</v>
      </c>
      <c r="E85" s="416" t="s">
        <v>97</v>
      </c>
      <c r="F85" s="1924"/>
      <c r="G85" s="1923">
        <v>3</v>
      </c>
      <c r="H85" s="1917">
        <v>25</v>
      </c>
      <c r="I85" s="1922">
        <f>100*(P$71-1)+15*2</f>
        <v>330</v>
      </c>
      <c r="J85" s="1943">
        <f t="shared" si="15"/>
        <v>2720</v>
      </c>
      <c r="K85" s="1920">
        <f t="shared" si="16"/>
        <v>2.4749999999999999E-5</v>
      </c>
      <c r="L85" s="1919">
        <f t="shared" si="17"/>
        <v>6.7319999999999991E-2</v>
      </c>
      <c r="M85" s="1918">
        <v>1.1000000000000001</v>
      </c>
      <c r="N85" s="1917">
        <v>1</v>
      </c>
      <c r="O85" s="1916">
        <f t="shared" si="18"/>
        <v>7.4051999999999993E-2</v>
      </c>
      <c r="P85" s="1915">
        <f t="shared" si="19"/>
        <v>1</v>
      </c>
      <c r="Q85" s="1914">
        <f t="shared" si="20"/>
        <v>6.7319999999999991E-2</v>
      </c>
      <c r="R85" s="1913">
        <f t="shared" si="21"/>
        <v>83085</v>
      </c>
      <c r="S85" s="1912">
        <f t="shared" si="22"/>
        <v>6152.6104199999991</v>
      </c>
    </row>
    <row r="86" spans="2:20" outlineLevel="1">
      <c r="B86" s="1911" t="s">
        <v>2744</v>
      </c>
      <c r="C86" s="1911"/>
      <c r="D86" s="1910" t="s">
        <v>2743</v>
      </c>
      <c r="E86" s="490" t="s">
        <v>97</v>
      </c>
      <c r="F86" s="1942">
        <v>10</v>
      </c>
      <c r="G86" s="1908">
        <v>5</v>
      </c>
      <c r="H86" s="1907">
        <f>+$P$70+40*2</f>
        <v>580</v>
      </c>
      <c r="I86" s="1907"/>
      <c r="J86" s="1941">
        <f t="shared" si="15"/>
        <v>2720</v>
      </c>
      <c r="K86" s="1920">
        <f t="shared" si="16"/>
        <v>4.5571428571428578E-5</v>
      </c>
      <c r="L86" s="1904">
        <f t="shared" si="17"/>
        <v>0.12395428571428573</v>
      </c>
      <c r="M86" s="1903">
        <v>1.1000000000000001</v>
      </c>
      <c r="N86" s="1902">
        <f>+P$71</f>
        <v>4</v>
      </c>
      <c r="O86" s="1901">
        <f t="shared" si="18"/>
        <v>0.54539885714285719</v>
      </c>
      <c r="P86" s="1900">
        <f t="shared" si="19"/>
        <v>1</v>
      </c>
      <c r="Q86" s="1899">
        <f t="shared" si="20"/>
        <v>0.49581714285714285</v>
      </c>
      <c r="R86" s="1898">
        <f t="shared" si="21"/>
        <v>83085</v>
      </c>
      <c r="S86" s="1897">
        <f t="shared" si="22"/>
        <v>45314.464045714289</v>
      </c>
    </row>
    <row r="87" spans="2:20" outlineLevel="1">
      <c r="B87" s="1940" t="s">
        <v>2742</v>
      </c>
      <c r="C87" s="1940"/>
      <c r="D87" s="1939" t="s">
        <v>2741</v>
      </c>
      <c r="E87" s="474" t="s">
        <v>100</v>
      </c>
      <c r="F87" s="1938"/>
      <c r="G87" s="1937"/>
      <c r="H87" s="1931"/>
      <c r="I87" s="1936"/>
      <c r="J87" s="1935">
        <v>1</v>
      </c>
      <c r="K87" s="1934">
        <f t="shared" si="16"/>
        <v>1</v>
      </c>
      <c r="L87" s="1933">
        <f t="shared" si="17"/>
        <v>1</v>
      </c>
      <c r="M87" s="1932">
        <v>1</v>
      </c>
      <c r="N87" s="1931">
        <v>1</v>
      </c>
      <c r="O87" s="1930">
        <f t="shared" si="18"/>
        <v>1</v>
      </c>
      <c r="P87" s="1929">
        <f t="shared" si="19"/>
        <v>8.0000000000000002E-3</v>
      </c>
      <c r="Q87" s="1928">
        <f t="shared" si="20"/>
        <v>8.0000000000000002E-3</v>
      </c>
      <c r="R87" s="1927">
        <f t="shared" si="21"/>
        <v>4000</v>
      </c>
      <c r="S87" s="1926">
        <f t="shared" si="22"/>
        <v>4000</v>
      </c>
    </row>
    <row r="88" spans="2:20" outlineLevel="1">
      <c r="B88" s="371" t="s">
        <v>2740</v>
      </c>
      <c r="C88" s="371"/>
      <c r="D88" s="1925" t="s">
        <v>2739</v>
      </c>
      <c r="E88" s="416" t="s">
        <v>100</v>
      </c>
      <c r="F88" s="1924"/>
      <c r="G88" s="1923"/>
      <c r="H88" s="1917"/>
      <c r="I88" s="1922"/>
      <c r="J88" s="1921">
        <v>1</v>
      </c>
      <c r="K88" s="1920">
        <f t="shared" si="16"/>
        <v>1</v>
      </c>
      <c r="L88" s="1919">
        <f t="shared" si="17"/>
        <v>1</v>
      </c>
      <c r="M88" s="1918">
        <v>1</v>
      </c>
      <c r="N88" s="1917">
        <v>1</v>
      </c>
      <c r="O88" s="1916">
        <f t="shared" si="18"/>
        <v>1</v>
      </c>
      <c r="P88" s="1915">
        <f t="shared" si="19"/>
        <v>2E-3</v>
      </c>
      <c r="Q88" s="1914">
        <f t="shared" si="20"/>
        <v>2E-3</v>
      </c>
      <c r="R88" s="1913">
        <f t="shared" si="21"/>
        <v>1890</v>
      </c>
      <c r="S88" s="1912">
        <f t="shared" si="22"/>
        <v>1890</v>
      </c>
    </row>
    <row r="89" spans="2:20" outlineLevel="1">
      <c r="B89" s="371" t="s">
        <v>2738</v>
      </c>
      <c r="C89" s="371"/>
      <c r="D89" s="1925" t="s">
        <v>2737</v>
      </c>
      <c r="E89" s="416" t="s">
        <v>100</v>
      </c>
      <c r="F89" s="1924"/>
      <c r="G89" s="1923"/>
      <c r="H89" s="1917"/>
      <c r="I89" s="1922"/>
      <c r="J89" s="1921">
        <v>1</v>
      </c>
      <c r="K89" s="1920">
        <f t="shared" si="16"/>
        <v>1</v>
      </c>
      <c r="L89" s="1919">
        <f t="shared" si="17"/>
        <v>1</v>
      </c>
      <c r="M89" s="1918">
        <v>1</v>
      </c>
      <c r="N89" s="1917">
        <f>P$71*2</f>
        <v>8</v>
      </c>
      <c r="O89" s="1916">
        <f t="shared" si="18"/>
        <v>8</v>
      </c>
      <c r="P89" s="1915">
        <f t="shared" si="19"/>
        <v>1.0999999999999999E-2</v>
      </c>
      <c r="Q89" s="1914">
        <f t="shared" si="20"/>
        <v>8.7999999999999995E-2</v>
      </c>
      <c r="R89" s="1913">
        <f t="shared" si="21"/>
        <v>3180</v>
      </c>
      <c r="S89" s="1912">
        <f t="shared" si="22"/>
        <v>25440</v>
      </c>
    </row>
    <row r="90" spans="2:20" outlineLevel="1">
      <c r="B90" s="371" t="s">
        <v>2736</v>
      </c>
      <c r="C90" s="371"/>
      <c r="D90" s="1925" t="s">
        <v>2735</v>
      </c>
      <c r="E90" s="416" t="s">
        <v>100</v>
      </c>
      <c r="F90" s="1924"/>
      <c r="G90" s="1923"/>
      <c r="H90" s="1917"/>
      <c r="I90" s="1922"/>
      <c r="J90" s="1921">
        <v>1</v>
      </c>
      <c r="K90" s="1920">
        <f t="shared" si="16"/>
        <v>1</v>
      </c>
      <c r="L90" s="1919">
        <f t="shared" si="17"/>
        <v>1</v>
      </c>
      <c r="M90" s="1918">
        <v>1</v>
      </c>
      <c r="N90" s="1917">
        <v>1</v>
      </c>
      <c r="O90" s="1916">
        <f t="shared" si="18"/>
        <v>1</v>
      </c>
      <c r="P90" s="1915">
        <f t="shared" si="19"/>
        <v>5.0000000000000001E-3</v>
      </c>
      <c r="Q90" s="1914">
        <f t="shared" si="20"/>
        <v>5.0000000000000001E-3</v>
      </c>
      <c r="R90" s="1913">
        <f t="shared" si="21"/>
        <v>100</v>
      </c>
      <c r="S90" s="1912">
        <f t="shared" si="22"/>
        <v>100</v>
      </c>
    </row>
    <row r="91" spans="2:20" outlineLevel="1">
      <c r="B91" s="1911" t="s">
        <v>2734</v>
      </c>
      <c r="C91" s="1911"/>
      <c r="D91" s="1910" t="s">
        <v>2733</v>
      </c>
      <c r="E91" s="490" t="s">
        <v>100</v>
      </c>
      <c r="F91" s="1909"/>
      <c r="G91" s="1908"/>
      <c r="H91" s="1902"/>
      <c r="I91" s="1907"/>
      <c r="J91" s="1906">
        <v>1</v>
      </c>
      <c r="K91" s="1905">
        <f t="shared" si="16"/>
        <v>1</v>
      </c>
      <c r="L91" s="1904">
        <f t="shared" si="17"/>
        <v>1</v>
      </c>
      <c r="M91" s="1903">
        <v>1</v>
      </c>
      <c r="N91" s="1902">
        <f>P$71</f>
        <v>4</v>
      </c>
      <c r="O91" s="1901">
        <f t="shared" si="18"/>
        <v>4</v>
      </c>
      <c r="P91" s="1900">
        <f t="shared" si="19"/>
        <v>2E-3</v>
      </c>
      <c r="Q91" s="1899">
        <f t="shared" si="20"/>
        <v>8.0000000000000002E-3</v>
      </c>
      <c r="R91" s="1898">
        <f t="shared" si="21"/>
        <v>100</v>
      </c>
      <c r="S91" s="1897">
        <f t="shared" si="22"/>
        <v>400</v>
      </c>
    </row>
    <row r="92" spans="2:20" outlineLevel="1">
      <c r="B92" s="403"/>
      <c r="C92" s="403"/>
      <c r="D92" s="403"/>
      <c r="E92" s="2206" t="s">
        <v>2732</v>
      </c>
      <c r="F92" s="2206"/>
      <c r="G92" s="2206"/>
      <c r="H92" s="2206"/>
      <c r="I92" s="418"/>
      <c r="J92" s="401"/>
      <c r="K92" s="418"/>
      <c r="L92" s="418"/>
      <c r="M92" s="400"/>
      <c r="N92" s="406"/>
      <c r="O92" s="400"/>
      <c r="P92" s="400"/>
      <c r="Q92" s="1896">
        <f>SUM(Q77:Q91)</f>
        <v>2.4576275428571424</v>
      </c>
      <c r="R92" s="1777"/>
      <c r="S92" s="1777">
        <f>SUM(S77:S91)</f>
        <v>246296.50433811432</v>
      </c>
      <c r="T92" s="1895">
        <v>1</v>
      </c>
    </row>
    <row r="93" spans="2:20" ht="15" outlineLevel="1">
      <c r="B93" s="1772"/>
      <c r="C93" s="1772"/>
      <c r="D93" s="1772"/>
      <c r="E93" s="2218" t="s">
        <v>2731</v>
      </c>
      <c r="F93" s="2218"/>
      <c r="G93" s="2218"/>
      <c r="H93" s="2218"/>
      <c r="K93" s="1624"/>
      <c r="L93" s="1624"/>
      <c r="M93" s="1506"/>
      <c r="N93" s="503"/>
      <c r="O93" s="502"/>
      <c r="P93" s="502"/>
      <c r="Q93" s="1495"/>
      <c r="R93" s="1831">
        <v>0.4</v>
      </c>
      <c r="S93" s="1777">
        <f>+S94-S92</f>
        <v>164197.66955874287</v>
      </c>
    </row>
    <row r="94" spans="2:20" ht="15" outlineLevel="1">
      <c r="B94" s="1772"/>
      <c r="C94" s="1772"/>
      <c r="D94" s="1772"/>
      <c r="E94" s="2219" t="s">
        <v>2730</v>
      </c>
      <c r="F94" s="2219"/>
      <c r="G94" s="2219"/>
      <c r="H94" s="2219"/>
      <c r="K94" s="1624"/>
      <c r="L94" s="1624"/>
      <c r="M94" s="1892"/>
      <c r="N94" s="1891"/>
      <c r="O94" s="2220"/>
      <c r="P94" s="2220"/>
      <c r="Q94" s="2220"/>
      <c r="R94" s="1894"/>
      <c r="S94" s="1893">
        <f>+S92/(1-R93)</f>
        <v>410494.17389685719</v>
      </c>
    </row>
    <row r="95" spans="2:20" ht="15" outlineLevel="1">
      <c r="B95" s="1772"/>
      <c r="C95" s="1772"/>
      <c r="D95" s="1772"/>
      <c r="E95" s="1844"/>
      <c r="F95" s="1844"/>
      <c r="G95" s="1844"/>
      <c r="H95" s="1844"/>
      <c r="K95" s="1624"/>
      <c r="L95" s="1624"/>
      <c r="M95" s="1892"/>
      <c r="N95" s="1891"/>
      <c r="O95" s="1890"/>
      <c r="P95" s="1890"/>
      <c r="Q95" s="1890"/>
      <c r="R95" s="1773"/>
      <c r="S95" s="1889">
        <f>ROUNDUP(S94,-5)</f>
        <v>500000</v>
      </c>
    </row>
    <row r="96" spans="2:20">
      <c r="B96" s="1888"/>
      <c r="C96" s="1888"/>
      <c r="D96" s="1888"/>
      <c r="E96" s="1888"/>
      <c r="F96" s="1888"/>
      <c r="G96" s="1888"/>
      <c r="H96" s="1888"/>
      <c r="I96" s="1888"/>
      <c r="J96" s="1888"/>
      <c r="K96" s="1888"/>
      <c r="L96" s="1888"/>
      <c r="M96" s="1888"/>
      <c r="N96" s="1469"/>
      <c r="O96" s="1888"/>
      <c r="P96" s="1888"/>
      <c r="Q96" s="1888"/>
      <c r="R96" s="1888"/>
      <c r="S96" s="1888"/>
    </row>
    <row r="97" spans="6:21">
      <c r="F97" s="1887"/>
    </row>
    <row r="98" spans="6:21">
      <c r="R98" s="1627"/>
      <c r="S98" s="1777"/>
      <c r="T98" s="1886"/>
      <c r="U98" s="1780"/>
    </row>
    <row r="99" spans="6:21" ht="15">
      <c r="R99" s="1627"/>
      <c r="S99" s="1777"/>
      <c r="T99" s="1777"/>
      <c r="U99" s="1885"/>
    </row>
    <row r="100" spans="6:21">
      <c r="R100" s="1627"/>
      <c r="S100" s="1777"/>
      <c r="T100" s="1777"/>
      <c r="U100" s="1780"/>
    </row>
  </sheetData>
  <mergeCells count="54">
    <mergeCell ref="R75:S75"/>
    <mergeCell ref="E92:H92"/>
    <mergeCell ref="E93:H93"/>
    <mergeCell ref="E94:H94"/>
    <mergeCell ref="O94:Q94"/>
    <mergeCell ref="B74:C74"/>
    <mergeCell ref="E74:O74"/>
    <mergeCell ref="P74:Q74"/>
    <mergeCell ref="B75:B76"/>
    <mergeCell ref="C75:C76"/>
    <mergeCell ref="D75:D76"/>
    <mergeCell ref="E75:I75"/>
    <mergeCell ref="J75:O75"/>
    <mergeCell ref="P75:Q75"/>
    <mergeCell ref="B72:C72"/>
    <mergeCell ref="E72:O72"/>
    <mergeCell ref="B73:C73"/>
    <mergeCell ref="E73:O73"/>
    <mergeCell ref="B71:C71"/>
    <mergeCell ref="E71:O71"/>
    <mergeCell ref="E60:H60"/>
    <mergeCell ref="E61:H61"/>
    <mergeCell ref="O61:Q61"/>
    <mergeCell ref="R69:S69"/>
    <mergeCell ref="E70:O70"/>
    <mergeCell ref="E64:G66"/>
    <mergeCell ref="B68:S68"/>
    <mergeCell ref="E69:O69"/>
    <mergeCell ref="P48:Q48"/>
    <mergeCell ref="R48:S48"/>
    <mergeCell ref="E59:H59"/>
    <mergeCell ref="B45:C45"/>
    <mergeCell ref="E45:O45"/>
    <mergeCell ref="B48:B49"/>
    <mergeCell ref="C48:C49"/>
    <mergeCell ref="D48:D49"/>
    <mergeCell ref="E48:I48"/>
    <mergeCell ref="J48:O48"/>
    <mergeCell ref="B46:C46"/>
    <mergeCell ref="E46:O46"/>
    <mergeCell ref="B47:C47"/>
    <mergeCell ref="E47:O47"/>
    <mergeCell ref="P47:Q47"/>
    <mergeCell ref="B1:S1"/>
    <mergeCell ref="C2:S2"/>
    <mergeCell ref="C3:S3"/>
    <mergeCell ref="C4:S4"/>
    <mergeCell ref="B5:S5"/>
    <mergeCell ref="B41:S41"/>
    <mergeCell ref="E42:O42"/>
    <mergeCell ref="R42:S42"/>
    <mergeCell ref="E43:O43"/>
    <mergeCell ref="B44:C44"/>
    <mergeCell ref="E44:O44"/>
  </mergeCells>
  <dataValidations count="2">
    <dataValidation type="list" allowBlank="1" showInputMessage="1" showErrorMessage="1" sqref="B50 B77:B86" xr:uid="{A9A4FA41-9D41-4429-9A52-78E634D1E211}">
      <formula1>$B$7:$B$12</formula1>
    </dataValidation>
    <dataValidation type="list" allowBlank="1" showInputMessage="1" showErrorMessage="1" sqref="B44:C44 B71:C71" xr:uid="{E62899EF-4731-49BE-A6CA-BC07BFA3BF55}">
      <formula1>"0, 1"</formula1>
    </dataValidation>
  </dataValidations>
  <pageMargins left="0.7" right="0.7" top="0.75" bottom="0.75" header="0.3" footer="0.3"/>
  <pageSetup paperSize="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A922-981C-4D32-8B80-75C3D80BBD59}">
  <sheetPr>
    <tabColor rgb="FFFFFF00"/>
  </sheetPr>
  <dimension ref="A1:BB100"/>
  <sheetViews>
    <sheetView showGridLines="0" zoomScaleNormal="100" workbookViewId="0">
      <selection activeCell="D75" sqref="D75:D76"/>
    </sheetView>
  </sheetViews>
  <sheetFormatPr defaultColWidth="7.28515625" defaultRowHeight="14.25" outlineLevelRow="1"/>
  <cols>
    <col min="1" max="1" width="3" style="1624" customWidth="1"/>
    <col min="2" max="2" width="9.28515625" style="1624" bestFit="1" customWidth="1"/>
    <col min="3" max="3" width="14.28515625" style="1624" bestFit="1" customWidth="1"/>
    <col min="4" max="4" width="51.140625" style="1624" bestFit="1" customWidth="1"/>
    <col min="5" max="5" width="6" style="1624" bestFit="1" customWidth="1"/>
    <col min="6" max="6" width="8.28515625" style="1624" bestFit="1" customWidth="1"/>
    <col min="7" max="8" width="6" style="1624" bestFit="1" customWidth="1"/>
    <col min="9" max="9" width="7.7109375" style="1624" bestFit="1" customWidth="1"/>
    <col min="10" max="10" width="8.85546875" style="1624" bestFit="1" customWidth="1"/>
    <col min="11" max="11" width="8.42578125" style="1884" bestFit="1" customWidth="1"/>
    <col min="12" max="12" width="7.140625" style="1884" bestFit="1" customWidth="1"/>
    <col min="13" max="13" width="9.85546875" style="1622" bestFit="1" customWidth="1"/>
    <col min="14" max="14" width="9.7109375" style="1883" bestFit="1" customWidth="1"/>
    <col min="15" max="15" width="7.140625" style="1622" bestFit="1" customWidth="1"/>
    <col min="16" max="16" width="8.28515625" style="1622" bestFit="1" customWidth="1"/>
    <col min="17" max="17" width="5.140625" style="1622" bestFit="1" customWidth="1"/>
    <col min="18" max="18" width="12.140625" style="1624" bestFit="1" customWidth="1"/>
    <col min="19" max="19" width="13.85546875" style="1624" bestFit="1" customWidth="1"/>
    <col min="20" max="20" width="11.42578125" style="1622" customWidth="1"/>
    <col min="21" max="21" width="12.28515625" style="1624" bestFit="1" customWidth="1"/>
    <col min="22" max="53" width="7.28515625" style="1624"/>
    <col min="54" max="54" width="255.7109375" style="1624" bestFit="1" customWidth="1"/>
    <col min="55" max="16384" width="7.28515625" style="1624"/>
  </cols>
  <sheetData>
    <row r="1" spans="2:54" s="2100" customFormat="1" ht="33.75">
      <c r="B1" s="2194" t="s">
        <v>2864</v>
      </c>
      <c r="C1" s="2194"/>
      <c r="D1" s="2194"/>
      <c r="E1" s="2194"/>
      <c r="F1" s="2194"/>
      <c r="G1" s="2194"/>
      <c r="H1" s="2194"/>
      <c r="I1" s="2194"/>
      <c r="J1" s="2194"/>
      <c r="K1" s="2194"/>
      <c r="L1" s="2194"/>
      <c r="M1" s="2194"/>
      <c r="N1" s="2194"/>
      <c r="O1" s="2194"/>
      <c r="P1" s="2194"/>
      <c r="Q1" s="2194"/>
      <c r="R1" s="2194"/>
      <c r="S1" s="2194"/>
      <c r="T1" s="2101"/>
      <c r="BB1" s="2100" t="s">
        <v>2863</v>
      </c>
    </row>
    <row r="2" spans="2:54" ht="15">
      <c r="B2" s="2099" t="s">
        <v>2862</v>
      </c>
      <c r="C2" s="2195" t="s">
        <v>2861</v>
      </c>
      <c r="D2" s="2195"/>
      <c r="E2" s="2195"/>
      <c r="F2" s="2195"/>
      <c r="G2" s="2195"/>
      <c r="H2" s="2195"/>
      <c r="I2" s="2195"/>
      <c r="J2" s="2195"/>
      <c r="K2" s="2195"/>
      <c r="L2" s="2195"/>
      <c r="M2" s="2195"/>
      <c r="N2" s="2195"/>
      <c r="O2" s="2195"/>
      <c r="P2" s="2195"/>
      <c r="Q2" s="2195"/>
      <c r="R2" s="2195"/>
      <c r="S2" s="2196"/>
    </row>
    <row r="3" spans="2:54" ht="15">
      <c r="B3" s="2099" t="s">
        <v>2860</v>
      </c>
      <c r="C3" s="2197">
        <f ca="1">TODAY()</f>
        <v>46089</v>
      </c>
      <c r="D3" s="2197"/>
      <c r="E3" s="2197"/>
      <c r="F3" s="2197"/>
      <c r="G3" s="2197"/>
      <c r="H3" s="2197"/>
      <c r="I3" s="2197"/>
      <c r="J3" s="2197"/>
      <c r="K3" s="2197"/>
      <c r="L3" s="2197"/>
      <c r="M3" s="2197"/>
      <c r="N3" s="2197"/>
      <c r="O3" s="2197"/>
      <c r="P3" s="2197"/>
      <c r="Q3" s="2197"/>
      <c r="R3" s="2197"/>
      <c r="S3" s="2198"/>
    </row>
    <row r="4" spans="2:54" ht="15">
      <c r="B4" s="2099" t="s">
        <v>2859</v>
      </c>
      <c r="C4" s="2199">
        <f>+S43</f>
        <v>17500</v>
      </c>
      <c r="D4" s="2195"/>
      <c r="E4" s="2195"/>
      <c r="F4" s="2195"/>
      <c r="G4" s="2195"/>
      <c r="H4" s="2195"/>
      <c r="I4" s="2195"/>
      <c r="J4" s="2195"/>
      <c r="K4" s="2195"/>
      <c r="L4" s="2195"/>
      <c r="M4" s="2195"/>
      <c r="N4" s="2195"/>
      <c r="O4" s="2195"/>
      <c r="P4" s="2195"/>
      <c r="Q4" s="2195"/>
      <c r="R4" s="2195"/>
      <c r="S4" s="2196"/>
    </row>
    <row r="5" spans="2:54" s="1506" customFormat="1" ht="15">
      <c r="B5" s="2200" t="s">
        <v>2858</v>
      </c>
      <c r="C5" s="2201"/>
      <c r="D5" s="2201"/>
      <c r="E5" s="2201"/>
      <c r="F5" s="2201"/>
      <c r="G5" s="2201"/>
      <c r="H5" s="2201"/>
      <c r="I5" s="2201"/>
      <c r="J5" s="2201"/>
      <c r="K5" s="2201"/>
      <c r="L5" s="2201"/>
      <c r="M5" s="2201"/>
      <c r="N5" s="2201"/>
      <c r="O5" s="2201"/>
      <c r="P5" s="2201"/>
      <c r="Q5" s="2201"/>
      <c r="R5" s="2201"/>
      <c r="S5" s="2202"/>
      <c r="T5" s="1495"/>
    </row>
    <row r="6" spans="2:54" s="1506" customFormat="1" ht="16.5" hidden="1" outlineLevel="1">
      <c r="B6" s="2098" t="s">
        <v>1157</v>
      </c>
      <c r="C6" s="2098" t="s">
        <v>2766</v>
      </c>
      <c r="D6" s="2097" t="s">
        <v>2857</v>
      </c>
      <c r="E6" s="2097" t="s">
        <v>2756</v>
      </c>
      <c r="F6" s="2097" t="s">
        <v>2856</v>
      </c>
      <c r="G6" s="2096" t="s">
        <v>1079</v>
      </c>
      <c r="H6" s="1251" t="s">
        <v>33</v>
      </c>
      <c r="I6" s="1251" t="s">
        <v>128</v>
      </c>
      <c r="J6" s="1251" t="s">
        <v>2781</v>
      </c>
      <c r="K6" s="2093"/>
      <c r="L6" s="2093" t="s">
        <v>2114</v>
      </c>
      <c r="M6" s="2095" t="s">
        <v>1079</v>
      </c>
      <c r="N6" s="2095" t="s">
        <v>33</v>
      </c>
      <c r="O6" s="2094" t="s">
        <v>128</v>
      </c>
      <c r="P6" s="2094" t="s">
        <v>2781</v>
      </c>
      <c r="Q6" s="2093"/>
      <c r="R6" s="2092" t="s">
        <v>115</v>
      </c>
      <c r="S6" s="2091">
        <v>1</v>
      </c>
      <c r="T6" s="1495"/>
    </row>
    <row r="7" spans="2:54" s="1506" customFormat="1" ht="15" hidden="1" outlineLevel="1">
      <c r="B7" s="2040" t="s">
        <v>1234</v>
      </c>
      <c r="C7" s="2040" t="s">
        <v>2855</v>
      </c>
      <c r="D7" s="2040" t="s">
        <v>2854</v>
      </c>
      <c r="E7" s="2090">
        <v>7700</v>
      </c>
      <c r="F7" s="2038">
        <f t="shared" ref="F7:F18" si="0">+P7</f>
        <v>18000</v>
      </c>
      <c r="G7" s="2082"/>
      <c r="H7" s="2089"/>
      <c r="I7" s="2089"/>
      <c r="J7" s="2089"/>
      <c r="K7" s="2075"/>
      <c r="L7" s="2075" t="s">
        <v>115</v>
      </c>
      <c r="M7" s="2076">
        <v>18000</v>
      </c>
      <c r="N7" s="2035">
        <v>1</v>
      </c>
      <c r="O7" s="2044">
        <f t="shared" ref="O7:O18" si="1">VLOOKUP(L7,$R$6:$S$12,2,FALSE)</f>
        <v>1</v>
      </c>
      <c r="P7" s="718">
        <f t="shared" ref="P7:P18" si="2">+M7*N7*O7</f>
        <v>18000</v>
      </c>
      <c r="Q7" s="2075"/>
      <c r="R7" s="2088" t="s">
        <v>46</v>
      </c>
      <c r="S7" s="2087">
        <v>17500</v>
      </c>
      <c r="T7" s="1495"/>
    </row>
    <row r="8" spans="2:54" s="1506" customFormat="1" ht="15" hidden="1" outlineLevel="1">
      <c r="B8" s="2030" t="s">
        <v>1194</v>
      </c>
      <c r="C8" s="2030" t="s">
        <v>2853</v>
      </c>
      <c r="D8" s="2030" t="s">
        <v>2852</v>
      </c>
      <c r="E8" s="2086">
        <v>8030</v>
      </c>
      <c r="F8" s="2028">
        <f t="shared" si="0"/>
        <v>30000</v>
      </c>
      <c r="G8" s="2082"/>
      <c r="H8" s="2085"/>
      <c r="I8" s="2085"/>
      <c r="J8" s="2085"/>
      <c r="K8" s="2071"/>
      <c r="L8" s="2071" t="s">
        <v>115</v>
      </c>
      <c r="M8" s="2042">
        <v>30000</v>
      </c>
      <c r="N8" s="1969">
        <v>1</v>
      </c>
      <c r="O8" s="2041">
        <f t="shared" si="1"/>
        <v>1</v>
      </c>
      <c r="P8" s="731">
        <f t="shared" si="2"/>
        <v>30000</v>
      </c>
      <c r="Q8" s="2071"/>
      <c r="R8" s="2084" t="s">
        <v>1076</v>
      </c>
      <c r="S8" s="2083">
        <v>16079.99</v>
      </c>
      <c r="T8" s="1495"/>
    </row>
    <row r="9" spans="2:54" s="1506" customFormat="1" ht="15" hidden="1" outlineLevel="1">
      <c r="B9" s="2030" t="s">
        <v>1083</v>
      </c>
      <c r="C9" s="2030" t="s">
        <v>2851</v>
      </c>
      <c r="D9" s="2030" t="s">
        <v>2850</v>
      </c>
      <c r="E9" s="2086">
        <v>7800</v>
      </c>
      <c r="F9" s="2028">
        <f t="shared" si="0"/>
        <v>55000</v>
      </c>
      <c r="G9" s="2082"/>
      <c r="H9" s="2085"/>
      <c r="I9" s="2085"/>
      <c r="J9" s="2085"/>
      <c r="K9" s="2071"/>
      <c r="L9" s="2071" t="s">
        <v>115</v>
      </c>
      <c r="M9" s="2042">
        <v>55000</v>
      </c>
      <c r="N9" s="1969">
        <v>1</v>
      </c>
      <c r="O9" s="2041">
        <f t="shared" si="1"/>
        <v>1</v>
      </c>
      <c r="P9" s="731">
        <f t="shared" si="2"/>
        <v>55000</v>
      </c>
      <c r="Q9" s="2071"/>
      <c r="R9" s="2084" t="s">
        <v>22</v>
      </c>
      <c r="S9" s="2083">
        <v>3429.69</v>
      </c>
      <c r="T9" s="1495"/>
    </row>
    <row r="10" spans="2:54" s="1506" customFormat="1" ht="15" hidden="1" outlineLevel="1">
      <c r="B10" s="2030" t="s">
        <v>2849</v>
      </c>
      <c r="C10" s="2030" t="s">
        <v>2848</v>
      </c>
      <c r="D10" s="2030" t="s">
        <v>2847</v>
      </c>
      <c r="E10" s="2086">
        <v>8000</v>
      </c>
      <c r="F10" s="2028">
        <f t="shared" si="0"/>
        <v>55000</v>
      </c>
      <c r="G10" s="2082"/>
      <c r="H10" s="2085"/>
      <c r="I10" s="2085"/>
      <c r="J10" s="2085"/>
      <c r="K10" s="2071"/>
      <c r="L10" s="2071" t="s">
        <v>115</v>
      </c>
      <c r="M10" s="2042">
        <v>55000</v>
      </c>
      <c r="N10" s="1969">
        <v>1</v>
      </c>
      <c r="O10" s="2041">
        <f t="shared" si="1"/>
        <v>1</v>
      </c>
      <c r="P10" s="731">
        <f t="shared" si="2"/>
        <v>55000</v>
      </c>
      <c r="Q10" s="2071"/>
      <c r="R10" s="2084" t="s">
        <v>1077</v>
      </c>
      <c r="S10" s="2083">
        <v>2192.36</v>
      </c>
      <c r="T10" s="1495"/>
    </row>
    <row r="11" spans="2:54" s="1506" customFormat="1" ht="15" hidden="1" outlineLevel="1">
      <c r="B11" s="2030" t="s">
        <v>2744</v>
      </c>
      <c r="C11" s="2030" t="s">
        <v>2846</v>
      </c>
      <c r="D11" s="2030" t="s">
        <v>2845</v>
      </c>
      <c r="E11" s="2086">
        <v>2720</v>
      </c>
      <c r="F11" s="2028">
        <f t="shared" si="0"/>
        <v>83085</v>
      </c>
      <c r="G11" s="2082"/>
      <c r="H11" s="2085"/>
      <c r="I11" s="2085"/>
      <c r="J11" s="2085"/>
      <c r="K11" s="2071"/>
      <c r="L11" s="2071" t="s">
        <v>115</v>
      </c>
      <c r="M11" s="2042">
        <v>83085</v>
      </c>
      <c r="N11" s="1969">
        <v>1</v>
      </c>
      <c r="O11" s="2041">
        <f t="shared" si="1"/>
        <v>1</v>
      </c>
      <c r="P11" s="731">
        <f t="shared" si="2"/>
        <v>83085</v>
      </c>
      <c r="Q11" s="2071"/>
      <c r="R11" s="2084" t="s">
        <v>2844</v>
      </c>
      <c r="S11" s="2083">
        <v>11262.76</v>
      </c>
      <c r="T11" s="1495"/>
    </row>
    <row r="12" spans="2:54" s="1506" customFormat="1" ht="15" hidden="1" outlineLevel="1">
      <c r="B12" s="2022" t="s">
        <v>2843</v>
      </c>
      <c r="C12" s="2022" t="s">
        <v>2842</v>
      </c>
      <c r="D12" s="2022" t="s">
        <v>2841</v>
      </c>
      <c r="E12" s="2048">
        <v>1</v>
      </c>
      <c r="F12" s="2020">
        <f t="shared" si="0"/>
        <v>78000</v>
      </c>
      <c r="G12" s="2082"/>
      <c r="H12" s="2081"/>
      <c r="I12" s="2081"/>
      <c r="J12" s="2081"/>
      <c r="K12" s="2064"/>
      <c r="L12" s="2064" t="s">
        <v>115</v>
      </c>
      <c r="M12" s="2080">
        <v>78000</v>
      </c>
      <c r="N12" s="2017">
        <v>1</v>
      </c>
      <c r="O12" s="2079">
        <f t="shared" si="1"/>
        <v>1</v>
      </c>
      <c r="P12" s="2014">
        <f t="shared" si="2"/>
        <v>78000</v>
      </c>
      <c r="Q12" s="2064"/>
      <c r="R12" s="2078" t="s">
        <v>1078</v>
      </c>
      <c r="S12" s="2077">
        <v>183.43</v>
      </c>
      <c r="T12" s="1495"/>
    </row>
    <row r="13" spans="2:54" hidden="1" outlineLevel="1">
      <c r="B13" s="2040" t="s">
        <v>2793</v>
      </c>
      <c r="C13" s="2040"/>
      <c r="D13" s="2040" t="s">
        <v>2840</v>
      </c>
      <c r="E13" s="2045">
        <v>1.032</v>
      </c>
      <c r="F13" s="2038">
        <f t="shared" si="0"/>
        <v>86114.207999999999</v>
      </c>
      <c r="G13" s="2059">
        <f>3.2*E13</f>
        <v>3.3024000000000004</v>
      </c>
      <c r="H13" s="2058">
        <v>1.5</v>
      </c>
      <c r="I13" s="2057">
        <f t="shared" ref="I13:I18" si="3">+S$7</f>
        <v>17500</v>
      </c>
      <c r="J13" s="2056">
        <f t="shared" ref="J13:J18" si="4">+G13*H13*I13</f>
        <v>86688.000000000015</v>
      </c>
      <c r="K13" s="2075"/>
      <c r="L13" s="2075" t="s">
        <v>115</v>
      </c>
      <c r="M13" s="2076">
        <f>+E13*(((10430500/25)/6)*1.2)</f>
        <v>86114.207999999999</v>
      </c>
      <c r="N13" s="2035">
        <v>1</v>
      </c>
      <c r="O13" s="2044">
        <f t="shared" si="1"/>
        <v>1</v>
      </c>
      <c r="P13" s="718">
        <f t="shared" si="2"/>
        <v>86114.207999999999</v>
      </c>
      <c r="Q13" s="2075"/>
      <c r="R13" s="2031"/>
      <c r="S13" s="717"/>
    </row>
    <row r="14" spans="2:54" hidden="1" outlineLevel="1">
      <c r="B14" s="2030" t="s">
        <v>2792</v>
      </c>
      <c r="C14" s="2030"/>
      <c r="D14" s="2030" t="s">
        <v>2839</v>
      </c>
      <c r="E14" s="2043">
        <v>1.4</v>
      </c>
      <c r="F14" s="2028">
        <f t="shared" si="0"/>
        <v>109200</v>
      </c>
      <c r="G14" s="2074">
        <f>3.2*E14</f>
        <v>4.4799999999999995</v>
      </c>
      <c r="H14" s="2069">
        <v>1.5</v>
      </c>
      <c r="I14" s="2073">
        <f t="shared" si="3"/>
        <v>17500</v>
      </c>
      <c r="J14" s="2072">
        <f t="shared" si="4"/>
        <v>117599.99999999999</v>
      </c>
      <c r="K14" s="2071"/>
      <c r="L14" s="2071" t="s">
        <v>115</v>
      </c>
      <c r="M14" s="2042">
        <f>+E14*M$12</f>
        <v>109200</v>
      </c>
      <c r="N14" s="1969">
        <v>1</v>
      </c>
      <c r="O14" s="2041">
        <f t="shared" si="1"/>
        <v>1</v>
      </c>
      <c r="P14" s="731">
        <f t="shared" si="2"/>
        <v>109200</v>
      </c>
      <c r="Q14" s="2071"/>
      <c r="R14" s="2023"/>
      <c r="S14" s="730"/>
    </row>
    <row r="15" spans="2:54" hidden="1" outlineLevel="1">
      <c r="B15" s="2030" t="s">
        <v>2791</v>
      </c>
      <c r="C15" s="2030"/>
      <c r="D15" s="2030" t="s">
        <v>2838</v>
      </c>
      <c r="E15" s="2043">
        <v>1.7589999999999999</v>
      </c>
      <c r="F15" s="2028">
        <f t="shared" si="0"/>
        <v>214624.38499999998</v>
      </c>
      <c r="G15" s="2074">
        <f>3.2*E15</f>
        <v>5.6288</v>
      </c>
      <c r="H15" s="2069">
        <v>1.5</v>
      </c>
      <c r="I15" s="2073">
        <f t="shared" si="3"/>
        <v>17500</v>
      </c>
      <c r="J15" s="2072">
        <f t="shared" si="4"/>
        <v>147756.00000000003</v>
      </c>
      <c r="K15" s="2071"/>
      <c r="L15" s="2071" t="s">
        <v>115</v>
      </c>
      <c r="M15" s="2042">
        <f>+E15*((14641800/20)/6)</f>
        <v>214624.38499999998</v>
      </c>
      <c r="N15" s="1969">
        <v>1</v>
      </c>
      <c r="O15" s="2041">
        <f t="shared" si="1"/>
        <v>1</v>
      </c>
      <c r="P15" s="731">
        <f t="shared" si="2"/>
        <v>214624.38499999998</v>
      </c>
      <c r="Q15" s="2071"/>
      <c r="R15" s="2023"/>
      <c r="S15" s="730"/>
    </row>
    <row r="16" spans="2:54" hidden="1" outlineLevel="1">
      <c r="B16" s="2030" t="s">
        <v>2790</v>
      </c>
      <c r="C16" s="2030"/>
      <c r="D16" s="2030" t="s">
        <v>2837</v>
      </c>
      <c r="E16" s="2043">
        <v>0.85</v>
      </c>
      <c r="F16" s="2028">
        <f t="shared" si="0"/>
        <v>69353.625</v>
      </c>
      <c r="G16" s="2074">
        <f>3.2*E16</f>
        <v>2.72</v>
      </c>
      <c r="H16" s="2069">
        <v>1.5</v>
      </c>
      <c r="I16" s="2073">
        <f t="shared" si="3"/>
        <v>17500</v>
      </c>
      <c r="J16" s="2072">
        <f t="shared" si="4"/>
        <v>71400</v>
      </c>
      <c r="K16" s="2071"/>
      <c r="L16" s="2071" t="s">
        <v>115</v>
      </c>
      <c r="M16" s="2042">
        <f>+E16*(((17950350/55)/6)*1.5)</f>
        <v>69353.625</v>
      </c>
      <c r="N16" s="1969">
        <v>1</v>
      </c>
      <c r="O16" s="2041">
        <f t="shared" si="1"/>
        <v>1</v>
      </c>
      <c r="P16" s="731">
        <f t="shared" si="2"/>
        <v>69353.625</v>
      </c>
      <c r="Q16" s="2071"/>
      <c r="R16" s="2023"/>
      <c r="S16" s="730"/>
    </row>
    <row r="17" spans="2:20" hidden="1" outlineLevel="1">
      <c r="B17" s="2022" t="s">
        <v>2789</v>
      </c>
      <c r="C17" s="2022"/>
      <c r="D17" s="2022" t="s">
        <v>2836</v>
      </c>
      <c r="E17" s="2048">
        <f>7.47/200</f>
        <v>3.7350000000000001E-2</v>
      </c>
      <c r="F17" s="2020">
        <f t="shared" si="0"/>
        <v>2454.75</v>
      </c>
      <c r="G17" s="2070">
        <v>0.1</v>
      </c>
      <c r="H17" s="2069">
        <v>1.5</v>
      </c>
      <c r="I17" s="2068">
        <f t="shared" si="3"/>
        <v>17500</v>
      </c>
      <c r="J17" s="2067">
        <f t="shared" si="4"/>
        <v>2625.0000000000005</v>
      </c>
      <c r="K17" s="2064"/>
      <c r="L17" s="2064" t="s">
        <v>46</v>
      </c>
      <c r="M17" s="2066">
        <f>((1636500/5)/200)/17500</f>
        <v>9.3514285714285716E-2</v>
      </c>
      <c r="N17" s="2017">
        <v>1.5</v>
      </c>
      <c r="O17" s="2065">
        <f t="shared" si="1"/>
        <v>17500</v>
      </c>
      <c r="P17" s="2014">
        <f t="shared" si="2"/>
        <v>2454.75</v>
      </c>
      <c r="Q17" s="2064"/>
      <c r="R17" s="2012"/>
      <c r="S17" s="738"/>
    </row>
    <row r="18" spans="2:20" hidden="1" outlineLevel="1">
      <c r="B18" s="2040" t="s">
        <v>2787</v>
      </c>
      <c r="C18" s="2040"/>
      <c r="D18" s="2040" t="s">
        <v>2835</v>
      </c>
      <c r="E18" s="2045">
        <v>0.12</v>
      </c>
      <c r="F18" s="2038">
        <f t="shared" si="0"/>
        <v>20355.000000000004</v>
      </c>
      <c r="G18" s="2059">
        <v>0.8</v>
      </c>
      <c r="H18" s="2058">
        <v>1.5</v>
      </c>
      <c r="I18" s="2057">
        <f t="shared" si="3"/>
        <v>17500</v>
      </c>
      <c r="J18" s="2056">
        <f t="shared" si="4"/>
        <v>21000.000000000004</v>
      </c>
      <c r="K18" s="2032"/>
      <c r="L18" s="2032" t="s">
        <v>46</v>
      </c>
      <c r="M18" s="2055">
        <f>(16284000/1200)/17500</f>
        <v>0.77542857142857147</v>
      </c>
      <c r="N18" s="2035">
        <v>1.5</v>
      </c>
      <c r="O18" s="718">
        <f t="shared" si="1"/>
        <v>17500</v>
      </c>
      <c r="P18" s="718">
        <f t="shared" si="2"/>
        <v>20355.000000000004</v>
      </c>
      <c r="Q18" s="2032"/>
      <c r="R18" s="2031"/>
      <c r="S18" s="717"/>
    </row>
    <row r="19" spans="2:20" s="418" customFormat="1" hidden="1" outlineLevel="1">
      <c r="B19" s="2054" t="s">
        <v>2834</v>
      </c>
      <c r="C19" s="2054"/>
      <c r="D19" s="2054" t="s">
        <v>2833</v>
      </c>
      <c r="E19" s="2052">
        <v>5.0000000000000001E-3</v>
      </c>
      <c r="F19" s="2051"/>
      <c r="G19" s="2050"/>
      <c r="H19" s="2026"/>
      <c r="I19" s="2026"/>
      <c r="J19" s="2026"/>
      <c r="K19" s="2024"/>
      <c r="L19" s="2024"/>
      <c r="M19" s="1969"/>
      <c r="N19" s="2049"/>
      <c r="O19" s="731"/>
      <c r="P19" s="731"/>
      <c r="Q19" s="2024"/>
      <c r="R19" s="2023"/>
      <c r="S19" s="730"/>
      <c r="T19" s="893"/>
    </row>
    <row r="20" spans="2:20" s="418" customFormat="1" hidden="1" outlineLevel="1">
      <c r="B20" s="2054" t="s">
        <v>2832</v>
      </c>
      <c r="C20" s="2054"/>
      <c r="D20" s="2054" t="s">
        <v>2831</v>
      </c>
      <c r="E20" s="2052">
        <v>0.06</v>
      </c>
      <c r="F20" s="2051"/>
      <c r="G20" s="2050"/>
      <c r="H20" s="2026"/>
      <c r="I20" s="2026"/>
      <c r="J20" s="2026"/>
      <c r="K20" s="2024"/>
      <c r="L20" s="2024"/>
      <c r="M20" s="1969"/>
      <c r="N20" s="2049"/>
      <c r="O20" s="731"/>
      <c r="P20" s="731"/>
      <c r="Q20" s="2024"/>
      <c r="R20" s="2023"/>
      <c r="S20" s="730"/>
      <c r="T20" s="893"/>
    </row>
    <row r="21" spans="2:20" s="418" customFormat="1" hidden="1" outlineLevel="1">
      <c r="B21" s="2054" t="s">
        <v>2830</v>
      </c>
      <c r="C21" s="2054"/>
      <c r="D21" s="2054" t="s">
        <v>2829</v>
      </c>
      <c r="E21" s="2052">
        <v>0.04</v>
      </c>
      <c r="F21" s="2051"/>
      <c r="G21" s="2050"/>
      <c r="H21" s="2026"/>
      <c r="I21" s="2026"/>
      <c r="J21" s="2026"/>
      <c r="K21" s="2024"/>
      <c r="L21" s="2024"/>
      <c r="M21" s="1969"/>
      <c r="N21" s="2049"/>
      <c r="O21" s="731"/>
      <c r="P21" s="731"/>
      <c r="Q21" s="2024"/>
      <c r="R21" s="2023"/>
      <c r="S21" s="730"/>
      <c r="T21" s="893"/>
    </row>
    <row r="22" spans="2:20" s="418" customFormat="1" hidden="1" outlineLevel="1">
      <c r="B22" s="2054" t="s">
        <v>2828</v>
      </c>
      <c r="C22" s="2054"/>
      <c r="D22" s="2054" t="s">
        <v>2827</v>
      </c>
      <c r="E22" s="2052">
        <v>5.0000000000000001E-3</v>
      </c>
      <c r="F22" s="2051"/>
      <c r="G22" s="2050"/>
      <c r="H22" s="2026"/>
      <c r="I22" s="2026"/>
      <c r="J22" s="2026"/>
      <c r="K22" s="2024"/>
      <c r="L22" s="2024"/>
      <c r="M22" s="1969"/>
      <c r="N22" s="2049"/>
      <c r="O22" s="731"/>
      <c r="P22" s="731"/>
      <c r="Q22" s="2024"/>
      <c r="R22" s="2023"/>
      <c r="S22" s="730"/>
      <c r="T22" s="893"/>
    </row>
    <row r="23" spans="2:20" s="418" customFormat="1" hidden="1" outlineLevel="1">
      <c r="B23" s="2054" t="s">
        <v>2826</v>
      </c>
      <c r="C23" s="2054"/>
      <c r="D23" s="2063" t="s">
        <v>2825</v>
      </c>
      <c r="E23" s="2062">
        <v>0.01</v>
      </c>
      <c r="F23" s="2061"/>
      <c r="G23" s="2047"/>
      <c r="H23" s="2018"/>
      <c r="I23" s="2018"/>
      <c r="J23" s="2018"/>
      <c r="K23" s="2013"/>
      <c r="L23" s="2013"/>
      <c r="M23" s="2017"/>
      <c r="N23" s="2060"/>
      <c r="O23" s="2014"/>
      <c r="P23" s="2014"/>
      <c r="Q23" s="2013"/>
      <c r="R23" s="2012"/>
      <c r="S23" s="738"/>
      <c r="T23" s="893"/>
    </row>
    <row r="24" spans="2:20" hidden="1" outlineLevel="1">
      <c r="B24" s="2040" t="s">
        <v>2786</v>
      </c>
      <c r="C24" s="2040"/>
      <c r="D24" s="2040" t="s">
        <v>2824</v>
      </c>
      <c r="E24" s="2045">
        <v>0.37</v>
      </c>
      <c r="F24" s="2038">
        <f>+P24</f>
        <v>117990</v>
      </c>
      <c r="G24" s="2059">
        <v>4.4000000000000004</v>
      </c>
      <c r="H24" s="2058">
        <v>1.5</v>
      </c>
      <c r="I24" s="2057">
        <f>+S$7</f>
        <v>17500</v>
      </c>
      <c r="J24" s="2056">
        <f>+G24*H24*I24</f>
        <v>115500.00000000001</v>
      </c>
      <c r="K24" s="2032"/>
      <c r="L24" s="2032" t="s">
        <v>46</v>
      </c>
      <c r="M24" s="2055">
        <f>(11799000/150)/17500</f>
        <v>4.4948571428571427</v>
      </c>
      <c r="N24" s="2035">
        <v>1.5</v>
      </c>
      <c r="O24" s="718">
        <f>VLOOKUP(L24,$R$6:$S$12,2,FALSE)</f>
        <v>17500</v>
      </c>
      <c r="P24" s="718">
        <f>+M24*N24*O24</f>
        <v>117990</v>
      </c>
      <c r="Q24" s="2032"/>
      <c r="R24" s="2031"/>
      <c r="S24" s="717"/>
    </row>
    <row r="25" spans="2:20" s="418" customFormat="1" hidden="1" outlineLevel="1">
      <c r="B25" s="2054" t="s">
        <v>2823</v>
      </c>
      <c r="C25" s="2054"/>
      <c r="D25" s="2053" t="s">
        <v>2822</v>
      </c>
      <c r="E25" s="2052">
        <v>0.13</v>
      </c>
      <c r="F25" s="2051"/>
      <c r="G25" s="2050"/>
      <c r="H25" s="2026"/>
      <c r="I25" s="2026"/>
      <c r="J25" s="2026"/>
      <c r="K25" s="2024"/>
      <c r="L25" s="2024"/>
      <c r="M25" s="1969"/>
      <c r="N25" s="2049"/>
      <c r="O25" s="731"/>
      <c r="P25" s="731"/>
      <c r="Q25" s="2024"/>
      <c r="R25" s="2023"/>
      <c r="S25" s="730"/>
      <c r="T25" s="893"/>
    </row>
    <row r="26" spans="2:20" s="418" customFormat="1" hidden="1" outlineLevel="1">
      <c r="B26" s="2054" t="s">
        <v>2821</v>
      </c>
      <c r="C26" s="2054"/>
      <c r="D26" s="2053" t="s">
        <v>2820</v>
      </c>
      <c r="E26" s="2052">
        <v>0.11</v>
      </c>
      <c r="F26" s="2051"/>
      <c r="G26" s="2050"/>
      <c r="H26" s="2026"/>
      <c r="I26" s="2026"/>
      <c r="J26" s="2026"/>
      <c r="K26" s="2024"/>
      <c r="L26" s="2024"/>
      <c r="M26" s="1969"/>
      <c r="N26" s="2049"/>
      <c r="O26" s="731"/>
      <c r="P26" s="731"/>
      <c r="Q26" s="2024"/>
      <c r="R26" s="2023"/>
      <c r="S26" s="730"/>
      <c r="T26" s="893"/>
    </row>
    <row r="27" spans="2:20" hidden="1" outlineLevel="1">
      <c r="B27" s="2030" t="s">
        <v>2819</v>
      </c>
      <c r="C27" s="2054"/>
      <c r="D27" s="2053" t="s">
        <v>2818</v>
      </c>
      <c r="E27" s="2052">
        <v>7.0000000000000007E-2</v>
      </c>
      <c r="F27" s="2051"/>
      <c r="G27" s="2050"/>
      <c r="H27" s="2026"/>
      <c r="I27" s="2026"/>
      <c r="J27" s="2026"/>
      <c r="K27" s="2024"/>
      <c r="L27" s="2024"/>
      <c r="M27" s="1969"/>
      <c r="N27" s="2049"/>
      <c r="O27" s="731"/>
      <c r="P27" s="731"/>
      <c r="Q27" s="2024"/>
      <c r="R27" s="2023"/>
      <c r="S27" s="730"/>
    </row>
    <row r="28" spans="2:20" hidden="1" outlineLevel="1">
      <c r="B28" s="2030" t="s">
        <v>2817</v>
      </c>
      <c r="C28" s="2054"/>
      <c r="D28" s="2053" t="s">
        <v>2816</v>
      </c>
      <c r="E28" s="2052">
        <v>0.05</v>
      </c>
      <c r="F28" s="2051"/>
      <c r="G28" s="2050"/>
      <c r="H28" s="2026"/>
      <c r="I28" s="2026"/>
      <c r="J28" s="2026"/>
      <c r="K28" s="2024"/>
      <c r="L28" s="2024"/>
      <c r="M28" s="1969"/>
      <c r="N28" s="2049"/>
      <c r="O28" s="731"/>
      <c r="P28" s="731"/>
      <c r="Q28" s="2024"/>
      <c r="R28" s="2023"/>
      <c r="S28" s="730"/>
    </row>
    <row r="29" spans="2:20" hidden="1" outlineLevel="1">
      <c r="B29" s="2022" t="s">
        <v>2788</v>
      </c>
      <c r="C29" s="2022"/>
      <c r="D29" s="2022" t="s">
        <v>2815</v>
      </c>
      <c r="E29" s="2048">
        <v>0.71499999999999997</v>
      </c>
      <c r="F29" s="2020">
        <f t="shared" ref="F29:F34" si="5">+P29</f>
        <v>94500</v>
      </c>
      <c r="G29" s="2047"/>
      <c r="H29" s="2018"/>
      <c r="I29" s="2018"/>
      <c r="J29" s="2018"/>
      <c r="K29" s="2013"/>
      <c r="L29" s="2013" t="s">
        <v>46</v>
      </c>
      <c r="M29" s="2046">
        <v>3.6</v>
      </c>
      <c r="N29" s="1969">
        <v>1.5</v>
      </c>
      <c r="O29" s="2014">
        <f t="shared" ref="O29:O34" si="6">VLOOKUP(L29,$R$6:$S$12,2,FALSE)</f>
        <v>17500</v>
      </c>
      <c r="P29" s="2014">
        <f t="shared" ref="P29:P34" si="7">+M29*N29*O29</f>
        <v>94500</v>
      </c>
      <c r="Q29" s="2013"/>
      <c r="R29" s="2012"/>
      <c r="S29" s="738"/>
    </row>
    <row r="30" spans="2:20" hidden="1" outlineLevel="1">
      <c r="B30" s="2040" t="s">
        <v>2742</v>
      </c>
      <c r="C30" s="2040" t="s">
        <v>2814</v>
      </c>
      <c r="D30" s="2040" t="s">
        <v>2813</v>
      </c>
      <c r="E30" s="2045">
        <v>8.0000000000000002E-3</v>
      </c>
      <c r="F30" s="2038">
        <f t="shared" si="5"/>
        <v>4000</v>
      </c>
      <c r="G30" s="2037"/>
      <c r="H30" s="2036"/>
      <c r="I30" s="2036"/>
      <c r="J30" s="2036"/>
      <c r="K30" s="2032"/>
      <c r="L30" s="2032" t="s">
        <v>115</v>
      </c>
      <c r="M30" s="2042">
        <v>4000</v>
      </c>
      <c r="N30" s="2035">
        <v>1</v>
      </c>
      <c r="O30" s="2044">
        <f t="shared" si="6"/>
        <v>1</v>
      </c>
      <c r="P30" s="718">
        <f t="shared" si="7"/>
        <v>4000</v>
      </c>
      <c r="Q30" s="2032"/>
      <c r="R30" s="2031"/>
      <c r="S30" s="717"/>
    </row>
    <row r="31" spans="2:20" hidden="1" outlineLevel="1">
      <c r="B31" s="2030" t="s">
        <v>2740</v>
      </c>
      <c r="C31" s="2030" t="s">
        <v>2812</v>
      </c>
      <c r="D31" s="2030" t="s">
        <v>2811</v>
      </c>
      <c r="E31" s="2043">
        <v>2E-3</v>
      </c>
      <c r="F31" s="2028">
        <f t="shared" si="5"/>
        <v>1890</v>
      </c>
      <c r="G31" s="2027"/>
      <c r="H31" s="2026"/>
      <c r="I31" s="2026"/>
      <c r="J31" s="2026"/>
      <c r="K31" s="2024"/>
      <c r="L31" s="2024" t="s">
        <v>115</v>
      </c>
      <c r="M31" s="2042">
        <v>1890</v>
      </c>
      <c r="N31" s="1969">
        <v>1</v>
      </c>
      <c r="O31" s="2041">
        <f t="shared" si="6"/>
        <v>1</v>
      </c>
      <c r="P31" s="731">
        <f t="shared" si="7"/>
        <v>1890</v>
      </c>
      <c r="Q31" s="2024"/>
      <c r="R31" s="2023"/>
      <c r="S31" s="730"/>
    </row>
    <row r="32" spans="2:20" hidden="1" outlineLevel="1">
      <c r="B32" s="2030" t="s">
        <v>2738</v>
      </c>
      <c r="C32" s="2030" t="s">
        <v>2810</v>
      </c>
      <c r="D32" s="2030" t="s">
        <v>2809</v>
      </c>
      <c r="E32" s="2043">
        <v>1.0999999999999999E-2</v>
      </c>
      <c r="F32" s="2028">
        <f t="shared" si="5"/>
        <v>3180</v>
      </c>
      <c r="G32" s="2027"/>
      <c r="H32" s="2026"/>
      <c r="I32" s="2026"/>
      <c r="J32" s="2026"/>
      <c r="K32" s="2024"/>
      <c r="L32" s="2024" t="s">
        <v>115</v>
      </c>
      <c r="M32" s="2042">
        <v>3180</v>
      </c>
      <c r="N32" s="1969">
        <v>1</v>
      </c>
      <c r="O32" s="2041">
        <f t="shared" si="6"/>
        <v>1</v>
      </c>
      <c r="P32" s="731">
        <f t="shared" si="7"/>
        <v>3180</v>
      </c>
      <c r="Q32" s="2024"/>
      <c r="R32" s="2023"/>
      <c r="S32" s="730"/>
    </row>
    <row r="33" spans="1:20" hidden="1" outlineLevel="1">
      <c r="B33" s="2030" t="s">
        <v>2736</v>
      </c>
      <c r="C33" s="2030"/>
      <c r="D33" s="2030" t="s">
        <v>2808</v>
      </c>
      <c r="E33" s="2043">
        <v>5.0000000000000001E-3</v>
      </c>
      <c r="F33" s="2028">
        <f t="shared" si="5"/>
        <v>100</v>
      </c>
      <c r="G33" s="2027"/>
      <c r="H33" s="2026"/>
      <c r="I33" s="2026"/>
      <c r="J33" s="2026"/>
      <c r="K33" s="2024"/>
      <c r="L33" s="2024" t="s">
        <v>115</v>
      </c>
      <c r="M33" s="2042">
        <v>100</v>
      </c>
      <c r="N33" s="1969">
        <v>1</v>
      </c>
      <c r="O33" s="2041">
        <f t="shared" si="6"/>
        <v>1</v>
      </c>
      <c r="P33" s="731">
        <f t="shared" si="7"/>
        <v>100</v>
      </c>
      <c r="Q33" s="2024"/>
      <c r="R33" s="2023"/>
      <c r="S33" s="730"/>
    </row>
    <row r="34" spans="1:20" hidden="1" outlineLevel="1">
      <c r="B34" s="2030" t="s">
        <v>2734</v>
      </c>
      <c r="C34" s="2030"/>
      <c r="D34" s="2030" t="s">
        <v>2733</v>
      </c>
      <c r="E34" s="2043">
        <v>2E-3</v>
      </c>
      <c r="F34" s="2028">
        <f t="shared" si="5"/>
        <v>100</v>
      </c>
      <c r="G34" s="2027"/>
      <c r="H34" s="2026"/>
      <c r="I34" s="2026"/>
      <c r="J34" s="2026"/>
      <c r="K34" s="2024"/>
      <c r="L34" s="2024" t="s">
        <v>115</v>
      </c>
      <c r="M34" s="2042">
        <v>100</v>
      </c>
      <c r="N34" s="1969">
        <v>1</v>
      </c>
      <c r="O34" s="2041">
        <f t="shared" si="6"/>
        <v>1</v>
      </c>
      <c r="P34" s="731">
        <f t="shared" si="7"/>
        <v>100</v>
      </c>
      <c r="Q34" s="2024"/>
      <c r="R34" s="2023"/>
      <c r="S34" s="730"/>
    </row>
    <row r="35" spans="1:20" hidden="1" outlineLevel="1">
      <c r="B35" s="2040" t="s">
        <v>2807</v>
      </c>
      <c r="C35" s="2040"/>
      <c r="D35" s="2040" t="s">
        <v>2806</v>
      </c>
      <c r="E35" s="2039">
        <v>0.5</v>
      </c>
      <c r="F35" s="2038"/>
      <c r="G35" s="2037"/>
      <c r="H35" s="2036"/>
      <c r="I35" s="2036"/>
      <c r="J35" s="2036"/>
      <c r="K35" s="2032"/>
      <c r="L35" s="2032" t="s">
        <v>46</v>
      </c>
      <c r="M35" s="2035"/>
      <c r="N35" s="2034"/>
      <c r="O35" s="2033"/>
      <c r="P35" s="718"/>
      <c r="Q35" s="2032"/>
      <c r="R35" s="2031"/>
      <c r="S35" s="717"/>
    </row>
    <row r="36" spans="1:20" hidden="1" outlineLevel="1">
      <c r="B36" s="2030" t="s">
        <v>2805</v>
      </c>
      <c r="C36" s="2030"/>
      <c r="D36" s="2030" t="s">
        <v>2804</v>
      </c>
      <c r="E36" s="2029">
        <v>0.5</v>
      </c>
      <c r="F36" s="2028"/>
      <c r="G36" s="2027"/>
      <c r="H36" s="2026"/>
      <c r="I36" s="2026"/>
      <c r="J36" s="2026"/>
      <c r="K36" s="2024"/>
      <c r="L36" s="2024" t="s">
        <v>46</v>
      </c>
      <c r="M36" s="1969"/>
      <c r="N36" s="2025"/>
      <c r="O36" s="1971"/>
      <c r="P36" s="731"/>
      <c r="Q36" s="2024"/>
      <c r="R36" s="2023"/>
      <c r="S36" s="730"/>
    </row>
    <row r="37" spans="1:20" hidden="1" outlineLevel="1">
      <c r="B37" s="2030" t="s">
        <v>2803</v>
      </c>
      <c r="C37" s="2030"/>
      <c r="D37" s="2030" t="s">
        <v>2802</v>
      </c>
      <c r="E37" s="2029">
        <v>0.5</v>
      </c>
      <c r="F37" s="2028"/>
      <c r="G37" s="2027"/>
      <c r="H37" s="2026"/>
      <c r="I37" s="2026"/>
      <c r="J37" s="2026"/>
      <c r="K37" s="2024"/>
      <c r="L37" s="2024" t="s">
        <v>46</v>
      </c>
      <c r="M37" s="1969"/>
      <c r="N37" s="2025"/>
      <c r="O37" s="1971"/>
      <c r="P37" s="731"/>
      <c r="Q37" s="2024"/>
      <c r="R37" s="2023"/>
      <c r="S37" s="730"/>
    </row>
    <row r="38" spans="1:20" hidden="1" outlineLevel="1">
      <c r="B38" s="2030" t="s">
        <v>2801</v>
      </c>
      <c r="C38" s="2030"/>
      <c r="D38" s="2030" t="s">
        <v>2800</v>
      </c>
      <c r="E38" s="2029">
        <v>0.9</v>
      </c>
      <c r="F38" s="2028"/>
      <c r="G38" s="2027"/>
      <c r="H38" s="2026"/>
      <c r="I38" s="2026"/>
      <c r="J38" s="2026"/>
      <c r="K38" s="2024"/>
      <c r="L38" s="2024" t="s">
        <v>46</v>
      </c>
      <c r="M38" s="1969"/>
      <c r="N38" s="2025"/>
      <c r="O38" s="1971"/>
      <c r="P38" s="731"/>
      <c r="Q38" s="2024"/>
      <c r="R38" s="2023"/>
      <c r="S38" s="730"/>
    </row>
    <row r="39" spans="1:20" hidden="1" outlineLevel="1">
      <c r="B39" s="2030" t="s">
        <v>2799</v>
      </c>
      <c r="C39" s="2030"/>
      <c r="D39" s="2030" t="s">
        <v>2798</v>
      </c>
      <c r="E39" s="2029">
        <v>1.4</v>
      </c>
      <c r="F39" s="2028"/>
      <c r="G39" s="2027"/>
      <c r="H39" s="2026"/>
      <c r="I39" s="2026"/>
      <c r="J39" s="2026"/>
      <c r="K39" s="2024"/>
      <c r="L39" s="2024" t="s">
        <v>46</v>
      </c>
      <c r="M39" s="1969"/>
      <c r="N39" s="2025"/>
      <c r="O39" s="1971"/>
      <c r="P39" s="731"/>
      <c r="Q39" s="2024"/>
      <c r="R39" s="2023"/>
      <c r="S39" s="730"/>
    </row>
    <row r="40" spans="1:20" hidden="1" outlineLevel="1">
      <c r="B40" s="2022" t="s">
        <v>2797</v>
      </c>
      <c r="C40" s="2022"/>
      <c r="D40" s="2022" t="s">
        <v>2796</v>
      </c>
      <c r="E40" s="2021">
        <v>1.4</v>
      </c>
      <c r="F40" s="2020"/>
      <c r="G40" s="2019"/>
      <c r="H40" s="2018"/>
      <c r="I40" s="2018"/>
      <c r="J40" s="2018"/>
      <c r="K40" s="2013"/>
      <c r="L40" s="2013" t="s">
        <v>46</v>
      </c>
      <c r="M40" s="2017"/>
      <c r="N40" s="2016"/>
      <c r="O40" s="2015"/>
      <c r="P40" s="2014"/>
      <c r="Q40" s="2013"/>
      <c r="R40" s="2012"/>
      <c r="S40" s="738"/>
    </row>
    <row r="41" spans="1:20" s="1506" customFormat="1" ht="18" collapsed="1">
      <c r="B41" s="2184" t="s">
        <v>2795</v>
      </c>
      <c r="C41" s="2185"/>
      <c r="D41" s="2185"/>
      <c r="E41" s="2185"/>
      <c r="F41" s="2185"/>
      <c r="G41" s="2185"/>
      <c r="H41" s="2185"/>
      <c r="I41" s="2185"/>
      <c r="J41" s="2185"/>
      <c r="K41" s="2185"/>
      <c r="L41" s="2185"/>
      <c r="M41" s="2185"/>
      <c r="N41" s="2185"/>
      <c r="O41" s="2185"/>
      <c r="P41" s="2185"/>
      <c r="Q41" s="2185"/>
      <c r="R41" s="2185"/>
      <c r="S41" s="2186"/>
      <c r="T41" s="1622"/>
    </row>
    <row r="42" spans="1:20" s="1506" customFormat="1" ht="14.45" hidden="1" customHeight="1" outlineLevel="1">
      <c r="A42" s="1624"/>
      <c r="B42" s="2011" t="s">
        <v>21</v>
      </c>
      <c r="C42" s="2010" t="s">
        <v>19</v>
      </c>
      <c r="D42" s="1963" t="s">
        <v>2778</v>
      </c>
      <c r="E42" s="2187" t="s">
        <v>2777</v>
      </c>
      <c r="F42" s="2188"/>
      <c r="G42" s="2188"/>
      <c r="H42" s="2188"/>
      <c r="I42" s="2188"/>
      <c r="J42" s="2188"/>
      <c r="K42" s="2188"/>
      <c r="L42" s="2188"/>
      <c r="M42" s="2188"/>
      <c r="N42" s="2188"/>
      <c r="O42" s="2189"/>
      <c r="P42" s="2009" t="s">
        <v>21</v>
      </c>
      <c r="Q42" s="2008" t="s">
        <v>19</v>
      </c>
      <c r="R42" s="2190">
        <v>43088</v>
      </c>
      <c r="S42" s="2191"/>
      <c r="T42" s="1495"/>
    </row>
    <row r="43" spans="1:20" hidden="1" outlineLevel="1">
      <c r="B43" s="363">
        <f>B70</f>
        <v>500</v>
      </c>
      <c r="C43" s="363">
        <f>C70</f>
        <v>410</v>
      </c>
      <c r="D43" s="1956" t="s">
        <v>2776</v>
      </c>
      <c r="E43" s="2192" t="s">
        <v>2775</v>
      </c>
      <c r="F43" s="2192"/>
      <c r="G43" s="2192"/>
      <c r="H43" s="2192"/>
      <c r="I43" s="2192"/>
      <c r="J43" s="2192"/>
      <c r="K43" s="2192"/>
      <c r="L43" s="2192"/>
      <c r="M43" s="2192"/>
      <c r="N43" s="2192"/>
      <c r="O43" s="2192"/>
      <c r="P43" s="1961">
        <f>+B43</f>
        <v>500</v>
      </c>
      <c r="Q43" s="1961">
        <f>P44*100+10</f>
        <v>410</v>
      </c>
      <c r="R43" s="1954" t="s">
        <v>126</v>
      </c>
      <c r="S43" s="1953">
        <f>+S$7</f>
        <v>17500</v>
      </c>
    </row>
    <row r="44" spans="1:20" hidden="1" outlineLevel="1">
      <c r="B44" s="2193">
        <f>B71</f>
        <v>0</v>
      </c>
      <c r="C44" s="2193"/>
      <c r="D44" s="1956" t="s">
        <v>2774</v>
      </c>
      <c r="E44" s="2192" t="s">
        <v>2773</v>
      </c>
      <c r="F44" s="2192"/>
      <c r="G44" s="2192"/>
      <c r="H44" s="2192"/>
      <c r="I44" s="2192"/>
      <c r="J44" s="2192"/>
      <c r="K44" s="2192"/>
      <c r="L44" s="2192"/>
      <c r="M44" s="2192"/>
      <c r="N44" s="2192"/>
      <c r="O44" s="2192"/>
      <c r="P44" s="1961">
        <f>ROUNDDOWN(C43/100,0)</f>
        <v>4</v>
      </c>
      <c r="Q44" s="1955">
        <f>IF(P43&lt;=1400,0,IF(AND(P43&gt;1400,P43&lt;=2100),1,2))</f>
        <v>0</v>
      </c>
      <c r="R44" s="1954" t="s">
        <v>2772</v>
      </c>
      <c r="S44" s="1953">
        <f>+S$8</f>
        <v>16079.99</v>
      </c>
    </row>
    <row r="45" spans="1:20" hidden="1" outlineLevel="1">
      <c r="B45" s="2193"/>
      <c r="C45" s="2193"/>
      <c r="D45" s="1956"/>
      <c r="E45" s="2207" t="s">
        <v>2771</v>
      </c>
      <c r="F45" s="2208"/>
      <c r="G45" s="2208"/>
      <c r="H45" s="2208"/>
      <c r="I45" s="2208"/>
      <c r="J45" s="2208"/>
      <c r="K45" s="2208"/>
      <c r="L45" s="2208"/>
      <c r="M45" s="2208"/>
      <c r="N45" s="2208"/>
      <c r="O45" s="2209"/>
      <c r="P45" s="1960">
        <f>P44*(Q44+1)</f>
        <v>4</v>
      </c>
      <c r="Q45" s="1959">
        <f>(P43-Q44*34.3)/(Q44+1)</f>
        <v>500</v>
      </c>
      <c r="R45" s="1954" t="s">
        <v>2770</v>
      </c>
      <c r="S45" s="1953">
        <f>+S$9</f>
        <v>3429.69</v>
      </c>
    </row>
    <row r="46" spans="1:20" hidden="1" outlineLevel="1">
      <c r="B46" s="2215"/>
      <c r="C46" s="2216"/>
      <c r="D46" s="1956"/>
      <c r="E46" s="2192" t="s">
        <v>2769</v>
      </c>
      <c r="F46" s="2192"/>
      <c r="G46" s="2192"/>
      <c r="H46" s="2192"/>
      <c r="I46" s="2192"/>
      <c r="J46" s="2192"/>
      <c r="K46" s="2192"/>
      <c r="L46" s="2192"/>
      <c r="M46" s="2192"/>
      <c r="N46" s="2192"/>
      <c r="O46" s="2192"/>
      <c r="P46" s="1958">
        <f>Q43/1000*P43/1000</f>
        <v>0.20499999999999999</v>
      </c>
      <c r="Q46" s="1957" t="str">
        <f>IF(P46&lt;0.5,"2Nm",IF(AND(P46&gt;0.5,P46&lt;1),"5Nm",IF(AND(P46&gt;1,P46&lt;2),"10Nm",IF(AND(P46&gt;2,P46&lt;4),"20Nm",IF(AND(P46&gt;4,P46&lt;6),"30Nm",IF(AND(P46&gt;6,P46&lt;8),"40Nm","NA"))))))</f>
        <v>2Nm</v>
      </c>
      <c r="R46" s="1954" t="s">
        <v>2768</v>
      </c>
      <c r="S46" s="1953">
        <f>+S$10</f>
        <v>2192.36</v>
      </c>
    </row>
    <row r="47" spans="1:20" hidden="1" outlineLevel="1">
      <c r="B47" s="2193"/>
      <c r="C47" s="2193"/>
      <c r="D47" s="1956"/>
      <c r="E47" s="2207"/>
      <c r="F47" s="2208"/>
      <c r="G47" s="2208"/>
      <c r="H47" s="2208"/>
      <c r="I47" s="2208"/>
      <c r="J47" s="2208"/>
      <c r="K47" s="2208"/>
      <c r="L47" s="2208"/>
      <c r="M47" s="2208"/>
      <c r="N47" s="2208"/>
      <c r="O47" s="2209"/>
      <c r="P47" s="2217"/>
      <c r="Q47" s="2217"/>
      <c r="R47" s="1954" t="s">
        <v>2767</v>
      </c>
      <c r="S47" s="1953">
        <f>+S$11</f>
        <v>11262.76</v>
      </c>
    </row>
    <row r="48" spans="1:20" ht="15" hidden="1" outlineLevel="1">
      <c r="B48" s="2210" t="s">
        <v>1157</v>
      </c>
      <c r="C48" s="2210" t="s">
        <v>2766</v>
      </c>
      <c r="D48" s="2212" t="s">
        <v>2765</v>
      </c>
      <c r="E48" s="2214" t="s">
        <v>2764</v>
      </c>
      <c r="F48" s="2214"/>
      <c r="G48" s="2214"/>
      <c r="H48" s="2214"/>
      <c r="I48" s="2214"/>
      <c r="J48" s="2214" t="s">
        <v>2763</v>
      </c>
      <c r="K48" s="2214"/>
      <c r="L48" s="2214"/>
      <c r="M48" s="2214"/>
      <c r="N48" s="2214"/>
      <c r="O48" s="2214"/>
      <c r="P48" s="2203" t="s">
        <v>2762</v>
      </c>
      <c r="Q48" s="2204"/>
      <c r="R48" s="2205" t="s">
        <v>1160</v>
      </c>
      <c r="S48" s="2205"/>
    </row>
    <row r="49" spans="1:24" ht="13.9" hidden="1" customHeight="1" outlineLevel="1">
      <c r="B49" s="2211"/>
      <c r="C49" s="2211"/>
      <c r="D49" s="2213"/>
      <c r="E49" s="1948" t="s">
        <v>1085</v>
      </c>
      <c r="F49" s="1952" t="s">
        <v>2492</v>
      </c>
      <c r="G49" s="1952" t="s">
        <v>2761</v>
      </c>
      <c r="H49" s="1948" t="s">
        <v>2760</v>
      </c>
      <c r="I49" s="1952" t="s">
        <v>2794</v>
      </c>
      <c r="J49" s="1950" t="s">
        <v>82</v>
      </c>
      <c r="K49" s="1949" t="s">
        <v>1163</v>
      </c>
      <c r="L49" s="1948" t="s">
        <v>1154</v>
      </c>
      <c r="M49" s="1948" t="s">
        <v>34</v>
      </c>
      <c r="N49" s="1948" t="s">
        <v>2758</v>
      </c>
      <c r="O49" s="1948" t="s">
        <v>13</v>
      </c>
      <c r="P49" s="1286" t="s">
        <v>2757</v>
      </c>
      <c r="Q49" s="900" t="s">
        <v>2756</v>
      </c>
      <c r="R49" s="1286" t="s">
        <v>2755</v>
      </c>
      <c r="S49" s="905" t="s">
        <v>2754</v>
      </c>
    </row>
    <row r="50" spans="1:24" hidden="1" outlineLevel="1">
      <c r="B50" s="1940" t="s">
        <v>2793</v>
      </c>
      <c r="C50" s="1940"/>
      <c r="D50" s="1939" t="str">
        <f t="shared" ref="D50:D58" si="8">VLOOKUP($B50,$B$7:$S$40,3,FALSE)</f>
        <v>Damper Frame : Horizontal, T/B Profile -34.4T x 125W</v>
      </c>
      <c r="E50" s="474" t="s">
        <v>1080</v>
      </c>
      <c r="F50" s="2006"/>
      <c r="G50" s="1932"/>
      <c r="H50" s="1930"/>
      <c r="I50" s="1937">
        <f>P43+34.4*2</f>
        <v>568.79999999999995</v>
      </c>
      <c r="J50" s="2004">
        <v>1</v>
      </c>
      <c r="K50" s="1934">
        <f>IF(F50&gt;0,22/28*((F50/1000)^2-(F50/1000-2*G50/1000)^2)*H50/1000,IF(G50&gt;0,G50/1000*H50/1000*I50/1000, IF(H50&gt;0,H50/1000*I50/1000, IF(I50=0,1,I50/1000))))</f>
        <v>0.56879999999999997</v>
      </c>
      <c r="L50" s="1933">
        <f t="shared" ref="L50:L58" si="9">J50*K50</f>
        <v>0.56879999999999997</v>
      </c>
      <c r="M50" s="2003">
        <v>1.05</v>
      </c>
      <c r="N50" s="1931">
        <v>2</v>
      </c>
      <c r="O50" s="2002">
        <f t="shared" ref="O50:O58" si="10">L50*M50*N50</f>
        <v>1.19448</v>
      </c>
      <c r="P50" s="2001">
        <f t="shared" ref="P50:P58" si="11">IF($J50=1,VLOOKUP($B50,$B$7:$S$40,4,FALSE),1)</f>
        <v>1.032</v>
      </c>
      <c r="Q50" s="2000">
        <f t="shared" ref="Q50:Q58" si="12">O50*P50/M50</f>
        <v>1.1740031999999998</v>
      </c>
      <c r="R50" s="1999">
        <f t="shared" ref="R50:R58" si="13">VLOOKUP($B50,$B$7:$S$40,5,FALSE)</f>
        <v>86114.207999999999</v>
      </c>
      <c r="S50" s="2007">
        <f t="shared" ref="S50:S58" si="14">+O50*R50</f>
        <v>102861.69917183999</v>
      </c>
    </row>
    <row r="51" spans="1:24" hidden="1" outlineLevel="1">
      <c r="B51" s="371" t="s">
        <v>2792</v>
      </c>
      <c r="C51" s="371"/>
      <c r="D51" s="1925" t="str">
        <f t="shared" si="8"/>
        <v>Damper Frame : Vertical,  L/R Profile - 34.4T x 125W</v>
      </c>
      <c r="E51" s="416" t="s">
        <v>1080</v>
      </c>
      <c r="F51" s="1997"/>
      <c r="G51" s="1918"/>
      <c r="H51" s="1916"/>
      <c r="I51" s="1923">
        <f>Q43</f>
        <v>410</v>
      </c>
      <c r="J51" s="1995">
        <v>1</v>
      </c>
      <c r="K51" s="1920">
        <f>IF(F51&gt;0,22/28*((F51/1000)^2-(F51/1000-2*G51/1000)^2)*H51/1000,IF(G51&gt;0,G51/1000*H51/1000*I51/1000, IF(H51&gt;0,H51/1000*I51/1000, IF(I51=0,1,I51/1000))))</f>
        <v>0.41</v>
      </c>
      <c r="L51" s="1919">
        <f t="shared" si="9"/>
        <v>0.41</v>
      </c>
      <c r="M51" s="1994">
        <v>1.05</v>
      </c>
      <c r="N51" s="1917">
        <v>2</v>
      </c>
      <c r="O51" s="1993">
        <f t="shared" si="10"/>
        <v>0.86099999999999999</v>
      </c>
      <c r="P51" s="1992">
        <f t="shared" si="11"/>
        <v>1.4</v>
      </c>
      <c r="Q51" s="1991">
        <f t="shared" si="12"/>
        <v>1.1479999999999997</v>
      </c>
      <c r="R51" s="1990">
        <f t="shared" si="13"/>
        <v>109200</v>
      </c>
      <c r="S51" s="1989">
        <f t="shared" si="14"/>
        <v>94021.2</v>
      </c>
    </row>
    <row r="52" spans="1:24" hidden="1" outlineLevel="1">
      <c r="B52" s="371" t="s">
        <v>2791</v>
      </c>
      <c r="C52" s="371"/>
      <c r="D52" s="1925" t="str">
        <f t="shared" si="8"/>
        <v>Damper Frame : Vertical, Center Profile - 34.4T x 125W</v>
      </c>
      <c r="E52" s="416" t="s">
        <v>1080</v>
      </c>
      <c r="F52" s="1997"/>
      <c r="G52" s="1918"/>
      <c r="H52" s="1916"/>
      <c r="I52" s="1996">
        <f>Q43</f>
        <v>410</v>
      </c>
      <c r="J52" s="1995">
        <v>1</v>
      </c>
      <c r="K52" s="1920">
        <f>IF(F52&gt;0,22/28*((F52/1000)^2-(F52/1000-2*G52/1000)^2)*H52/1000,IF(G52&gt;0,G52/1000*H52/1000*I52/1000, IF(H52&gt;0,H52/1000*I52/1000, IF(I52=0,1,I52/1000))))</f>
        <v>0.41</v>
      </c>
      <c r="L52" s="1919">
        <f t="shared" si="9"/>
        <v>0.41</v>
      </c>
      <c r="M52" s="1994">
        <v>1.05</v>
      </c>
      <c r="N52" s="1917">
        <f>+Q44</f>
        <v>0</v>
      </c>
      <c r="O52" s="1993">
        <f t="shared" si="10"/>
        <v>0</v>
      </c>
      <c r="P52" s="1992">
        <f t="shared" si="11"/>
        <v>1.7589999999999999</v>
      </c>
      <c r="Q52" s="1991">
        <f t="shared" si="12"/>
        <v>0</v>
      </c>
      <c r="R52" s="1990">
        <f t="shared" si="13"/>
        <v>214624.38499999998</v>
      </c>
      <c r="S52" s="1989">
        <f t="shared" si="14"/>
        <v>0</v>
      </c>
    </row>
    <row r="53" spans="1:24" hidden="1" outlineLevel="1">
      <c r="B53" s="371" t="s">
        <v>2790</v>
      </c>
      <c r="C53" s="371"/>
      <c r="D53" s="1925" t="str">
        <f t="shared" si="8"/>
        <v>Damper, Leaf : Flat Blade Profile - 15.7T x 108W</v>
      </c>
      <c r="E53" s="416" t="s">
        <v>1080</v>
      </c>
      <c r="F53" s="1997"/>
      <c r="G53" s="1918"/>
      <c r="H53" s="1916"/>
      <c r="I53" s="1884">
        <f>+Q45</f>
        <v>500</v>
      </c>
      <c r="J53" s="1995">
        <v>1</v>
      </c>
      <c r="K53" s="1920">
        <f>IF(F53&gt;0,22/28*((F53/1000)^2-(F53/1000-2*G53/1000)^2)*H53/1000,IF(G53&gt;0,G53/1000*H53/1000*Q45/1000, IF(H53&gt;0,H53/1000*Q45/1000, IF(Q45=0,1,Q45/1000))))</f>
        <v>0.5</v>
      </c>
      <c r="L53" s="1919">
        <f t="shared" si="9"/>
        <v>0.5</v>
      </c>
      <c r="M53" s="1994">
        <v>1.05</v>
      </c>
      <c r="N53" s="1917">
        <f>+P45</f>
        <v>4</v>
      </c>
      <c r="O53" s="1993">
        <f t="shared" si="10"/>
        <v>2.1</v>
      </c>
      <c r="P53" s="1992">
        <f t="shared" si="11"/>
        <v>0.85</v>
      </c>
      <c r="Q53" s="1991">
        <f t="shared" si="12"/>
        <v>1.7</v>
      </c>
      <c r="R53" s="1990">
        <f t="shared" si="13"/>
        <v>69353.625</v>
      </c>
      <c r="S53" s="1989">
        <f t="shared" si="14"/>
        <v>145642.61250000002</v>
      </c>
    </row>
    <row r="54" spans="1:24" hidden="1" outlineLevel="1">
      <c r="B54" s="371" t="s">
        <v>2789</v>
      </c>
      <c r="C54" s="371"/>
      <c r="D54" s="1925" t="str">
        <f t="shared" si="8"/>
        <v>Damper, Gasket : 200m/roll (密封胶条）</v>
      </c>
      <c r="E54" s="416" t="s">
        <v>1080</v>
      </c>
      <c r="F54" s="1997"/>
      <c r="G54" s="1918"/>
      <c r="H54" s="1916"/>
      <c r="I54" s="1996">
        <f>Q45</f>
        <v>500</v>
      </c>
      <c r="J54" s="1995">
        <v>1</v>
      </c>
      <c r="K54" s="1920">
        <f>IF(F54&gt;0,22/28*((F54/1000)^2-(F54/1000-2*G54/1000)^2)*H54/1000,IF(G54&gt;0,G54/1000*H54/1000*I54/1000, IF(H54&gt;0,H54/1000*I54/1000, IF(I54=0,1,I54/1000))))</f>
        <v>0.5</v>
      </c>
      <c r="L54" s="1919">
        <f t="shared" si="9"/>
        <v>0.5</v>
      </c>
      <c r="M54" s="1994">
        <v>1.05</v>
      </c>
      <c r="N54" s="1917">
        <f>(N53*2)+((P46+1)*2)</f>
        <v>10.41</v>
      </c>
      <c r="O54" s="1993">
        <f t="shared" si="10"/>
        <v>5.4652500000000002</v>
      </c>
      <c r="P54" s="1992">
        <f t="shared" si="11"/>
        <v>3.7350000000000001E-2</v>
      </c>
      <c r="Q54" s="1991">
        <f t="shared" si="12"/>
        <v>0.19440675000000002</v>
      </c>
      <c r="R54" s="1990">
        <f t="shared" si="13"/>
        <v>2454.75</v>
      </c>
      <c r="S54" s="1989">
        <f t="shared" si="14"/>
        <v>13415.822437500001</v>
      </c>
    </row>
    <row r="55" spans="1:24" hidden="1" outlineLevel="1">
      <c r="B55" s="1911" t="s">
        <v>2788</v>
      </c>
      <c r="C55" s="1911"/>
      <c r="D55" s="1910" t="str">
        <f t="shared" si="8"/>
        <v>Damper, Actuator Base : 90W x 150L</v>
      </c>
      <c r="E55" s="490" t="s">
        <v>1080</v>
      </c>
      <c r="F55" s="1987"/>
      <c r="G55" s="1903"/>
      <c r="H55" s="1901"/>
      <c r="I55" s="1908">
        <v>150</v>
      </c>
      <c r="J55" s="1942">
        <v>1</v>
      </c>
      <c r="K55" s="1905">
        <f>IF(F55&gt;0,22/28*((F55/1000)^2-(F55/1000-2*G55/1000)^2)*H55/1000,IF(G55&gt;0,G55/1000*H55/1000*I55/1000, IF(H55&gt;0,H55/1000*I55/1000, IF(I55=0,1,I55/1000))))</f>
        <v>0.15</v>
      </c>
      <c r="L55" s="1904">
        <f t="shared" si="9"/>
        <v>0.15</v>
      </c>
      <c r="M55" s="1984">
        <v>1</v>
      </c>
      <c r="N55" s="1902">
        <f>IF(B44=1,1,0)</f>
        <v>0</v>
      </c>
      <c r="O55" s="1983">
        <f t="shared" si="10"/>
        <v>0</v>
      </c>
      <c r="P55" s="1982">
        <f t="shared" si="11"/>
        <v>0.71499999999999997</v>
      </c>
      <c r="Q55" s="1981">
        <f t="shared" si="12"/>
        <v>0</v>
      </c>
      <c r="R55" s="1980">
        <f t="shared" si="13"/>
        <v>94500</v>
      </c>
      <c r="S55" s="1979">
        <f t="shared" si="14"/>
        <v>0</v>
      </c>
    </row>
    <row r="56" spans="1:24" s="418" customFormat="1" ht="15" hidden="1" outlineLevel="1">
      <c r="A56" s="1624"/>
      <c r="B56" s="1940" t="s">
        <v>2787</v>
      </c>
      <c r="C56" s="1940"/>
      <c r="D56" s="1939" t="str">
        <f t="shared" si="8"/>
        <v>Damper, Gear Housing Set : PA (齿轮）</v>
      </c>
      <c r="E56" s="474" t="s">
        <v>148</v>
      </c>
      <c r="F56" s="2006"/>
      <c r="G56" s="1932"/>
      <c r="H56" s="1930"/>
      <c r="I56" s="2005"/>
      <c r="J56" s="2004">
        <v>1</v>
      </c>
      <c r="K56" s="1934">
        <f>IF(F56&gt;0,22/28*((F56/1000)^2-(F56/1000-2*G56/1000)^2)*H56/1000,IF(G56&gt;0,G56/1000*H56/1000*I56/1000, IF(H56&gt;0,H56/1000*I56/1000, IF(I56=0,1,I56/1000))))</f>
        <v>1</v>
      </c>
      <c r="L56" s="1933">
        <f t="shared" si="9"/>
        <v>1</v>
      </c>
      <c r="M56" s="2003">
        <v>1</v>
      </c>
      <c r="N56" s="1931">
        <f>+N53</f>
        <v>4</v>
      </c>
      <c r="O56" s="2002">
        <f t="shared" si="10"/>
        <v>4</v>
      </c>
      <c r="P56" s="2001">
        <f t="shared" si="11"/>
        <v>0.12</v>
      </c>
      <c r="Q56" s="2000">
        <f t="shared" si="12"/>
        <v>0.48</v>
      </c>
      <c r="R56" s="1999">
        <f t="shared" si="13"/>
        <v>20355.000000000004</v>
      </c>
      <c r="S56" s="1998">
        <f t="shared" si="14"/>
        <v>81420.000000000015</v>
      </c>
      <c r="T56" s="1495"/>
      <c r="U56" s="1624"/>
      <c r="V56" s="1624"/>
      <c r="W56" s="1624"/>
      <c r="X56" s="1624"/>
    </row>
    <row r="57" spans="1:24" s="418" customFormat="1" ht="15" hidden="1" outlineLevel="1">
      <c r="A57" s="1624"/>
      <c r="B57" s="371" t="s">
        <v>2786</v>
      </c>
      <c r="C57" s="371"/>
      <c r="D57" s="1925" t="str">
        <f t="shared" si="8"/>
        <v>Damper, Handle : (铝执手)</v>
      </c>
      <c r="E57" s="416" t="s">
        <v>148</v>
      </c>
      <c r="F57" s="1997"/>
      <c r="G57" s="1918"/>
      <c r="H57" s="1916"/>
      <c r="I57" s="1996"/>
      <c r="J57" s="1995">
        <v>1</v>
      </c>
      <c r="K57" s="1920">
        <f>IF(F57&gt;0,22/28*((F57/1000)^2-(F57/1000-2*G57/1000)^2)*H57/1000,IF(G57&gt;0,G57/1000*H57/1000*I57/1000, IF(H57&gt;0,H57/1000*I57/1000, IF(I57=0,1,I57/1000))))</f>
        <v>1</v>
      </c>
      <c r="L57" s="1919">
        <f t="shared" si="9"/>
        <v>1</v>
      </c>
      <c r="M57" s="1994">
        <v>1</v>
      </c>
      <c r="N57" s="1917">
        <f>IF(B44=0,1,0)</f>
        <v>1</v>
      </c>
      <c r="O57" s="1993">
        <f t="shared" si="10"/>
        <v>1</v>
      </c>
      <c r="P57" s="1992">
        <f t="shared" si="11"/>
        <v>0.37</v>
      </c>
      <c r="Q57" s="1991">
        <f t="shared" si="12"/>
        <v>0.37</v>
      </c>
      <c r="R57" s="1990">
        <f t="shared" si="13"/>
        <v>117990</v>
      </c>
      <c r="S57" s="1989">
        <f t="shared" si="14"/>
        <v>117990</v>
      </c>
      <c r="T57" s="1495"/>
      <c r="U57" s="1624"/>
      <c r="V57" s="1624"/>
      <c r="W57" s="1624"/>
      <c r="X57" s="1624"/>
    </row>
    <row r="58" spans="1:24" s="418" customFormat="1" ht="15" hidden="1" outlineLevel="1">
      <c r="A58" s="1624"/>
      <c r="B58" s="1988" t="str">
        <f>+Q$46</f>
        <v>2Nm</v>
      </c>
      <c r="C58" s="1911"/>
      <c r="D58" s="1910" t="str">
        <f t="shared" si="8"/>
        <v>Actuator 2Nm, 70sec : 0.5m2 FA</v>
      </c>
      <c r="E58" s="490" t="s">
        <v>148</v>
      </c>
      <c r="F58" s="1987"/>
      <c r="G58" s="1903"/>
      <c r="H58" s="1901"/>
      <c r="I58" s="1986"/>
      <c r="J58" s="1942">
        <v>1</v>
      </c>
      <c r="K58" s="1905">
        <f>IF(F58&gt;0,22/28*((F58/1000)^2-(F58/1000-2*G58/1000)^2)*H58/1000,IF(G58&gt;0,G58/1000*H58/1000*I58/1000, IF(H58&gt;0,H58/1000*I58/1000, IF(I58=0,1,I58/1000))))</f>
        <v>1</v>
      </c>
      <c r="L58" s="1985">
        <f t="shared" si="9"/>
        <v>1</v>
      </c>
      <c r="M58" s="1984">
        <v>1</v>
      </c>
      <c r="N58" s="1902">
        <f>IF(B44=1,1,0)</f>
        <v>0</v>
      </c>
      <c r="O58" s="1983">
        <f t="shared" si="10"/>
        <v>0</v>
      </c>
      <c r="P58" s="1982">
        <f t="shared" si="11"/>
        <v>0.5</v>
      </c>
      <c r="Q58" s="1981">
        <f t="shared" si="12"/>
        <v>0</v>
      </c>
      <c r="R58" s="1980">
        <f t="shared" si="13"/>
        <v>0</v>
      </c>
      <c r="S58" s="1979">
        <f t="shared" si="14"/>
        <v>0</v>
      </c>
      <c r="T58" s="1495"/>
      <c r="U58" s="1624"/>
      <c r="V58" s="1624"/>
      <c r="W58" s="1624"/>
      <c r="X58" s="1624"/>
    </row>
    <row r="59" spans="1:24" s="418" customFormat="1" hidden="1" outlineLevel="1">
      <c r="A59" s="1624"/>
      <c r="B59" s="403"/>
      <c r="C59" s="403"/>
      <c r="D59" s="403"/>
      <c r="E59" s="2206" t="s">
        <v>2732</v>
      </c>
      <c r="F59" s="2206"/>
      <c r="G59" s="2206"/>
      <c r="H59" s="2206"/>
      <c r="J59" s="401"/>
      <c r="M59" s="400"/>
      <c r="N59" s="1978"/>
      <c r="O59" s="400"/>
      <c r="P59" s="400"/>
      <c r="Q59" s="1896">
        <f>SUM(Q50:Q58)</f>
        <v>5.0664099499999997</v>
      </c>
      <c r="R59" s="1777"/>
      <c r="S59" s="1777">
        <f>SUM(S50:S58)</f>
        <v>555351.33410933998</v>
      </c>
      <c r="T59" s="1977">
        <f>+S59/S92</f>
        <v>2.2548080233690899</v>
      </c>
      <c r="U59" s="1624"/>
      <c r="V59" s="1624"/>
      <c r="W59" s="1624"/>
      <c r="X59" s="1624"/>
    </row>
    <row r="60" spans="1:24" s="418" customFormat="1" ht="15" hidden="1" outlineLevel="1">
      <c r="A60" s="1506"/>
      <c r="B60" s="1772"/>
      <c r="C60" s="1772"/>
      <c r="D60" s="1772"/>
      <c r="E60" s="2218" t="s">
        <v>2731</v>
      </c>
      <c r="F60" s="2218"/>
      <c r="G60" s="2218"/>
      <c r="H60" s="2218"/>
      <c r="I60" s="1624"/>
      <c r="J60" s="1624"/>
      <c r="K60" s="1624"/>
      <c r="L60" s="1624"/>
      <c r="M60" s="1506"/>
      <c r="N60" s="503"/>
      <c r="O60" s="502"/>
      <c r="P60" s="502"/>
      <c r="Q60" s="1495"/>
      <c r="R60" s="1831">
        <v>0.4</v>
      </c>
      <c r="S60" s="1777">
        <f>+S61-S59</f>
        <v>370234.22273956006</v>
      </c>
      <c r="T60" s="1495"/>
      <c r="U60" s="1624"/>
      <c r="V60" s="1624"/>
      <c r="W60" s="1624"/>
      <c r="X60" s="1624"/>
    </row>
    <row r="61" spans="1:24" ht="15" hidden="1" outlineLevel="1">
      <c r="A61" s="1506"/>
      <c r="B61" s="1772"/>
      <c r="C61" s="1772"/>
      <c r="D61" s="1772"/>
      <c r="E61" s="2219" t="s">
        <v>2730</v>
      </c>
      <c r="F61" s="2219"/>
      <c r="G61" s="2219"/>
      <c r="H61" s="2219"/>
      <c r="K61" s="1624"/>
      <c r="L61" s="1624"/>
      <c r="M61" s="1892"/>
      <c r="N61" s="1891"/>
      <c r="O61" s="2220"/>
      <c r="P61" s="2220"/>
      <c r="Q61" s="2220"/>
      <c r="R61" s="1894"/>
      <c r="S61" s="1893">
        <f>+S59/(1-R60)</f>
        <v>925585.55684890004</v>
      </c>
      <c r="T61" s="1976">
        <f>ROUNDUP(S61,-5)</f>
        <v>1000000</v>
      </c>
      <c r="U61" s="1506"/>
      <c r="V61" s="1506"/>
      <c r="W61" s="1506"/>
      <c r="X61" s="1506"/>
    </row>
    <row r="62" spans="1:24" ht="15" hidden="1" outlineLevel="1">
      <c r="A62" s="1506"/>
      <c r="B62" s="1772"/>
      <c r="C62" s="1772"/>
      <c r="D62" s="1772"/>
      <c r="E62" s="1844"/>
      <c r="F62" s="1844"/>
      <c r="G62" s="1844"/>
      <c r="H62" s="1844"/>
      <c r="K62" s="1624"/>
      <c r="L62" s="1624"/>
      <c r="M62" s="1892"/>
      <c r="N62" s="1891"/>
      <c r="O62" s="1890"/>
      <c r="P62" s="1890"/>
      <c r="Q62" s="1890"/>
      <c r="R62" s="1773"/>
      <c r="S62" s="1774"/>
      <c r="T62" s="1964"/>
      <c r="U62" s="1506"/>
      <c r="V62" s="1506"/>
      <c r="W62" s="1506"/>
      <c r="X62" s="1506"/>
    </row>
    <row r="63" spans="1:24" ht="15" hidden="1" outlineLevel="1">
      <c r="A63" s="1506"/>
      <c r="B63" s="1772"/>
      <c r="C63" s="1772"/>
      <c r="D63" s="1772"/>
      <c r="E63" s="1972"/>
      <c r="F63" s="1972"/>
      <c r="G63" s="1972"/>
      <c r="H63" s="1975" t="s">
        <v>2785</v>
      </c>
      <c r="I63" s="1974" t="s">
        <v>2784</v>
      </c>
      <c r="J63" s="729" t="s">
        <v>2783</v>
      </c>
      <c r="K63" s="729" t="s">
        <v>2782</v>
      </c>
      <c r="L63" s="729" t="s">
        <v>1079</v>
      </c>
      <c r="M63" s="729" t="s">
        <v>33</v>
      </c>
      <c r="N63" s="1968" t="s">
        <v>126</v>
      </c>
      <c r="O63" s="1967"/>
      <c r="P63" s="1967"/>
      <c r="Q63" s="1967"/>
      <c r="R63" s="1966"/>
      <c r="S63" s="1973" t="s">
        <v>2781</v>
      </c>
      <c r="T63" s="1964"/>
      <c r="U63" s="1506"/>
      <c r="V63" s="1506"/>
      <c r="W63" s="1506"/>
      <c r="X63" s="1506"/>
    </row>
    <row r="64" spans="1:24" ht="15" hidden="1" outlineLevel="1">
      <c r="A64" s="1506"/>
      <c r="B64" s="1772"/>
      <c r="C64" s="1772"/>
      <c r="D64" s="1772"/>
      <c r="E64" s="2221" t="s">
        <v>2780</v>
      </c>
      <c r="F64" s="2221"/>
      <c r="G64" s="2221"/>
      <c r="H64" s="729">
        <v>2</v>
      </c>
      <c r="I64" s="1971">
        <f>Q44+1</f>
        <v>1</v>
      </c>
      <c r="J64" s="729">
        <f>P43/1000*Q43/1000</f>
        <v>0.20499999999999999</v>
      </c>
      <c r="K64" s="1970">
        <f>IF(I64=1,117,IF(I64=2,217,IF(I64=3,315,"NA")))</f>
        <v>117</v>
      </c>
      <c r="L64" s="1970">
        <f>+J64*K64</f>
        <v>23.984999999999999</v>
      </c>
      <c r="M64" s="1969">
        <v>1.8</v>
      </c>
      <c r="N64" s="1968">
        <f>+S43</f>
        <v>17500</v>
      </c>
      <c r="O64" s="1967"/>
      <c r="P64" s="1967"/>
      <c r="Q64" s="1967"/>
      <c r="R64" s="1966"/>
      <c r="S64" s="1965">
        <f>+L64*M64*N64</f>
        <v>755527.5</v>
      </c>
      <c r="T64" s="1964"/>
      <c r="U64" s="1506"/>
      <c r="V64" s="1506"/>
      <c r="W64" s="1506"/>
      <c r="X64" s="1506"/>
    </row>
    <row r="65" spans="1:24" ht="15" hidden="1" outlineLevel="1">
      <c r="A65" s="1506"/>
      <c r="B65" s="1772"/>
      <c r="C65" s="1772"/>
      <c r="D65" s="1772"/>
      <c r="E65" s="2221"/>
      <c r="F65" s="2221"/>
      <c r="G65" s="2221"/>
      <c r="H65" s="729">
        <v>3</v>
      </c>
      <c r="I65" s="1971">
        <f>+I64</f>
        <v>1</v>
      </c>
      <c r="J65" s="729">
        <f>+J64</f>
        <v>0.20499999999999999</v>
      </c>
      <c r="K65" s="1970">
        <f>IF(I65=1,135,IF(I65=2,250,IF(I65=3,362,"NA")))</f>
        <v>135</v>
      </c>
      <c r="L65" s="1970">
        <f>+J65*K65</f>
        <v>27.674999999999997</v>
      </c>
      <c r="M65" s="1969">
        <v>1.8</v>
      </c>
      <c r="N65" s="1968">
        <f>+N64</f>
        <v>17500</v>
      </c>
      <c r="O65" s="1967"/>
      <c r="P65" s="1967"/>
      <c r="Q65" s="1967"/>
      <c r="R65" s="1966"/>
      <c r="S65" s="1965">
        <f>+L65*M65*N65</f>
        <v>871762.5</v>
      </c>
      <c r="T65" s="1964"/>
      <c r="U65" s="1506"/>
      <c r="V65" s="1506"/>
      <c r="W65" s="1506"/>
      <c r="X65" s="1506"/>
    </row>
    <row r="66" spans="1:24" ht="15" hidden="1" outlineLevel="1">
      <c r="A66" s="1506"/>
      <c r="B66" s="1772"/>
      <c r="C66" s="1772"/>
      <c r="D66" s="1772"/>
      <c r="E66" s="2221"/>
      <c r="F66" s="2221"/>
      <c r="G66" s="2221"/>
      <c r="H66" s="729">
        <v>4</v>
      </c>
      <c r="I66" s="1971">
        <f>+I64</f>
        <v>1</v>
      </c>
      <c r="J66" s="729">
        <f>+J64</f>
        <v>0.20499999999999999</v>
      </c>
      <c r="K66" s="1970">
        <f>IF(I66=1,310,"NA")</f>
        <v>310</v>
      </c>
      <c r="L66" s="1970">
        <f>+J66*K66</f>
        <v>63.55</v>
      </c>
      <c r="M66" s="1969">
        <v>1.8</v>
      </c>
      <c r="N66" s="1968">
        <f>+N64</f>
        <v>17500</v>
      </c>
      <c r="O66" s="1967"/>
      <c r="P66" s="1967"/>
      <c r="Q66" s="1967"/>
      <c r="R66" s="1966"/>
      <c r="S66" s="1965">
        <f>+L66*M66*N66</f>
        <v>2001825</v>
      </c>
      <c r="T66" s="1964"/>
      <c r="U66" s="1506"/>
      <c r="V66" s="1506"/>
      <c r="W66" s="1506"/>
      <c r="X66" s="1506"/>
    </row>
    <row r="67" spans="1:24" ht="15" collapsed="1">
      <c r="A67" s="1506"/>
      <c r="B67" s="1772"/>
      <c r="C67" s="1772"/>
      <c r="D67" s="1772"/>
      <c r="E67" s="1772"/>
      <c r="F67" s="1772"/>
      <c r="G67" s="1772"/>
      <c r="H67" s="1772"/>
      <c r="I67" s="1844"/>
      <c r="J67" s="1844"/>
      <c r="K67" s="1844"/>
      <c r="L67" s="1844"/>
      <c r="M67" s="1892"/>
      <c r="N67" s="1891"/>
      <c r="O67" s="1890"/>
      <c r="P67" s="1890"/>
      <c r="Q67" s="1890"/>
      <c r="R67" s="1773"/>
      <c r="S67" s="1773"/>
      <c r="U67" s="1506"/>
      <c r="V67" s="1506"/>
      <c r="W67" s="1506"/>
      <c r="X67" s="1506"/>
    </row>
    <row r="68" spans="1:24" ht="18">
      <c r="A68" s="1506"/>
      <c r="B68" s="2184" t="s">
        <v>2779</v>
      </c>
      <c r="C68" s="2185"/>
      <c r="D68" s="2185"/>
      <c r="E68" s="2185"/>
      <c r="F68" s="2185"/>
      <c r="G68" s="2185"/>
      <c r="H68" s="2185"/>
      <c r="I68" s="2185"/>
      <c r="J68" s="2185"/>
      <c r="K68" s="2185"/>
      <c r="L68" s="2185"/>
      <c r="M68" s="2185"/>
      <c r="N68" s="2185"/>
      <c r="O68" s="2185"/>
      <c r="P68" s="2185"/>
      <c r="Q68" s="2185"/>
      <c r="R68" s="2185"/>
      <c r="S68" s="2186"/>
      <c r="U68" s="1506"/>
      <c r="V68" s="1506"/>
      <c r="W68" s="1506"/>
      <c r="X68" s="1506"/>
    </row>
    <row r="69" spans="1:24" s="1506" customFormat="1" ht="14.45" customHeight="1" outlineLevel="1">
      <c r="A69" s="1624"/>
      <c r="B69" s="915" t="s">
        <v>21</v>
      </c>
      <c r="C69" s="915" t="s">
        <v>19</v>
      </c>
      <c r="D69" s="1963" t="s">
        <v>2778</v>
      </c>
      <c r="E69" s="2187" t="s">
        <v>2777</v>
      </c>
      <c r="F69" s="2188"/>
      <c r="G69" s="2188"/>
      <c r="H69" s="2188"/>
      <c r="I69" s="2188"/>
      <c r="J69" s="2188"/>
      <c r="K69" s="2188"/>
      <c r="L69" s="2188"/>
      <c r="M69" s="2188"/>
      <c r="N69" s="2188"/>
      <c r="O69" s="2189"/>
      <c r="P69" s="1962" t="s">
        <v>21</v>
      </c>
      <c r="Q69" s="1962" t="s">
        <v>19</v>
      </c>
      <c r="R69" s="2190">
        <v>43088</v>
      </c>
      <c r="S69" s="2191"/>
      <c r="T69" s="1495"/>
    </row>
    <row r="70" spans="1:24" ht="15" outlineLevel="1">
      <c r="B70" s="363">
        <v>500</v>
      </c>
      <c r="C70" s="363">
        <v>410</v>
      </c>
      <c r="D70" s="1956" t="s">
        <v>2776</v>
      </c>
      <c r="E70" s="2192" t="s">
        <v>2775</v>
      </c>
      <c r="F70" s="2192"/>
      <c r="G70" s="2192"/>
      <c r="H70" s="2192"/>
      <c r="I70" s="2192"/>
      <c r="J70" s="2192"/>
      <c r="K70" s="2192"/>
      <c r="L70" s="2192"/>
      <c r="M70" s="2192"/>
      <c r="N70" s="2192"/>
      <c r="O70" s="2192"/>
      <c r="P70" s="1961">
        <f>+B70</f>
        <v>500</v>
      </c>
      <c r="Q70" s="1961">
        <f>P71*100+10</f>
        <v>410</v>
      </c>
      <c r="R70" s="1954" t="s">
        <v>126</v>
      </c>
      <c r="S70" s="1953">
        <f>+S$7</f>
        <v>17500</v>
      </c>
      <c r="W70" s="1506"/>
      <c r="X70" s="1506"/>
    </row>
    <row r="71" spans="1:24" outlineLevel="1">
      <c r="B71" s="2193">
        <v>0</v>
      </c>
      <c r="C71" s="2193"/>
      <c r="D71" s="1956" t="s">
        <v>2774</v>
      </c>
      <c r="E71" s="2192" t="s">
        <v>2773</v>
      </c>
      <c r="F71" s="2192"/>
      <c r="G71" s="2192"/>
      <c r="H71" s="2192"/>
      <c r="I71" s="2192"/>
      <c r="J71" s="2192"/>
      <c r="K71" s="2192"/>
      <c r="L71" s="2192"/>
      <c r="M71" s="2192"/>
      <c r="N71" s="2192"/>
      <c r="O71" s="2192"/>
      <c r="P71" s="1961">
        <f>ROUNDDOWN(C70/100,0)</f>
        <v>4</v>
      </c>
      <c r="Q71" s="1955">
        <f>IF(P70&lt;=1400,0,IF(AND(P70&gt;1400,P70&lt;=2100),1,2))</f>
        <v>0</v>
      </c>
      <c r="R71" s="1954" t="s">
        <v>2772</v>
      </c>
      <c r="S71" s="1953">
        <f>+S$8</f>
        <v>16079.99</v>
      </c>
    </row>
    <row r="72" spans="1:24" s="1506" customFormat="1" ht="15" outlineLevel="1">
      <c r="A72" s="1624"/>
      <c r="B72" s="2193"/>
      <c r="C72" s="2193"/>
      <c r="D72" s="1956"/>
      <c r="E72" s="2207" t="s">
        <v>2771</v>
      </c>
      <c r="F72" s="2208"/>
      <c r="G72" s="2208"/>
      <c r="H72" s="2208"/>
      <c r="I72" s="2208"/>
      <c r="J72" s="2208"/>
      <c r="K72" s="2208"/>
      <c r="L72" s="2208"/>
      <c r="M72" s="2208"/>
      <c r="N72" s="2208"/>
      <c r="O72" s="2209"/>
      <c r="P72" s="1960">
        <f>P71*(Q71+1)</f>
        <v>4</v>
      </c>
      <c r="Q72" s="1959">
        <f>(P70-Q71*34.3)/(Q71+1)</f>
        <v>500</v>
      </c>
      <c r="R72" s="1954" t="s">
        <v>2770</v>
      </c>
      <c r="S72" s="1953">
        <f>+S$9</f>
        <v>3429.69</v>
      </c>
      <c r="T72" s="1622"/>
      <c r="U72" s="1624"/>
      <c r="V72" s="1624"/>
      <c r="W72" s="1624"/>
      <c r="X72" s="1624"/>
    </row>
    <row r="73" spans="1:24" s="1506" customFormat="1" ht="15" outlineLevel="1">
      <c r="A73" s="1624"/>
      <c r="B73" s="2193"/>
      <c r="C73" s="2193"/>
      <c r="D73" s="1956"/>
      <c r="E73" s="2192" t="s">
        <v>2769</v>
      </c>
      <c r="F73" s="2192"/>
      <c r="G73" s="2192"/>
      <c r="H73" s="2192"/>
      <c r="I73" s="2192"/>
      <c r="J73" s="2192"/>
      <c r="K73" s="2192"/>
      <c r="L73" s="2192"/>
      <c r="M73" s="2192"/>
      <c r="N73" s="2192"/>
      <c r="O73" s="2192"/>
      <c r="P73" s="1958">
        <f>Q70/1000*P70/1000</f>
        <v>0.20499999999999999</v>
      </c>
      <c r="Q73" s="1957" t="str">
        <f>IF(P73&lt;0.5,"2Nm",IF(AND(P73&gt;0.5,P73&lt;1),"5Nm",IF(AND(P73&gt;1,P73&lt;2),"10Nm",IF(AND(P73&gt;2,P73&lt;4),"20Nm",IF(AND(P73&gt;4,P73&lt;6),"30Nm",IF(AND(P73&gt;6,P73&lt;8),"40Nm","NA"))))))</f>
        <v>2Nm</v>
      </c>
      <c r="R73" s="1954" t="s">
        <v>2768</v>
      </c>
      <c r="S73" s="1953">
        <f>+S$10</f>
        <v>2192.36</v>
      </c>
      <c r="T73" s="1622"/>
      <c r="U73" s="1624"/>
      <c r="V73" s="1624"/>
      <c r="W73" s="1624"/>
      <c r="X73" s="1624"/>
    </row>
    <row r="74" spans="1:24" s="1506" customFormat="1" ht="15" outlineLevel="1">
      <c r="A74" s="1624"/>
      <c r="B74" s="2193"/>
      <c r="C74" s="2193"/>
      <c r="D74" s="1956"/>
      <c r="E74" s="2207"/>
      <c r="F74" s="2208"/>
      <c r="G74" s="2208"/>
      <c r="H74" s="2208"/>
      <c r="I74" s="2208"/>
      <c r="J74" s="2208"/>
      <c r="K74" s="2208"/>
      <c r="L74" s="2208"/>
      <c r="M74" s="2208"/>
      <c r="N74" s="2208"/>
      <c r="O74" s="2209"/>
      <c r="P74" s="2222"/>
      <c r="Q74" s="2223"/>
      <c r="R74" s="1954" t="s">
        <v>2767</v>
      </c>
      <c r="S74" s="1953">
        <f>+S$11</f>
        <v>11262.76</v>
      </c>
      <c r="T74" s="1622"/>
      <c r="U74" s="1624"/>
      <c r="V74" s="1624"/>
      <c r="W74" s="1624"/>
      <c r="X74" s="1624"/>
    </row>
    <row r="75" spans="1:24" s="1506" customFormat="1" ht="15" outlineLevel="1">
      <c r="A75" s="1624"/>
      <c r="B75" s="2210" t="s">
        <v>1157</v>
      </c>
      <c r="C75" s="2210" t="s">
        <v>2766</v>
      </c>
      <c r="D75" s="2212" t="s">
        <v>2765</v>
      </c>
      <c r="E75" s="2224" t="s">
        <v>2764</v>
      </c>
      <c r="F75" s="2225"/>
      <c r="G75" s="2225"/>
      <c r="H75" s="2225"/>
      <c r="I75" s="2226"/>
      <c r="J75" s="2214" t="s">
        <v>2763</v>
      </c>
      <c r="K75" s="2214"/>
      <c r="L75" s="2214"/>
      <c r="M75" s="2214"/>
      <c r="N75" s="2214"/>
      <c r="O75" s="2214"/>
      <c r="P75" s="2203" t="s">
        <v>2762</v>
      </c>
      <c r="Q75" s="2204"/>
      <c r="R75" s="2205" t="s">
        <v>1160</v>
      </c>
      <c r="S75" s="2205"/>
      <c r="T75" s="1622"/>
      <c r="U75" s="1624"/>
      <c r="V75" s="1624"/>
      <c r="W75" s="1624"/>
      <c r="X75" s="1624"/>
    </row>
    <row r="76" spans="1:24" ht="16.5" outlineLevel="1">
      <c r="B76" s="2211"/>
      <c r="C76" s="2211"/>
      <c r="D76" s="2213"/>
      <c r="E76" s="1948" t="s">
        <v>1085</v>
      </c>
      <c r="F76" s="1952" t="s">
        <v>2492</v>
      </c>
      <c r="G76" s="1952" t="s">
        <v>2761</v>
      </c>
      <c r="H76" s="1948" t="s">
        <v>2760</v>
      </c>
      <c r="I76" s="1951" t="s">
        <v>2759</v>
      </c>
      <c r="J76" s="1950" t="s">
        <v>82</v>
      </c>
      <c r="K76" s="1949" t="s">
        <v>1163</v>
      </c>
      <c r="L76" s="1948" t="s">
        <v>1154</v>
      </c>
      <c r="M76" s="1948" t="s">
        <v>34</v>
      </c>
      <c r="N76" s="1947" t="s">
        <v>2758</v>
      </c>
      <c r="O76" s="1947" t="s">
        <v>13</v>
      </c>
      <c r="P76" s="1286" t="s">
        <v>2757</v>
      </c>
      <c r="Q76" s="900" t="s">
        <v>2756</v>
      </c>
      <c r="R76" s="1286" t="s">
        <v>2755</v>
      </c>
      <c r="S76" s="905" t="s">
        <v>2754</v>
      </c>
    </row>
    <row r="77" spans="1:24" outlineLevel="1">
      <c r="B77" s="1940" t="s">
        <v>2744</v>
      </c>
      <c r="C77" s="1940"/>
      <c r="D77" s="1939" t="s">
        <v>2753</v>
      </c>
      <c r="E77" s="474" t="s">
        <v>97</v>
      </c>
      <c r="F77" s="1938"/>
      <c r="G77" s="1937">
        <v>1</v>
      </c>
      <c r="H77" s="1931">
        <v>176.5</v>
      </c>
      <c r="I77" s="1936">
        <f>+Q70+30*2</f>
        <v>470</v>
      </c>
      <c r="J77" s="1946">
        <f t="shared" ref="J77:J86" si="15">VLOOKUP($B77,$B$7:$S$40,4,FALSE)</f>
        <v>2720</v>
      </c>
      <c r="K77" s="1934">
        <f t="shared" ref="K77:K91" si="16">IF(F77&gt;0,22/28*((F77/1000)^2-(F77/1000-2*G77/1000)^2)*H77/1000,IF(G77&gt;0,G77/1000*H77/1000*I77/1000, IF(H77&gt;0,H77/1000*I77/1000, IF(I77=0,1,I77/1000))))</f>
        <v>8.2954999999999981E-5</v>
      </c>
      <c r="L77" s="1933">
        <f t="shared" ref="L77:L91" si="17">J77*K77</f>
        <v>0.22563759999999994</v>
      </c>
      <c r="M77" s="1932">
        <v>1.1000000000000001</v>
      </c>
      <c r="N77" s="1931">
        <v>2</v>
      </c>
      <c r="O77" s="1930">
        <f t="shared" ref="O77:O91" si="18">L77*M77*N77</f>
        <v>0.49640271999999991</v>
      </c>
      <c r="P77" s="1929">
        <f t="shared" ref="P77:P91" si="19">IF($J77=1,VLOOKUP($B77,$B$7:$S$40,4,FALSE),1)</f>
        <v>1</v>
      </c>
      <c r="Q77" s="1928">
        <f t="shared" ref="Q77:Q91" si="20">O77*P77/M77</f>
        <v>0.45127519999999988</v>
      </c>
      <c r="R77" s="1927">
        <f t="shared" ref="R77:R91" si="21">VLOOKUP($B77,$B$7:$S$40,5,FALSE)</f>
        <v>83085</v>
      </c>
      <c r="S77" s="1926">
        <f t="shared" ref="S77:S91" si="22">+O77*R77</f>
        <v>41243.619991199994</v>
      </c>
    </row>
    <row r="78" spans="1:24" outlineLevel="1">
      <c r="B78" s="371" t="s">
        <v>2744</v>
      </c>
      <c r="C78" s="371"/>
      <c r="D78" s="1925" t="s">
        <v>2752</v>
      </c>
      <c r="E78" s="416" t="s">
        <v>97</v>
      </c>
      <c r="F78" s="1924"/>
      <c r="G78" s="1923">
        <v>1</v>
      </c>
      <c r="H78" s="1917">
        <v>176.5</v>
      </c>
      <c r="I78" s="1945">
        <f>+P70</f>
        <v>500</v>
      </c>
      <c r="J78" s="1943">
        <f t="shared" si="15"/>
        <v>2720</v>
      </c>
      <c r="K78" s="1920">
        <f t="shared" si="16"/>
        <v>8.824999999999999E-5</v>
      </c>
      <c r="L78" s="1919">
        <f t="shared" si="17"/>
        <v>0.24003999999999998</v>
      </c>
      <c r="M78" s="1918">
        <v>1.1000000000000001</v>
      </c>
      <c r="N78" s="1917">
        <v>2</v>
      </c>
      <c r="O78" s="1916">
        <f t="shared" si="18"/>
        <v>0.528088</v>
      </c>
      <c r="P78" s="1915">
        <f t="shared" si="19"/>
        <v>1</v>
      </c>
      <c r="Q78" s="1914">
        <f t="shared" si="20"/>
        <v>0.48007999999999995</v>
      </c>
      <c r="R78" s="1913">
        <f t="shared" si="21"/>
        <v>83085</v>
      </c>
      <c r="S78" s="1912">
        <f t="shared" si="22"/>
        <v>43876.191480000001</v>
      </c>
    </row>
    <row r="79" spans="1:24" outlineLevel="1">
      <c r="B79" s="371" t="s">
        <v>2744</v>
      </c>
      <c r="C79" s="371"/>
      <c r="D79" s="1925" t="s">
        <v>2751</v>
      </c>
      <c r="E79" s="416" t="s">
        <v>97</v>
      </c>
      <c r="F79" s="1924"/>
      <c r="G79" s="1923">
        <v>1</v>
      </c>
      <c r="H79" s="1917">
        <v>176.5</v>
      </c>
      <c r="I79" s="1922">
        <f>+Q70</f>
        <v>410</v>
      </c>
      <c r="J79" s="1943">
        <f t="shared" si="15"/>
        <v>2720</v>
      </c>
      <c r="K79" s="1920">
        <f t="shared" si="16"/>
        <v>7.2365000000000003E-5</v>
      </c>
      <c r="L79" s="1919">
        <f t="shared" si="17"/>
        <v>0.1968328</v>
      </c>
      <c r="M79" s="1918">
        <v>1.1000000000000001</v>
      </c>
      <c r="N79" s="1917">
        <f>IF(P$70&gt;1000,1,0)</f>
        <v>0</v>
      </c>
      <c r="O79" s="1916">
        <f t="shared" si="18"/>
        <v>0</v>
      </c>
      <c r="P79" s="1915">
        <f t="shared" si="19"/>
        <v>1</v>
      </c>
      <c r="Q79" s="1914">
        <f t="shared" si="20"/>
        <v>0</v>
      </c>
      <c r="R79" s="1913">
        <f t="shared" si="21"/>
        <v>83085</v>
      </c>
      <c r="S79" s="1912">
        <f t="shared" si="22"/>
        <v>0</v>
      </c>
    </row>
    <row r="80" spans="1:24" outlineLevel="1">
      <c r="B80" s="371" t="s">
        <v>2744</v>
      </c>
      <c r="C80" s="371"/>
      <c r="D80" s="1925" t="s">
        <v>2750</v>
      </c>
      <c r="E80" s="416" t="s">
        <v>97</v>
      </c>
      <c r="F80" s="1924"/>
      <c r="G80" s="1923">
        <v>1</v>
      </c>
      <c r="H80" s="1917">
        <v>123.2</v>
      </c>
      <c r="I80" s="1922">
        <f>+Q72</f>
        <v>500</v>
      </c>
      <c r="J80" s="1943">
        <f t="shared" si="15"/>
        <v>2720</v>
      </c>
      <c r="K80" s="1920">
        <f t="shared" si="16"/>
        <v>6.1600000000000007E-5</v>
      </c>
      <c r="L80" s="1919">
        <f t="shared" si="17"/>
        <v>0.16755200000000001</v>
      </c>
      <c r="M80" s="1918">
        <v>1.1000000000000001</v>
      </c>
      <c r="N80" s="1917">
        <f>+P$71</f>
        <v>4</v>
      </c>
      <c r="O80" s="1916">
        <f t="shared" si="18"/>
        <v>0.73722880000000013</v>
      </c>
      <c r="P80" s="1915">
        <f t="shared" si="19"/>
        <v>1</v>
      </c>
      <c r="Q80" s="1914">
        <f t="shared" si="20"/>
        <v>0.67020800000000003</v>
      </c>
      <c r="R80" s="1913">
        <f t="shared" si="21"/>
        <v>83085</v>
      </c>
      <c r="S80" s="1912">
        <f t="shared" si="22"/>
        <v>61252.654848000013</v>
      </c>
    </row>
    <row r="81" spans="2:20" outlineLevel="1">
      <c r="B81" s="371" t="s">
        <v>2744</v>
      </c>
      <c r="C81" s="371"/>
      <c r="D81" s="1925" t="s">
        <v>2749</v>
      </c>
      <c r="E81" s="416" t="s">
        <v>97</v>
      </c>
      <c r="F81" s="1924"/>
      <c r="G81" s="1923">
        <v>1</v>
      </c>
      <c r="H81" s="1917">
        <v>33.299999999999997</v>
      </c>
      <c r="I81" s="1922">
        <f>+Q72</f>
        <v>500</v>
      </c>
      <c r="J81" s="1943">
        <f t="shared" si="15"/>
        <v>2720</v>
      </c>
      <c r="K81" s="1920">
        <f t="shared" si="16"/>
        <v>1.6649999999999998E-5</v>
      </c>
      <c r="L81" s="1919">
        <f t="shared" si="17"/>
        <v>4.5287999999999995E-2</v>
      </c>
      <c r="M81" s="1918">
        <v>1.1000000000000001</v>
      </c>
      <c r="N81" s="1917">
        <v>2</v>
      </c>
      <c r="O81" s="1916">
        <f t="shared" si="18"/>
        <v>9.9633600000000003E-2</v>
      </c>
      <c r="P81" s="1915">
        <f t="shared" si="19"/>
        <v>1</v>
      </c>
      <c r="Q81" s="1914">
        <f t="shared" si="20"/>
        <v>9.057599999999999E-2</v>
      </c>
      <c r="R81" s="1913">
        <f t="shared" si="21"/>
        <v>83085</v>
      </c>
      <c r="S81" s="1912">
        <f t="shared" si="22"/>
        <v>8278.0576560000009</v>
      </c>
    </row>
    <row r="82" spans="2:20" outlineLevel="1">
      <c r="B82" s="371" t="s">
        <v>2744</v>
      </c>
      <c r="C82" s="371"/>
      <c r="D82" s="1925" t="s">
        <v>2748</v>
      </c>
      <c r="E82" s="416" t="s">
        <v>97</v>
      </c>
      <c r="F82" s="1924"/>
      <c r="G82" s="1923">
        <v>1</v>
      </c>
      <c r="H82" s="1917">
        <v>90</v>
      </c>
      <c r="I82" s="1944">
        <v>156.5</v>
      </c>
      <c r="J82" s="1943">
        <f t="shared" si="15"/>
        <v>2720</v>
      </c>
      <c r="K82" s="1920">
        <f t="shared" si="16"/>
        <v>1.4084999999999998E-5</v>
      </c>
      <c r="L82" s="1919">
        <f t="shared" si="17"/>
        <v>3.8311199999999997E-2</v>
      </c>
      <c r="M82" s="1918">
        <v>1.1000000000000001</v>
      </c>
      <c r="N82" s="1917">
        <v>1</v>
      </c>
      <c r="O82" s="1916">
        <f t="shared" si="18"/>
        <v>4.2142319999999997E-2</v>
      </c>
      <c r="P82" s="1915">
        <f t="shared" si="19"/>
        <v>1</v>
      </c>
      <c r="Q82" s="1914">
        <f t="shared" si="20"/>
        <v>3.8311199999999997E-2</v>
      </c>
      <c r="R82" s="1913">
        <f t="shared" si="21"/>
        <v>83085</v>
      </c>
      <c r="S82" s="1912">
        <f t="shared" si="22"/>
        <v>3501.3946571999995</v>
      </c>
    </row>
    <row r="83" spans="2:20" outlineLevel="1">
      <c r="B83" s="371" t="s">
        <v>2744</v>
      </c>
      <c r="C83" s="371"/>
      <c r="D83" s="1925" t="s">
        <v>2747</v>
      </c>
      <c r="E83" s="416" t="s">
        <v>97</v>
      </c>
      <c r="F83" s="1924"/>
      <c r="G83" s="1923">
        <v>3</v>
      </c>
      <c r="H83" s="1917">
        <v>25</v>
      </c>
      <c r="I83" s="1922">
        <v>60</v>
      </c>
      <c r="J83" s="1943">
        <f t="shared" si="15"/>
        <v>2720</v>
      </c>
      <c r="K83" s="1920">
        <f t="shared" si="16"/>
        <v>4.4999999999999993E-6</v>
      </c>
      <c r="L83" s="1919">
        <f t="shared" si="17"/>
        <v>1.2239999999999997E-2</v>
      </c>
      <c r="M83" s="1918">
        <v>1.1000000000000001</v>
      </c>
      <c r="N83" s="1917">
        <f>P$71-2</f>
        <v>2</v>
      </c>
      <c r="O83" s="1916">
        <f t="shared" si="18"/>
        <v>2.6927999999999997E-2</v>
      </c>
      <c r="P83" s="1915">
        <f t="shared" si="19"/>
        <v>1</v>
      </c>
      <c r="Q83" s="1914">
        <f t="shared" si="20"/>
        <v>2.4479999999999995E-2</v>
      </c>
      <c r="R83" s="1913">
        <f t="shared" si="21"/>
        <v>83085</v>
      </c>
      <c r="S83" s="1912">
        <f t="shared" si="22"/>
        <v>2237.31288</v>
      </c>
    </row>
    <row r="84" spans="2:20" outlineLevel="1">
      <c r="B84" s="371" t="s">
        <v>2744</v>
      </c>
      <c r="C84" s="371"/>
      <c r="D84" s="1925" t="s">
        <v>2746</v>
      </c>
      <c r="E84" s="416" t="s">
        <v>97</v>
      </c>
      <c r="F84" s="1924"/>
      <c r="G84" s="1923">
        <v>3</v>
      </c>
      <c r="H84" s="1917">
        <v>25</v>
      </c>
      <c r="I84" s="1922">
        <v>140</v>
      </c>
      <c r="J84" s="1943">
        <f t="shared" si="15"/>
        <v>2720</v>
      </c>
      <c r="K84" s="1920">
        <f t="shared" si="16"/>
        <v>1.0499999999999999E-5</v>
      </c>
      <c r="L84" s="1919">
        <f t="shared" si="17"/>
        <v>2.8559999999999999E-2</v>
      </c>
      <c r="M84" s="1918">
        <v>1.1000000000000001</v>
      </c>
      <c r="N84" s="1917">
        <v>1</v>
      </c>
      <c r="O84" s="1916">
        <f t="shared" si="18"/>
        <v>3.1415999999999999E-2</v>
      </c>
      <c r="P84" s="1915">
        <f t="shared" si="19"/>
        <v>1</v>
      </c>
      <c r="Q84" s="1914">
        <f t="shared" si="20"/>
        <v>2.8559999999999999E-2</v>
      </c>
      <c r="R84" s="1913">
        <f t="shared" si="21"/>
        <v>83085</v>
      </c>
      <c r="S84" s="1912">
        <f t="shared" si="22"/>
        <v>2610.1983599999999</v>
      </c>
    </row>
    <row r="85" spans="2:20" outlineLevel="1">
      <c r="B85" s="371" t="s">
        <v>2744</v>
      </c>
      <c r="C85" s="371"/>
      <c r="D85" s="1925" t="s">
        <v>2745</v>
      </c>
      <c r="E85" s="416" t="s">
        <v>97</v>
      </c>
      <c r="F85" s="1924"/>
      <c r="G85" s="1923">
        <v>3</v>
      </c>
      <c r="H85" s="1917">
        <v>25</v>
      </c>
      <c r="I85" s="1922">
        <f>100*(P$71-1)+15*2</f>
        <v>330</v>
      </c>
      <c r="J85" s="1943">
        <f t="shared" si="15"/>
        <v>2720</v>
      </c>
      <c r="K85" s="1920">
        <f t="shared" si="16"/>
        <v>2.4749999999999999E-5</v>
      </c>
      <c r="L85" s="1919">
        <f t="shared" si="17"/>
        <v>6.7319999999999991E-2</v>
      </c>
      <c r="M85" s="1918">
        <v>1.1000000000000001</v>
      </c>
      <c r="N85" s="1917">
        <v>1</v>
      </c>
      <c r="O85" s="1916">
        <f t="shared" si="18"/>
        <v>7.4051999999999993E-2</v>
      </c>
      <c r="P85" s="1915">
        <f t="shared" si="19"/>
        <v>1</v>
      </c>
      <c r="Q85" s="1914">
        <f t="shared" si="20"/>
        <v>6.7319999999999991E-2</v>
      </c>
      <c r="R85" s="1913">
        <f t="shared" si="21"/>
        <v>83085</v>
      </c>
      <c r="S85" s="1912">
        <f t="shared" si="22"/>
        <v>6152.6104199999991</v>
      </c>
    </row>
    <row r="86" spans="2:20" outlineLevel="1">
      <c r="B86" s="1911" t="s">
        <v>2744</v>
      </c>
      <c r="C86" s="1911"/>
      <c r="D86" s="1910" t="s">
        <v>2743</v>
      </c>
      <c r="E86" s="490" t="s">
        <v>97</v>
      </c>
      <c r="F86" s="1942">
        <v>10</v>
      </c>
      <c r="G86" s="1908">
        <v>5</v>
      </c>
      <c r="H86" s="1907">
        <f>+$P$70+40*2</f>
        <v>580</v>
      </c>
      <c r="I86" s="1907"/>
      <c r="J86" s="1941">
        <f t="shared" si="15"/>
        <v>2720</v>
      </c>
      <c r="K86" s="1920">
        <f t="shared" si="16"/>
        <v>4.5571428571428578E-5</v>
      </c>
      <c r="L86" s="1904">
        <f t="shared" si="17"/>
        <v>0.12395428571428573</v>
      </c>
      <c r="M86" s="1903">
        <v>1.1000000000000001</v>
      </c>
      <c r="N86" s="1902">
        <f>+P$71</f>
        <v>4</v>
      </c>
      <c r="O86" s="1901">
        <f t="shared" si="18"/>
        <v>0.54539885714285719</v>
      </c>
      <c r="P86" s="1900">
        <f t="shared" si="19"/>
        <v>1</v>
      </c>
      <c r="Q86" s="1899">
        <f t="shared" si="20"/>
        <v>0.49581714285714285</v>
      </c>
      <c r="R86" s="1898">
        <f t="shared" si="21"/>
        <v>83085</v>
      </c>
      <c r="S86" s="1897">
        <f t="shared" si="22"/>
        <v>45314.464045714289</v>
      </c>
    </row>
    <row r="87" spans="2:20" outlineLevel="1">
      <c r="B87" s="1940" t="s">
        <v>2742</v>
      </c>
      <c r="C87" s="1940"/>
      <c r="D87" s="1939" t="s">
        <v>2741</v>
      </c>
      <c r="E87" s="474" t="s">
        <v>100</v>
      </c>
      <c r="F87" s="1938"/>
      <c r="G87" s="1937"/>
      <c r="H87" s="1931"/>
      <c r="I87" s="1936"/>
      <c r="J87" s="1935">
        <v>1</v>
      </c>
      <c r="K87" s="1934">
        <f t="shared" si="16"/>
        <v>1</v>
      </c>
      <c r="L87" s="1933">
        <f t="shared" si="17"/>
        <v>1</v>
      </c>
      <c r="M87" s="1932">
        <v>1</v>
      </c>
      <c r="N87" s="1931">
        <v>1</v>
      </c>
      <c r="O87" s="1930">
        <f t="shared" si="18"/>
        <v>1</v>
      </c>
      <c r="P87" s="1929">
        <f t="shared" si="19"/>
        <v>8.0000000000000002E-3</v>
      </c>
      <c r="Q87" s="1928">
        <f t="shared" si="20"/>
        <v>8.0000000000000002E-3</v>
      </c>
      <c r="R87" s="1927">
        <f t="shared" si="21"/>
        <v>4000</v>
      </c>
      <c r="S87" s="1926">
        <f t="shared" si="22"/>
        <v>4000</v>
      </c>
    </row>
    <row r="88" spans="2:20" outlineLevel="1">
      <c r="B88" s="371" t="s">
        <v>2740</v>
      </c>
      <c r="C88" s="371"/>
      <c r="D88" s="1925" t="s">
        <v>2739</v>
      </c>
      <c r="E88" s="416" t="s">
        <v>100</v>
      </c>
      <c r="F88" s="1924"/>
      <c r="G88" s="1923"/>
      <c r="H88" s="1917"/>
      <c r="I88" s="1922"/>
      <c r="J88" s="1921">
        <v>1</v>
      </c>
      <c r="K88" s="1920">
        <f t="shared" si="16"/>
        <v>1</v>
      </c>
      <c r="L88" s="1919">
        <f t="shared" si="17"/>
        <v>1</v>
      </c>
      <c r="M88" s="1918">
        <v>1</v>
      </c>
      <c r="N88" s="1917">
        <v>1</v>
      </c>
      <c r="O88" s="1916">
        <f t="shared" si="18"/>
        <v>1</v>
      </c>
      <c r="P88" s="1915">
        <f t="shared" si="19"/>
        <v>2E-3</v>
      </c>
      <c r="Q88" s="1914">
        <f t="shared" si="20"/>
        <v>2E-3</v>
      </c>
      <c r="R88" s="1913">
        <f t="shared" si="21"/>
        <v>1890</v>
      </c>
      <c r="S88" s="1912">
        <f t="shared" si="22"/>
        <v>1890</v>
      </c>
    </row>
    <row r="89" spans="2:20" outlineLevel="1">
      <c r="B89" s="371" t="s">
        <v>2738</v>
      </c>
      <c r="C89" s="371"/>
      <c r="D89" s="1925" t="s">
        <v>2737</v>
      </c>
      <c r="E89" s="416" t="s">
        <v>100</v>
      </c>
      <c r="F89" s="1924"/>
      <c r="G89" s="1923"/>
      <c r="H89" s="1917"/>
      <c r="I89" s="1922"/>
      <c r="J89" s="1921">
        <v>1</v>
      </c>
      <c r="K89" s="1920">
        <f t="shared" si="16"/>
        <v>1</v>
      </c>
      <c r="L89" s="1919">
        <f t="shared" si="17"/>
        <v>1</v>
      </c>
      <c r="M89" s="1918">
        <v>1</v>
      </c>
      <c r="N89" s="1917">
        <f>P$71*2</f>
        <v>8</v>
      </c>
      <c r="O89" s="1916">
        <f t="shared" si="18"/>
        <v>8</v>
      </c>
      <c r="P89" s="1915">
        <f t="shared" si="19"/>
        <v>1.0999999999999999E-2</v>
      </c>
      <c r="Q89" s="1914">
        <f t="shared" si="20"/>
        <v>8.7999999999999995E-2</v>
      </c>
      <c r="R89" s="1913">
        <f t="shared" si="21"/>
        <v>3180</v>
      </c>
      <c r="S89" s="1912">
        <f t="shared" si="22"/>
        <v>25440</v>
      </c>
    </row>
    <row r="90" spans="2:20" outlineLevel="1">
      <c r="B90" s="371" t="s">
        <v>2736</v>
      </c>
      <c r="C90" s="371"/>
      <c r="D90" s="1925" t="s">
        <v>2735</v>
      </c>
      <c r="E90" s="416" t="s">
        <v>100</v>
      </c>
      <c r="F90" s="1924"/>
      <c r="G90" s="1923"/>
      <c r="H90" s="1917"/>
      <c r="I90" s="1922"/>
      <c r="J90" s="1921">
        <v>1</v>
      </c>
      <c r="K90" s="1920">
        <f t="shared" si="16"/>
        <v>1</v>
      </c>
      <c r="L90" s="1919">
        <f t="shared" si="17"/>
        <v>1</v>
      </c>
      <c r="M90" s="1918">
        <v>1</v>
      </c>
      <c r="N90" s="1917">
        <v>1</v>
      </c>
      <c r="O90" s="1916">
        <f t="shared" si="18"/>
        <v>1</v>
      </c>
      <c r="P90" s="1915">
        <f t="shared" si="19"/>
        <v>5.0000000000000001E-3</v>
      </c>
      <c r="Q90" s="1914">
        <f t="shared" si="20"/>
        <v>5.0000000000000001E-3</v>
      </c>
      <c r="R90" s="1913">
        <f t="shared" si="21"/>
        <v>100</v>
      </c>
      <c r="S90" s="1912">
        <f t="shared" si="22"/>
        <v>100</v>
      </c>
    </row>
    <row r="91" spans="2:20" outlineLevel="1">
      <c r="B91" s="1911" t="s">
        <v>2734</v>
      </c>
      <c r="C91" s="1911"/>
      <c r="D91" s="1910" t="s">
        <v>2733</v>
      </c>
      <c r="E91" s="490" t="s">
        <v>100</v>
      </c>
      <c r="F91" s="1909"/>
      <c r="G91" s="1908"/>
      <c r="H91" s="1902"/>
      <c r="I91" s="1907"/>
      <c r="J91" s="1906">
        <v>1</v>
      </c>
      <c r="K91" s="1905">
        <f t="shared" si="16"/>
        <v>1</v>
      </c>
      <c r="L91" s="1904">
        <f t="shared" si="17"/>
        <v>1</v>
      </c>
      <c r="M91" s="1903">
        <v>1</v>
      </c>
      <c r="N91" s="1902">
        <f>P$71</f>
        <v>4</v>
      </c>
      <c r="O91" s="1901">
        <f t="shared" si="18"/>
        <v>4</v>
      </c>
      <c r="P91" s="1900">
        <f t="shared" si="19"/>
        <v>2E-3</v>
      </c>
      <c r="Q91" s="1899">
        <f t="shared" si="20"/>
        <v>8.0000000000000002E-3</v>
      </c>
      <c r="R91" s="1898">
        <f t="shared" si="21"/>
        <v>100</v>
      </c>
      <c r="S91" s="1897">
        <f t="shared" si="22"/>
        <v>400</v>
      </c>
    </row>
    <row r="92" spans="2:20" outlineLevel="1">
      <c r="B92" s="403"/>
      <c r="C92" s="403"/>
      <c r="D92" s="403"/>
      <c r="E92" s="2206" t="s">
        <v>2732</v>
      </c>
      <c r="F92" s="2206"/>
      <c r="G92" s="2206"/>
      <c r="H92" s="2206"/>
      <c r="I92" s="418"/>
      <c r="J92" s="401"/>
      <c r="K92" s="418"/>
      <c r="L92" s="418"/>
      <c r="M92" s="400"/>
      <c r="N92" s="406"/>
      <c r="O92" s="400"/>
      <c r="P92" s="400"/>
      <c r="Q92" s="1896">
        <f>SUM(Q77:Q91)</f>
        <v>2.4576275428571424</v>
      </c>
      <c r="R92" s="1777"/>
      <c r="S92" s="1777">
        <f>SUM(S77:S91)</f>
        <v>246296.50433811432</v>
      </c>
      <c r="T92" s="1895">
        <v>1</v>
      </c>
    </row>
    <row r="93" spans="2:20" ht="15" outlineLevel="1">
      <c r="B93" s="1772"/>
      <c r="C93" s="1772"/>
      <c r="D93" s="1772"/>
      <c r="E93" s="2218" t="s">
        <v>2731</v>
      </c>
      <c r="F93" s="2218"/>
      <c r="G93" s="2218"/>
      <c r="H93" s="2218"/>
      <c r="K93" s="1624"/>
      <c r="L93" s="1624"/>
      <c r="M93" s="1506"/>
      <c r="N93" s="503"/>
      <c r="O93" s="502"/>
      <c r="P93" s="502"/>
      <c r="Q93" s="1495"/>
      <c r="R93" s="1831">
        <v>0.4</v>
      </c>
      <c r="S93" s="1777">
        <f>+S94-S92</f>
        <v>164197.66955874287</v>
      </c>
    </row>
    <row r="94" spans="2:20" ht="15" outlineLevel="1">
      <c r="B94" s="1772"/>
      <c r="C94" s="1772"/>
      <c r="D94" s="1772"/>
      <c r="E94" s="2219" t="s">
        <v>2730</v>
      </c>
      <c r="F94" s="2219"/>
      <c r="G94" s="2219"/>
      <c r="H94" s="2219"/>
      <c r="K94" s="1624"/>
      <c r="L94" s="1624"/>
      <c r="M94" s="1892"/>
      <c r="N94" s="1891"/>
      <c r="O94" s="2220"/>
      <c r="P94" s="2220"/>
      <c r="Q94" s="2220"/>
      <c r="R94" s="1894"/>
      <c r="S94" s="1893">
        <f>+S92/(1-R93)</f>
        <v>410494.17389685719</v>
      </c>
    </row>
    <row r="95" spans="2:20" ht="15" outlineLevel="1">
      <c r="B95" s="1772"/>
      <c r="C95" s="1772"/>
      <c r="D95" s="1772"/>
      <c r="E95" s="1844"/>
      <c r="F95" s="1844"/>
      <c r="G95" s="1844"/>
      <c r="H95" s="1844"/>
      <c r="K95" s="1624"/>
      <c r="L95" s="1624"/>
      <c r="M95" s="1892"/>
      <c r="N95" s="1891"/>
      <c r="O95" s="1890"/>
      <c r="P95" s="1890"/>
      <c r="Q95" s="1890"/>
      <c r="R95" s="1773"/>
      <c r="S95" s="1889">
        <f>ROUNDUP(S94,-5)</f>
        <v>500000</v>
      </c>
    </row>
    <row r="96" spans="2:20">
      <c r="B96" s="1888"/>
      <c r="C96" s="1888"/>
      <c r="D96" s="1888"/>
      <c r="E96" s="1888"/>
      <c r="F96" s="1888"/>
      <c r="G96" s="1888"/>
      <c r="H96" s="1888"/>
      <c r="I96" s="1888"/>
      <c r="J96" s="1888"/>
      <c r="K96" s="1888"/>
      <c r="L96" s="1888"/>
      <c r="M96" s="1888"/>
      <c r="N96" s="1469"/>
      <c r="O96" s="1888"/>
      <c r="P96" s="1888"/>
      <c r="Q96" s="1888"/>
      <c r="R96" s="1888"/>
      <c r="S96" s="1888"/>
    </row>
    <row r="97" spans="6:21">
      <c r="F97" s="1887"/>
    </row>
    <row r="98" spans="6:21">
      <c r="R98" s="1627"/>
      <c r="S98" s="1777"/>
      <c r="T98" s="1886"/>
      <c r="U98" s="1780"/>
    </row>
    <row r="99" spans="6:21" ht="15">
      <c r="R99" s="1627"/>
      <c r="S99" s="1777"/>
      <c r="T99" s="1777"/>
      <c r="U99" s="1885"/>
    </row>
    <row r="100" spans="6:21">
      <c r="R100" s="1627"/>
      <c r="S100" s="1777"/>
      <c r="T100" s="1777"/>
      <c r="U100" s="1780"/>
    </row>
  </sheetData>
  <mergeCells count="54">
    <mergeCell ref="R75:S75"/>
    <mergeCell ref="E92:H92"/>
    <mergeCell ref="E93:H93"/>
    <mergeCell ref="E94:H94"/>
    <mergeCell ref="O94:Q94"/>
    <mergeCell ref="B74:C74"/>
    <mergeCell ref="E74:O74"/>
    <mergeCell ref="P74:Q74"/>
    <mergeCell ref="B75:B76"/>
    <mergeCell ref="C75:C76"/>
    <mergeCell ref="D75:D76"/>
    <mergeCell ref="E75:I75"/>
    <mergeCell ref="J75:O75"/>
    <mergeCell ref="P75:Q75"/>
    <mergeCell ref="B72:C72"/>
    <mergeCell ref="E72:O72"/>
    <mergeCell ref="B73:C73"/>
    <mergeCell ref="E73:O73"/>
    <mergeCell ref="B71:C71"/>
    <mergeCell ref="E71:O71"/>
    <mergeCell ref="E60:H60"/>
    <mergeCell ref="E61:H61"/>
    <mergeCell ref="O61:Q61"/>
    <mergeCell ref="R69:S69"/>
    <mergeCell ref="E70:O70"/>
    <mergeCell ref="E64:G66"/>
    <mergeCell ref="B68:S68"/>
    <mergeCell ref="E69:O69"/>
    <mergeCell ref="P48:Q48"/>
    <mergeCell ref="R48:S48"/>
    <mergeCell ref="E59:H59"/>
    <mergeCell ref="B45:C45"/>
    <mergeCell ref="E45:O45"/>
    <mergeCell ref="B48:B49"/>
    <mergeCell ref="C48:C49"/>
    <mergeCell ref="D48:D49"/>
    <mergeCell ref="E48:I48"/>
    <mergeCell ref="J48:O48"/>
    <mergeCell ref="B46:C46"/>
    <mergeCell ref="E46:O46"/>
    <mergeCell ref="B47:C47"/>
    <mergeCell ref="E47:O47"/>
    <mergeCell ref="P47:Q47"/>
    <mergeCell ref="B1:S1"/>
    <mergeCell ref="C2:S2"/>
    <mergeCell ref="C3:S3"/>
    <mergeCell ref="C4:S4"/>
    <mergeCell ref="B5:S5"/>
    <mergeCell ref="B41:S41"/>
    <mergeCell ref="E42:O42"/>
    <mergeCell ref="R42:S42"/>
    <mergeCell ref="E43:O43"/>
    <mergeCell ref="B44:C44"/>
    <mergeCell ref="E44:O44"/>
  </mergeCells>
  <dataValidations count="2">
    <dataValidation type="list" allowBlank="1" showInputMessage="1" showErrorMessage="1" sqref="B44:C44 B71:C71" xr:uid="{A55EB802-5D0E-4D12-836E-187FAF87493B}">
      <formula1>"0, 1"</formula1>
    </dataValidation>
    <dataValidation type="list" allowBlank="1" showInputMessage="1" showErrorMessage="1" sqref="B50 B77:B86" xr:uid="{7B96CFFA-9304-4949-9967-4F8E636B83A0}">
      <formula1>$B$7:$B$12</formula1>
    </dataValidation>
  </dataValidations>
  <pageMargins left="0.7" right="0.7" top="0.75" bottom="0.75" header="0.3" footer="0.3"/>
  <pageSetup paperSize="9"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7"/>
  <sheetViews>
    <sheetView workbookViewId="0">
      <selection activeCell="X17" sqref="X17"/>
    </sheetView>
  </sheetViews>
  <sheetFormatPr defaultRowHeight="15"/>
  <cols>
    <col min="1" max="1" width="1.7109375" style="10" bestFit="1" customWidth="1"/>
    <col min="2" max="2" width="3" style="10" bestFit="1" customWidth="1"/>
    <col min="3" max="3" width="40.85546875" style="10" bestFit="1" customWidth="1"/>
    <col min="4" max="4" width="9.140625" style="10"/>
    <col min="5" max="6" width="9.140625" style="11"/>
    <col min="7" max="7" width="9.140625" style="12"/>
    <col min="8" max="9" width="9.140625" style="13"/>
    <col min="10" max="10" width="9.140625" style="11"/>
    <col min="11" max="11" width="9.140625" style="14"/>
    <col min="12" max="12" width="9.140625" style="15"/>
    <col min="13" max="14" width="9.140625" style="12"/>
    <col min="15" max="15" width="9.140625" style="16"/>
    <col min="16" max="16" width="9.140625" style="11"/>
    <col min="17" max="17" width="9.140625" style="17"/>
    <col min="18" max="18" width="9.140625" style="12"/>
    <col min="19" max="19" width="11.85546875" style="16" bestFit="1" customWidth="1"/>
    <col min="20" max="20" width="11.28515625" style="17" bestFit="1" customWidth="1"/>
    <col min="21" max="21" width="11.28515625" style="10" bestFit="1" customWidth="1"/>
    <col min="28" max="28" width="13.140625" bestFit="1" customWidth="1"/>
    <col min="29" max="29" width="10.5703125" bestFit="1" customWidth="1"/>
  </cols>
  <sheetData>
    <row r="1" spans="1:29">
      <c r="A1" s="10" t="s">
        <v>116</v>
      </c>
      <c r="B1" s="11" t="s">
        <v>117</v>
      </c>
    </row>
    <row r="2" spans="1:29">
      <c r="B2" s="2241"/>
      <c r="C2" s="2242"/>
      <c r="D2" s="18" t="s">
        <v>20</v>
      </c>
      <c r="E2" s="18">
        <v>1000</v>
      </c>
      <c r="F2" s="2247" t="s">
        <v>118</v>
      </c>
      <c r="G2" s="2234" t="s">
        <v>119</v>
      </c>
      <c r="H2" s="2248" t="s">
        <v>120</v>
      </c>
      <c r="I2" s="2248" t="s">
        <v>121</v>
      </c>
      <c r="J2" s="2227" t="s">
        <v>122</v>
      </c>
      <c r="K2" s="2238" t="s">
        <v>123</v>
      </c>
      <c r="L2" s="2231" t="s">
        <v>124</v>
      </c>
      <c r="M2" s="2234" t="s">
        <v>125</v>
      </c>
      <c r="N2" s="2234" t="s">
        <v>34</v>
      </c>
      <c r="O2" s="2239" t="s">
        <v>126</v>
      </c>
      <c r="P2" s="2240">
        <v>17500</v>
      </c>
      <c r="Q2" s="2228" t="s">
        <v>111</v>
      </c>
      <c r="R2" s="2234" t="s">
        <v>33</v>
      </c>
      <c r="S2" s="2231" t="s">
        <v>18</v>
      </c>
    </row>
    <row r="3" spans="1:29">
      <c r="B3" s="2243"/>
      <c r="C3" s="2244"/>
      <c r="D3" s="18" t="s">
        <v>21</v>
      </c>
      <c r="E3" s="18">
        <v>500</v>
      </c>
      <c r="F3" s="2247"/>
      <c r="G3" s="2234"/>
      <c r="H3" s="2248"/>
      <c r="I3" s="2248"/>
      <c r="J3" s="2227"/>
      <c r="K3" s="2238"/>
      <c r="L3" s="2232"/>
      <c r="M3" s="2234"/>
      <c r="N3" s="2234"/>
      <c r="O3" s="2239"/>
      <c r="P3" s="2240"/>
      <c r="Q3" s="2229"/>
      <c r="R3" s="2234"/>
      <c r="S3" s="2232"/>
    </row>
    <row r="4" spans="1:29">
      <c r="B4" s="2245"/>
      <c r="C4" s="2246"/>
      <c r="D4" s="18" t="s">
        <v>19</v>
      </c>
      <c r="E4" s="18">
        <v>50</v>
      </c>
      <c r="F4" s="2247"/>
      <c r="G4" s="2234"/>
      <c r="H4" s="2248"/>
      <c r="I4" s="2248"/>
      <c r="J4" s="2227"/>
      <c r="K4" s="2238"/>
      <c r="L4" s="2232"/>
      <c r="M4" s="2234"/>
      <c r="N4" s="2234"/>
      <c r="O4" s="2239"/>
      <c r="P4" s="2240"/>
      <c r="Q4" s="2230"/>
      <c r="R4" s="2234"/>
      <c r="S4" s="2233"/>
    </row>
    <row r="5" spans="1:29">
      <c r="B5" s="2235" t="s">
        <v>176</v>
      </c>
      <c r="C5" s="2235"/>
      <c r="D5" s="18" t="s">
        <v>95</v>
      </c>
      <c r="E5" s="18" t="s">
        <v>30</v>
      </c>
      <c r="F5" s="2247"/>
      <c r="G5" s="2234"/>
      <c r="H5" s="2248"/>
      <c r="I5" s="2248"/>
      <c r="J5" s="2227"/>
      <c r="K5" s="2238"/>
      <c r="L5" s="2233"/>
      <c r="M5" s="2234"/>
      <c r="N5" s="2234"/>
      <c r="O5" s="19" t="s">
        <v>127</v>
      </c>
      <c r="P5" s="2236" t="s">
        <v>128</v>
      </c>
      <c r="Q5" s="2237"/>
      <c r="R5" s="2234"/>
      <c r="S5" s="20" t="s">
        <v>46</v>
      </c>
    </row>
    <row r="6" spans="1:29">
      <c r="A6" s="21"/>
      <c r="B6" s="21"/>
      <c r="C6" s="21" t="s">
        <v>129</v>
      </c>
      <c r="D6" s="21"/>
      <c r="E6" s="22"/>
      <c r="F6" s="22"/>
      <c r="G6" s="23"/>
      <c r="H6" s="24"/>
      <c r="I6" s="24"/>
      <c r="J6" s="22"/>
      <c r="K6" s="25"/>
      <c r="L6" s="26"/>
      <c r="M6" s="23"/>
      <c r="N6" s="23"/>
      <c r="O6" s="27"/>
      <c r="P6" s="22"/>
      <c r="Q6" s="28"/>
      <c r="R6" s="23"/>
      <c r="S6" s="27"/>
      <c r="T6" s="28"/>
      <c r="U6" s="21"/>
      <c r="W6">
        <v>304</v>
      </c>
    </row>
    <row r="7" spans="1:29">
      <c r="B7" s="10">
        <v>1</v>
      </c>
      <c r="C7" s="29" t="s">
        <v>130</v>
      </c>
      <c r="D7" s="30" t="s">
        <v>131</v>
      </c>
      <c r="E7" s="11" t="s">
        <v>132</v>
      </c>
      <c r="G7" s="31">
        <v>1.5</v>
      </c>
      <c r="H7" s="32">
        <f>+E3+(E4*2)+20</f>
        <v>620</v>
      </c>
      <c r="I7" s="32">
        <f>+E2+(E4*2)+20</f>
        <v>1120</v>
      </c>
      <c r="J7" s="11">
        <v>8027</v>
      </c>
      <c r="K7" s="14">
        <v>1</v>
      </c>
      <c r="L7" s="33">
        <f>G7/1000*H7/1000*I7/1000*J7*K7</f>
        <v>8.360923200000002</v>
      </c>
      <c r="M7" s="12">
        <v>1</v>
      </c>
      <c r="N7" s="12">
        <v>1.5</v>
      </c>
      <c r="O7" s="16">
        <f>L7*M7*N7</f>
        <v>12.541384800000003</v>
      </c>
      <c r="P7" s="11" t="s">
        <v>115</v>
      </c>
      <c r="Q7" s="34">
        <v>50000</v>
      </c>
      <c r="R7" s="12">
        <v>1</v>
      </c>
      <c r="S7" s="16">
        <f>IF(P7="Rp",O7*Q7/$P$2*R7,O7*Q7*R7)</f>
        <v>35.832528000000003</v>
      </c>
      <c r="T7" s="17">
        <f>S7*P$2</f>
        <v>627069.24000000011</v>
      </c>
      <c r="U7" s="17">
        <f>SUM(T7:T11)</f>
        <v>880396.74000000011</v>
      </c>
      <c r="W7" t="s">
        <v>119</v>
      </c>
      <c r="X7" t="s">
        <v>120</v>
      </c>
      <c r="Y7" t="s">
        <v>133</v>
      </c>
      <c r="Z7" t="s">
        <v>132</v>
      </c>
      <c r="AA7" t="s">
        <v>122</v>
      </c>
      <c r="AB7" t="s">
        <v>134</v>
      </c>
      <c r="AC7" t="s">
        <v>135</v>
      </c>
    </row>
    <row r="8" spans="1:29">
      <c r="B8" s="10">
        <v>2</v>
      </c>
      <c r="C8" s="30" t="s">
        <v>136</v>
      </c>
      <c r="D8" s="30" t="s">
        <v>131</v>
      </c>
      <c r="E8" s="11" t="s">
        <v>132</v>
      </c>
      <c r="G8" s="31">
        <v>1.5</v>
      </c>
      <c r="H8" s="32">
        <v>500</v>
      </c>
      <c r="I8" s="32">
        <v>200</v>
      </c>
      <c r="J8" s="11">
        <v>8027</v>
      </c>
      <c r="K8" s="14">
        <v>2</v>
      </c>
      <c r="L8" s="33">
        <f>G8/1000*H8/1000*I8/1000*J8*K8</f>
        <v>2.4080999999999997</v>
      </c>
      <c r="M8" s="12">
        <v>1</v>
      </c>
      <c r="N8" s="12">
        <v>1.5</v>
      </c>
      <c r="O8" s="16">
        <f>L8*M8*N8</f>
        <v>3.6121499999999997</v>
      </c>
      <c r="P8" s="11" t="s">
        <v>115</v>
      </c>
      <c r="Q8" s="34">
        <v>50000</v>
      </c>
      <c r="R8" s="12">
        <v>1</v>
      </c>
      <c r="S8" s="16">
        <f>IF(P8="Rp",O8*Q8/$P$2*R8,O8*Q8*R8)</f>
        <v>10.320428571428572</v>
      </c>
      <c r="T8" s="17">
        <f>S8*P$2</f>
        <v>180607.5</v>
      </c>
      <c r="W8">
        <v>1.5</v>
      </c>
      <c r="X8">
        <v>1200</v>
      </c>
      <c r="Y8">
        <v>2400</v>
      </c>
      <c r="Z8">
        <v>34.56</v>
      </c>
      <c r="AA8">
        <v>8000</v>
      </c>
      <c r="AB8" s="35">
        <v>1500000</v>
      </c>
      <c r="AC8" s="36">
        <f>AB8/Z8</f>
        <v>43402.777777777774</v>
      </c>
    </row>
    <row r="9" spans="1:29" s="10" customFormat="1" ht="12">
      <c r="B9" s="10">
        <v>3</v>
      </c>
      <c r="C9" s="29" t="s">
        <v>137</v>
      </c>
      <c r="D9" s="30" t="s">
        <v>138</v>
      </c>
      <c r="E9" s="11" t="s">
        <v>139</v>
      </c>
      <c r="F9" s="11"/>
      <c r="G9" s="12">
        <v>1.25</v>
      </c>
      <c r="H9" s="13">
        <v>200</v>
      </c>
      <c r="I9" s="13"/>
      <c r="J9" s="11"/>
      <c r="K9" s="14">
        <v>1</v>
      </c>
      <c r="L9" s="33">
        <f>+H9/1000</f>
        <v>0.2</v>
      </c>
      <c r="M9" s="12">
        <v>1</v>
      </c>
      <c r="N9" s="12">
        <v>1.25</v>
      </c>
      <c r="O9" s="16">
        <f>L9*M9*N9</f>
        <v>0.25</v>
      </c>
      <c r="P9" s="11" t="s">
        <v>115</v>
      </c>
      <c r="Q9" s="34">
        <v>40000</v>
      </c>
      <c r="R9" s="12">
        <v>1</v>
      </c>
      <c r="S9" s="16">
        <f>IF(P9="Rp",O9*Q9/$P$2*R9,O9*Q9*R9)</f>
        <v>0.5714285714285714</v>
      </c>
      <c r="T9" s="17">
        <f>S9*P$2</f>
        <v>10000</v>
      </c>
    </row>
    <row r="10" spans="1:29" s="10" customFormat="1" ht="12">
      <c r="B10" s="10">
        <v>4</v>
      </c>
      <c r="C10" s="29" t="s">
        <v>140</v>
      </c>
      <c r="D10" s="30" t="s">
        <v>141</v>
      </c>
      <c r="E10" s="11" t="s">
        <v>142</v>
      </c>
      <c r="F10" s="11"/>
      <c r="G10" s="12"/>
      <c r="H10" s="13">
        <f>H7+H8</f>
        <v>1120</v>
      </c>
      <c r="I10" s="13">
        <f>I7</f>
        <v>1120</v>
      </c>
      <c r="J10" s="11"/>
      <c r="K10" s="14">
        <v>1</v>
      </c>
      <c r="L10" s="33">
        <f>+H10/1000*I10/1000</f>
        <v>1.2544000000000002</v>
      </c>
      <c r="M10" s="12">
        <v>1</v>
      </c>
      <c r="N10" s="12">
        <v>1.25</v>
      </c>
      <c r="O10" s="16">
        <f>L10*M10*N10</f>
        <v>1.5680000000000003</v>
      </c>
      <c r="P10" s="11" t="s">
        <v>115</v>
      </c>
      <c r="Q10" s="34">
        <v>40000</v>
      </c>
      <c r="R10" s="12">
        <v>1</v>
      </c>
      <c r="S10" s="16">
        <f>IF(P10="Rp",O10*Q10/$P$2*R10,O10*Q10*R10)</f>
        <v>3.584000000000001</v>
      </c>
      <c r="T10" s="17">
        <f>S10*P$2</f>
        <v>62720.000000000015</v>
      </c>
    </row>
    <row r="11" spans="1:29" s="10" customFormat="1" ht="12">
      <c r="C11" s="29"/>
      <c r="D11" s="30"/>
      <c r="E11" s="11"/>
      <c r="F11" s="11"/>
      <c r="G11" s="12"/>
      <c r="H11" s="13"/>
      <c r="I11" s="13"/>
      <c r="J11" s="11"/>
      <c r="K11" s="14"/>
      <c r="L11" s="33"/>
      <c r="M11" s="12"/>
      <c r="N11" s="12"/>
      <c r="O11" s="16"/>
      <c r="P11" s="11"/>
      <c r="Q11" s="34"/>
      <c r="R11" s="12"/>
      <c r="S11" s="16"/>
      <c r="T11" s="17"/>
    </row>
    <row r="12" spans="1:29">
      <c r="B12" s="10">
        <v>5</v>
      </c>
      <c r="C12" s="10" t="s">
        <v>143</v>
      </c>
      <c r="G12" s="37">
        <v>0</v>
      </c>
      <c r="S12" s="16">
        <f>SUM(S7:S11)*G12</f>
        <v>0</v>
      </c>
      <c r="T12" s="17">
        <f>S12*P$2</f>
        <v>0</v>
      </c>
    </row>
    <row r="13" spans="1:29" s="10" customFormat="1" ht="12">
      <c r="E13" s="11"/>
      <c r="F13" s="11"/>
      <c r="G13" s="12"/>
      <c r="H13" s="13"/>
      <c r="I13" s="13"/>
      <c r="J13" s="11"/>
      <c r="K13" s="14"/>
      <c r="L13" s="15"/>
      <c r="M13" s="12"/>
      <c r="N13" s="12"/>
      <c r="O13" s="16"/>
      <c r="P13" s="11"/>
    </row>
    <row r="14" spans="1:29" ht="15.75" thickBot="1">
      <c r="Q14" s="17" t="s">
        <v>35</v>
      </c>
      <c r="S14" s="28">
        <f>SUM(S6:S12)</f>
        <v>50.308385142857148</v>
      </c>
      <c r="T14" s="17">
        <f>SUM(T6:T12)</f>
        <v>880396.74000000011</v>
      </c>
    </row>
    <row r="15" spans="1:29" ht="15.75" thickBot="1">
      <c r="G15" s="12">
        <v>0.15</v>
      </c>
      <c r="H15" s="13">
        <f>300000/6</f>
        <v>50000</v>
      </c>
      <c r="I15" s="13">
        <f>+G15*H15</f>
        <v>7500</v>
      </c>
      <c r="Q15" s="38" t="s">
        <v>144</v>
      </c>
      <c r="R15" s="39">
        <v>0.5</v>
      </c>
      <c r="S15" s="40">
        <f>+S14/(1-R15)</f>
        <v>100.6167702857143</v>
      </c>
      <c r="T15" s="16"/>
    </row>
    <row r="16" spans="1:29" ht="15.75" thickBot="1"/>
    <row r="17" spans="19:20" ht="15.75" thickBot="1">
      <c r="S17" s="16">
        <f>S15*P2</f>
        <v>1760793.4800000002</v>
      </c>
      <c r="T17" s="41">
        <f>ROUNDUP(S17,-5)</f>
        <v>1800000</v>
      </c>
    </row>
  </sheetData>
  <mergeCells count="17">
    <mergeCell ref="I2:I5"/>
    <mergeCell ref="J2:J5"/>
    <mergeCell ref="Q2:Q4"/>
    <mergeCell ref="S2:S4"/>
    <mergeCell ref="R2:R5"/>
    <mergeCell ref="B5:C5"/>
    <mergeCell ref="P5:Q5"/>
    <mergeCell ref="K2:K5"/>
    <mergeCell ref="L2:L5"/>
    <mergeCell ref="M2:M5"/>
    <mergeCell ref="N2:N5"/>
    <mergeCell ref="O2:O4"/>
    <mergeCell ref="P2:P4"/>
    <mergeCell ref="B2:C4"/>
    <mergeCell ref="F2:F5"/>
    <mergeCell ref="G2:G5"/>
    <mergeCell ref="H2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4BD26-488A-45D3-A20A-11EFEAC6FA37}">
  <dimension ref="A1:Q26"/>
  <sheetViews>
    <sheetView workbookViewId="0">
      <selection activeCell="P19" sqref="P19"/>
    </sheetView>
  </sheetViews>
  <sheetFormatPr defaultColWidth="9.140625" defaultRowHeight="14.25"/>
  <cols>
    <col min="1" max="1" width="10.5703125" style="368" bestFit="1" customWidth="1"/>
    <col min="2" max="2" width="28.7109375" style="368" bestFit="1" customWidth="1"/>
    <col min="3" max="3" width="5.5703125" style="368" bestFit="1" customWidth="1"/>
    <col min="4" max="4" width="7.7109375" style="368" bestFit="1" customWidth="1"/>
    <col min="5" max="5" width="5.42578125" style="368" bestFit="1" customWidth="1"/>
    <col min="6" max="6" width="9.28515625" style="1846" customWidth="1"/>
    <col min="7" max="7" width="4.7109375" style="368" bestFit="1" customWidth="1"/>
    <col min="8" max="8" width="6.5703125" style="368" bestFit="1" customWidth="1"/>
    <col min="9" max="9" width="7.7109375" style="368" customWidth="1"/>
    <col min="10" max="10" width="6.5703125" style="368" bestFit="1" customWidth="1"/>
    <col min="11" max="11" width="4.42578125" style="368" bestFit="1" customWidth="1"/>
    <col min="12" max="12" width="8.42578125" style="1846" bestFit="1" customWidth="1"/>
    <col min="13" max="13" width="9.28515625" style="368" customWidth="1"/>
    <col min="14" max="14" width="8.28515625" style="1481" bestFit="1" customWidth="1"/>
    <col min="15" max="15" width="10.28515625" style="368" bestFit="1" customWidth="1"/>
    <col min="16" max="16" width="9.140625" style="368"/>
    <col min="17" max="17" width="7.7109375" style="368" bestFit="1" customWidth="1"/>
    <col min="18" max="16384" width="9.140625" style="368"/>
  </cols>
  <sheetData>
    <row r="1" spans="2:17">
      <c r="B1" s="368" t="s">
        <v>2876</v>
      </c>
      <c r="C1" s="1845" t="s">
        <v>19</v>
      </c>
      <c r="D1" s="1845" t="s">
        <v>21</v>
      </c>
      <c r="E1" s="1786" t="s">
        <v>20</v>
      </c>
      <c r="H1" s="1846"/>
      <c r="I1" s="1846"/>
      <c r="K1" s="1477"/>
      <c r="M1" s="1847"/>
    </row>
    <row r="2" spans="2:17">
      <c r="B2" s="1848" t="s">
        <v>2643</v>
      </c>
      <c r="C2" s="1849">
        <v>1420</v>
      </c>
      <c r="D2" s="1849">
        <v>1930</v>
      </c>
      <c r="E2" s="1849">
        <v>1625</v>
      </c>
      <c r="G2" s="1846" t="s">
        <v>1193</v>
      </c>
      <c r="H2" s="1846" t="s">
        <v>2644</v>
      </c>
      <c r="I2" s="368">
        <f>I3*1000</f>
        <v>748.03194444444443</v>
      </c>
      <c r="K2" s="1477" t="s">
        <v>1433</v>
      </c>
      <c r="L2" s="1846" t="s">
        <v>1152</v>
      </c>
      <c r="M2" s="1847">
        <v>148.55000000000001</v>
      </c>
      <c r="O2" s="368" t="s">
        <v>2867</v>
      </c>
    </row>
    <row r="3" spans="2:17">
      <c r="B3" s="1848" t="s">
        <v>2645</v>
      </c>
      <c r="C3" s="1849"/>
      <c r="D3" s="1849"/>
      <c r="E3" s="1849"/>
      <c r="G3" s="1846"/>
      <c r="H3" s="368" t="s">
        <v>2646</v>
      </c>
      <c r="I3" s="368">
        <f>I4/3600</f>
        <v>0.74803194444444443</v>
      </c>
      <c r="K3" s="1477"/>
      <c r="L3" s="1846" t="s">
        <v>2647</v>
      </c>
      <c r="M3" s="1850">
        <f>M2*3412</f>
        <v>506852.60000000003</v>
      </c>
    </row>
    <row r="4" spans="2:17">
      <c r="C4" s="1849"/>
      <c r="D4" s="1849"/>
      <c r="G4" s="1846"/>
      <c r="H4" s="1846" t="s">
        <v>1153</v>
      </c>
      <c r="I4" s="368">
        <f>I5*1.699</f>
        <v>2692.915</v>
      </c>
      <c r="K4" s="1477"/>
      <c r="L4" s="1846" t="s">
        <v>8</v>
      </c>
      <c r="M4" s="1847">
        <f>M3/10000</f>
        <v>50.685260000000007</v>
      </c>
    </row>
    <row r="5" spans="2:17">
      <c r="C5" s="1849"/>
      <c r="D5" s="1849"/>
      <c r="G5" s="1846"/>
      <c r="H5" s="1846" t="s">
        <v>2648</v>
      </c>
      <c r="I5" s="1849">
        <v>1585</v>
      </c>
      <c r="K5" s="1477" t="s">
        <v>2649</v>
      </c>
      <c r="L5" s="1846" t="s">
        <v>1152</v>
      </c>
      <c r="M5" s="1847">
        <v>93.55</v>
      </c>
    </row>
    <row r="6" spans="2:17">
      <c r="C6" s="1849"/>
      <c r="D6" s="1849"/>
      <c r="G6" s="368" t="s">
        <v>1347</v>
      </c>
      <c r="H6" s="1846" t="s">
        <v>2644</v>
      </c>
      <c r="I6" s="368">
        <f>I7*1000</f>
        <v>4530.666666666667</v>
      </c>
      <c r="K6" s="1477"/>
      <c r="L6" s="1846" t="s">
        <v>2647</v>
      </c>
      <c r="M6" s="1850">
        <f>M5*3412</f>
        <v>319192.59999999998</v>
      </c>
    </row>
    <row r="7" spans="2:17">
      <c r="B7" s="1851"/>
      <c r="C7" s="1852"/>
      <c r="D7" s="1852"/>
      <c r="E7" s="1851"/>
      <c r="H7" s="368" t="s">
        <v>2646</v>
      </c>
      <c r="I7" s="368">
        <f>I8/3600</f>
        <v>4.5306666666666668</v>
      </c>
      <c r="K7" s="1477"/>
      <c r="L7" s="1846" t="s">
        <v>8</v>
      </c>
      <c r="M7" s="1847">
        <f>M6/10000</f>
        <v>31.919259999999998</v>
      </c>
      <c r="O7" s="1846"/>
      <c r="P7" s="1846"/>
    </row>
    <row r="8" spans="2:17">
      <c r="B8" s="368" t="s">
        <v>2650</v>
      </c>
      <c r="C8" s="1849"/>
      <c r="D8" s="1849">
        <f>D2</f>
        <v>1930</v>
      </c>
      <c r="E8" s="1849">
        <f>E2</f>
        <v>1625</v>
      </c>
      <c r="H8" s="1846" t="s">
        <v>1153</v>
      </c>
      <c r="I8" s="368">
        <f>I9*1.699</f>
        <v>16310.400000000001</v>
      </c>
      <c r="K8" s="1477"/>
      <c r="M8" s="1847"/>
      <c r="O8" s="1846"/>
    </row>
    <row r="9" spans="2:17">
      <c r="B9" s="368" t="s">
        <v>2651</v>
      </c>
      <c r="C9" s="1849"/>
      <c r="D9" s="1849">
        <f>D3</f>
        <v>0</v>
      </c>
      <c r="E9" s="1849">
        <f>E3</f>
        <v>0</v>
      </c>
      <c r="G9" s="1477"/>
      <c r="H9" s="1846" t="s">
        <v>2648</v>
      </c>
      <c r="I9" s="1849">
        <v>9600</v>
      </c>
      <c r="K9" s="1477"/>
      <c r="M9" s="1847"/>
      <c r="O9" s="1846"/>
      <c r="P9" s="1846"/>
    </row>
    <row r="10" spans="2:17">
      <c r="C10" s="1849"/>
      <c r="D10" s="1849"/>
      <c r="G10" s="1477"/>
      <c r="H10" s="1846"/>
      <c r="I10" s="1849"/>
      <c r="K10" s="1477"/>
      <c r="M10" s="1847"/>
      <c r="O10" s="1846"/>
      <c r="P10" s="1846"/>
      <c r="Q10" s="1849"/>
    </row>
    <row r="11" spans="2:17">
      <c r="B11" s="1851"/>
      <c r="C11" s="1852"/>
      <c r="D11" s="1852"/>
      <c r="E11" s="1851"/>
      <c r="G11" s="1477"/>
      <c r="H11" s="1846"/>
      <c r="I11" s="1849"/>
      <c r="K11" s="1477"/>
      <c r="M11" s="1847"/>
    </row>
    <row r="12" spans="2:17">
      <c r="B12" s="368" t="s">
        <v>2652</v>
      </c>
      <c r="C12" s="1849">
        <v>810</v>
      </c>
      <c r="D12" s="1849">
        <v>1100</v>
      </c>
      <c r="G12" s="1477"/>
      <c r="H12" s="1846"/>
      <c r="I12" s="1849"/>
      <c r="K12" s="1477"/>
      <c r="M12" s="1847"/>
    </row>
    <row r="13" spans="2:17">
      <c r="B13" s="1851" t="s">
        <v>2653</v>
      </c>
      <c r="C13" s="1852">
        <v>310</v>
      </c>
      <c r="D13" s="1852">
        <v>800</v>
      </c>
      <c r="E13" s="1851"/>
      <c r="G13" s="1477"/>
      <c r="H13" s="1846"/>
      <c r="I13" s="1849"/>
      <c r="K13" s="1477"/>
      <c r="M13" s="1847"/>
    </row>
    <row r="14" spans="2:17">
      <c r="B14" s="368" t="s">
        <v>2654</v>
      </c>
      <c r="C14" s="1849">
        <f>C2-100</f>
        <v>1320</v>
      </c>
      <c r="D14" s="1849">
        <f>D2-100</f>
        <v>1830</v>
      </c>
      <c r="G14" s="1477"/>
      <c r="H14" s="1846"/>
      <c r="I14" s="1849"/>
      <c r="K14" s="1477"/>
      <c r="M14" s="1847"/>
    </row>
    <row r="15" spans="2:17">
      <c r="B15" s="368" t="s">
        <v>2655</v>
      </c>
      <c r="C15" s="1849">
        <f>C3-100</f>
        <v>-100</v>
      </c>
      <c r="D15" s="1849">
        <f>D3-100</f>
        <v>-100</v>
      </c>
      <c r="G15" s="1477"/>
      <c r="H15" s="1846"/>
      <c r="I15" s="1849"/>
      <c r="K15" s="1477"/>
      <c r="M15" s="1847"/>
    </row>
    <row r="16" spans="2:17">
      <c r="G16" s="1477"/>
      <c r="H16" s="1846"/>
      <c r="I16" s="1849"/>
      <c r="K16" s="1477"/>
      <c r="M16" s="1847"/>
    </row>
    <row r="17" spans="1:15">
      <c r="C17" s="1845" t="s">
        <v>1071</v>
      </c>
      <c r="D17" s="1845" t="s">
        <v>1072</v>
      </c>
      <c r="E17" s="1786" t="s">
        <v>21</v>
      </c>
      <c r="F17" s="1845" t="s">
        <v>1975</v>
      </c>
      <c r="G17" s="1786" t="s">
        <v>1085</v>
      </c>
      <c r="H17" s="1846" t="s">
        <v>2656</v>
      </c>
      <c r="I17" s="1845" t="s">
        <v>34</v>
      </c>
      <c r="J17" s="1845" t="s">
        <v>13</v>
      </c>
      <c r="K17" s="1479" t="s">
        <v>2657</v>
      </c>
      <c r="L17" s="1845" t="s">
        <v>2658</v>
      </c>
      <c r="M17" s="1853" t="s">
        <v>2659</v>
      </c>
      <c r="N17" s="1854" t="s">
        <v>97</v>
      </c>
      <c r="O17" s="1853" t="s">
        <v>115</v>
      </c>
    </row>
    <row r="18" spans="1:15" s="442" customFormat="1">
      <c r="A18" s="1855" t="str">
        <f>B8</f>
        <v>Skid 1</v>
      </c>
      <c r="B18" s="442" t="s">
        <v>2660</v>
      </c>
      <c r="C18" s="453">
        <v>3</v>
      </c>
      <c r="D18" s="453">
        <f>100+100+100</f>
        <v>300</v>
      </c>
      <c r="E18" s="1482">
        <f>E8</f>
        <v>1625</v>
      </c>
      <c r="F18" s="453">
        <v>7860</v>
      </c>
      <c r="G18" s="442" t="s">
        <v>97</v>
      </c>
      <c r="H18" s="453">
        <f>C18/1000*D18/1000*E18/1000*F18</f>
        <v>11.495249999999999</v>
      </c>
      <c r="I18" s="453">
        <v>1.1499999999999999</v>
      </c>
      <c r="J18" s="453">
        <f>H18*I18</f>
        <v>13.219537499999998</v>
      </c>
      <c r="K18" s="1856">
        <v>2</v>
      </c>
      <c r="L18" s="453">
        <v>1</v>
      </c>
      <c r="M18" s="1857">
        <v>30000</v>
      </c>
      <c r="N18" s="1858">
        <f>H18*K18*L18</f>
        <v>22.990499999999997</v>
      </c>
      <c r="O18" s="1857">
        <f>J18*K18*M18</f>
        <v>793172.24999999988</v>
      </c>
    </row>
    <row r="19" spans="1:15" s="442" customFormat="1">
      <c r="B19" s="442" t="s">
        <v>2661</v>
      </c>
      <c r="C19" s="453">
        <v>3</v>
      </c>
      <c r="D19" s="453">
        <f>100+100+100</f>
        <v>300</v>
      </c>
      <c r="E19" s="1482">
        <f>D8</f>
        <v>1930</v>
      </c>
      <c r="F19" s="453">
        <v>7860</v>
      </c>
      <c r="G19" s="442" t="s">
        <v>97</v>
      </c>
      <c r="H19" s="453">
        <f>C19/1000*D19/1000*E19/1000*F19</f>
        <v>13.652819999999998</v>
      </c>
      <c r="I19" s="453">
        <v>1.1499999999999999</v>
      </c>
      <c r="J19" s="453">
        <f>H19*I19</f>
        <v>15.700742999999997</v>
      </c>
      <c r="K19" s="1856">
        <v>2</v>
      </c>
      <c r="L19" s="453">
        <v>1</v>
      </c>
      <c r="M19" s="1857">
        <v>30000</v>
      </c>
      <c r="N19" s="1858">
        <f>H19*K19*L19</f>
        <v>27.305639999999997</v>
      </c>
      <c r="O19" s="1857">
        <f>J19*K19*M19</f>
        <v>942044.57999999984</v>
      </c>
    </row>
    <row r="20" spans="1:15" s="442" customFormat="1">
      <c r="B20" s="442" t="s">
        <v>2662</v>
      </c>
      <c r="C20" s="453">
        <v>2</v>
      </c>
      <c r="D20" s="453">
        <f>180+40+40</f>
        <v>260</v>
      </c>
      <c r="E20" s="1482">
        <f>D8</f>
        <v>1930</v>
      </c>
      <c r="F20" s="453">
        <v>7860</v>
      </c>
      <c r="G20" s="442" t="s">
        <v>97</v>
      </c>
      <c r="H20" s="453">
        <f>C20/1000*D20/1000*E20/1000*F20</f>
        <v>7.8882960000000004</v>
      </c>
      <c r="I20" s="453">
        <v>1.1499999999999999</v>
      </c>
      <c r="J20" s="453">
        <f>H20*I20</f>
        <v>9.0715403999999999</v>
      </c>
      <c r="K20" s="1856">
        <v>2</v>
      </c>
      <c r="L20" s="453">
        <v>1</v>
      </c>
      <c r="M20" s="1857">
        <v>30000</v>
      </c>
      <c r="N20" s="1858">
        <f>H20*K20*L20</f>
        <v>15.776592000000001</v>
      </c>
      <c r="O20" s="1857">
        <f>J20*K20*M20</f>
        <v>544292.424</v>
      </c>
    </row>
    <row r="21" spans="1:15">
      <c r="J21" s="1846"/>
      <c r="K21" s="1477"/>
      <c r="O21" s="1847"/>
    </row>
    <row r="22" spans="1:15" s="442" customFormat="1">
      <c r="A22" s="1855" t="str">
        <f>B9</f>
        <v>Skid 2</v>
      </c>
      <c r="B22" s="442" t="s">
        <v>2660</v>
      </c>
      <c r="C22" s="453">
        <v>3</v>
      </c>
      <c r="D22" s="453">
        <f>100+100+100</f>
        <v>300</v>
      </c>
      <c r="E22" s="1482">
        <f>E9</f>
        <v>0</v>
      </c>
      <c r="F22" s="453">
        <v>7860</v>
      </c>
      <c r="G22" s="442" t="s">
        <v>97</v>
      </c>
      <c r="H22" s="453">
        <f>C22/1000*D22/1000*E22/1000*F22</f>
        <v>0</v>
      </c>
      <c r="I22" s="453">
        <v>1.1499999999999999</v>
      </c>
      <c r="J22" s="453">
        <f>H22*I22</f>
        <v>0</v>
      </c>
      <c r="K22" s="1856">
        <v>2</v>
      </c>
      <c r="L22" s="453">
        <v>1</v>
      </c>
      <c r="M22" s="1857">
        <v>30000</v>
      </c>
      <c r="N22" s="1858">
        <f>H22*K22*L22</f>
        <v>0</v>
      </c>
      <c r="O22" s="1857">
        <f>J22*K22*M22</f>
        <v>0</v>
      </c>
    </row>
    <row r="23" spans="1:15" s="442" customFormat="1">
      <c r="B23" s="442" t="s">
        <v>2661</v>
      </c>
      <c r="C23" s="453">
        <v>3</v>
      </c>
      <c r="D23" s="453">
        <f>100+100+100</f>
        <v>300</v>
      </c>
      <c r="E23" s="1482">
        <f>D9</f>
        <v>0</v>
      </c>
      <c r="F23" s="453">
        <v>7860</v>
      </c>
      <c r="G23" s="442" t="s">
        <v>97</v>
      </c>
      <c r="H23" s="453">
        <f>C23/1000*D23/1000*E23/1000*F23</f>
        <v>0</v>
      </c>
      <c r="I23" s="453">
        <v>1.1499999999999999</v>
      </c>
      <c r="J23" s="453">
        <f>H23*I23</f>
        <v>0</v>
      </c>
      <c r="K23" s="1856">
        <v>2</v>
      </c>
      <c r="L23" s="453">
        <v>1</v>
      </c>
      <c r="M23" s="1857">
        <v>30000</v>
      </c>
      <c r="N23" s="1858">
        <f>H23*K23*L23</f>
        <v>0</v>
      </c>
      <c r="O23" s="1857">
        <f>J23*K23*M23</f>
        <v>0</v>
      </c>
    </row>
    <row r="24" spans="1:15" s="442" customFormat="1">
      <c r="A24" s="1859"/>
      <c r="B24" s="1859" t="s">
        <v>2662</v>
      </c>
      <c r="C24" s="1860">
        <v>2</v>
      </c>
      <c r="D24" s="1860">
        <f>180+40+40</f>
        <v>260</v>
      </c>
      <c r="E24" s="1861">
        <f>D9</f>
        <v>0</v>
      </c>
      <c r="F24" s="1860">
        <v>7860</v>
      </c>
      <c r="G24" s="1859" t="s">
        <v>97</v>
      </c>
      <c r="H24" s="1860">
        <f>C24/1000*D24/1000*E24/1000*F24</f>
        <v>0</v>
      </c>
      <c r="I24" s="1860">
        <v>1.1499999999999999</v>
      </c>
      <c r="J24" s="1860">
        <f>H24*I24</f>
        <v>0</v>
      </c>
      <c r="K24" s="1862">
        <v>2</v>
      </c>
      <c r="L24" s="1860">
        <v>1</v>
      </c>
      <c r="M24" s="1863">
        <v>30000</v>
      </c>
      <c r="N24" s="1864">
        <f>H24*K24*L24</f>
        <v>0</v>
      </c>
      <c r="O24" s="1863">
        <f>J24*K24*M24</f>
        <v>0</v>
      </c>
    </row>
    <row r="25" spans="1:15">
      <c r="N25" s="1865">
        <f>SUM(N18:N24)</f>
        <v>66.072732000000002</v>
      </c>
      <c r="O25" s="1866">
        <f>SUM(O18:O24)</f>
        <v>2279509.2539999997</v>
      </c>
    </row>
    <row r="26" spans="1:15">
      <c r="N26" s="368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C2D5-8D43-4709-B43E-8673B112BD3D}">
  <dimension ref="A1:Q99"/>
  <sheetViews>
    <sheetView zoomScale="99" zoomScaleNormal="99" workbookViewId="0">
      <selection activeCell="I8" sqref="I8"/>
    </sheetView>
  </sheetViews>
  <sheetFormatPr defaultColWidth="9.140625" defaultRowHeight="14.25" outlineLevelRow="1"/>
  <cols>
    <col min="1" max="1" width="12.140625" style="368" bestFit="1" customWidth="1"/>
    <col min="2" max="2" width="57.28515625" style="368" bestFit="1" customWidth="1"/>
    <col min="3" max="3" width="5.5703125" style="1846" bestFit="1" customWidth="1"/>
    <col min="4" max="4" width="9.140625" style="1846" customWidth="1"/>
    <col min="5" max="5" width="6.28515625" style="368" bestFit="1" customWidth="1"/>
    <col min="6" max="6" width="8.85546875" style="1846" customWidth="1"/>
    <col min="7" max="7" width="4.7109375" style="368" bestFit="1" customWidth="1"/>
    <col min="8" max="8" width="6.42578125" style="1846" bestFit="1" customWidth="1"/>
    <col min="9" max="9" width="6.140625" style="1846" bestFit="1" customWidth="1"/>
    <col min="10" max="10" width="6.7109375" style="368" customWidth="1"/>
    <col min="11" max="11" width="4.42578125" style="1477" bestFit="1" customWidth="1"/>
    <col min="12" max="12" width="8.42578125" style="1846" bestFit="1" customWidth="1"/>
    <col min="13" max="13" width="9.28515625" style="1847" bestFit="1" customWidth="1"/>
    <col min="14" max="14" width="10.28515625" style="1481" bestFit="1" customWidth="1"/>
    <col min="15" max="15" width="14.140625" style="1847" bestFit="1" customWidth="1"/>
    <col min="16" max="19" width="9.140625" style="368"/>
    <col min="20" max="20" width="2.7109375" style="368" bestFit="1" customWidth="1"/>
    <col min="21" max="21" width="5" style="368" bestFit="1" customWidth="1"/>
    <col min="22" max="16384" width="9.140625" style="368"/>
  </cols>
  <sheetData>
    <row r="1" spans="2:17">
      <c r="B1" s="368" t="s">
        <v>2876</v>
      </c>
      <c r="C1" s="1845" t="s">
        <v>19</v>
      </c>
      <c r="D1" s="1845" t="s">
        <v>21</v>
      </c>
      <c r="E1" s="1786" t="s">
        <v>20</v>
      </c>
      <c r="O1" s="368"/>
    </row>
    <row r="2" spans="2:17">
      <c r="B2" s="1848" t="s">
        <v>2643</v>
      </c>
      <c r="C2" s="1849">
        <v>1420</v>
      </c>
      <c r="D2" s="1849">
        <v>1930</v>
      </c>
      <c r="E2" s="1849">
        <v>1625</v>
      </c>
      <c r="G2" s="1846" t="s">
        <v>1193</v>
      </c>
      <c r="H2" s="1846" t="s">
        <v>2644</v>
      </c>
      <c r="I2" s="368">
        <f>I3*1000</f>
        <v>1444.4444444444443</v>
      </c>
      <c r="K2" s="1477" t="s">
        <v>1433</v>
      </c>
      <c r="L2" s="1846" t="s">
        <v>1152</v>
      </c>
      <c r="M2" s="1847">
        <v>148.55000000000001</v>
      </c>
      <c r="O2" s="368" t="s">
        <v>2874</v>
      </c>
    </row>
    <row r="3" spans="2:17">
      <c r="B3" s="1848" t="s">
        <v>2645</v>
      </c>
      <c r="C3" s="1849"/>
      <c r="D3" s="1849"/>
      <c r="E3" s="1849"/>
      <c r="G3" s="1846"/>
      <c r="H3" s="368" t="s">
        <v>2646</v>
      </c>
      <c r="I3" s="368">
        <f>I4/3600</f>
        <v>1.4444444444444444</v>
      </c>
      <c r="L3" s="1846" t="s">
        <v>2647</v>
      </c>
      <c r="M3" s="1850">
        <f>M2*3412</f>
        <v>506852.60000000003</v>
      </c>
      <c r="O3" s="368"/>
    </row>
    <row r="4" spans="2:17">
      <c r="C4" s="1849"/>
      <c r="D4" s="1849"/>
      <c r="G4" s="1846"/>
      <c r="H4" s="1846" t="s">
        <v>1153</v>
      </c>
      <c r="I4" s="1847">
        <v>5200</v>
      </c>
      <c r="L4" s="1846" t="s">
        <v>8</v>
      </c>
      <c r="M4" s="1847">
        <f>M3/10000</f>
        <v>50.685260000000007</v>
      </c>
      <c r="O4" s="368"/>
    </row>
    <row r="5" spans="2:17">
      <c r="C5" s="1849"/>
      <c r="D5" s="1849"/>
      <c r="G5" s="1846"/>
      <c r="H5" s="1846" t="s">
        <v>2648</v>
      </c>
      <c r="I5" s="1849">
        <f>I4/1.699</f>
        <v>3060.6238964096528</v>
      </c>
      <c r="K5" s="1477" t="s">
        <v>2649</v>
      </c>
      <c r="L5" s="1846" t="s">
        <v>1152</v>
      </c>
      <c r="M5" s="1847">
        <v>93.55</v>
      </c>
      <c r="O5" s="368"/>
    </row>
    <row r="6" spans="2:17">
      <c r="C6" s="1849"/>
      <c r="D6" s="1849"/>
      <c r="G6" s="368" t="s">
        <v>1347</v>
      </c>
      <c r="H6" s="1846" t="s">
        <v>2644</v>
      </c>
      <c r="I6" s="368">
        <f>I7*1000</f>
        <v>4530.666666666667</v>
      </c>
      <c r="L6" s="1846" t="s">
        <v>2647</v>
      </c>
      <c r="M6" s="1850">
        <f>M5*3412</f>
        <v>319192.59999999998</v>
      </c>
      <c r="O6" s="368"/>
    </row>
    <row r="7" spans="2:17">
      <c r="B7" s="1851"/>
      <c r="C7" s="1852"/>
      <c r="D7" s="1852"/>
      <c r="E7" s="1851"/>
      <c r="H7" s="368" t="s">
        <v>2646</v>
      </c>
      <c r="I7" s="368">
        <f>I8/3600</f>
        <v>4.5306666666666668</v>
      </c>
      <c r="L7" s="1846" t="s">
        <v>8</v>
      </c>
      <c r="M7" s="1847">
        <f>M6/10000</f>
        <v>31.919259999999998</v>
      </c>
      <c r="O7" s="1846"/>
      <c r="P7" s="1846"/>
    </row>
    <row r="8" spans="2:17">
      <c r="B8" s="368" t="s">
        <v>2650</v>
      </c>
      <c r="C8" s="1849"/>
      <c r="D8" s="1849">
        <f>D2</f>
        <v>1930</v>
      </c>
      <c r="E8" s="1849">
        <f>E2</f>
        <v>1625</v>
      </c>
      <c r="H8" s="1846" t="s">
        <v>1153</v>
      </c>
      <c r="I8" s="368">
        <f>I9*1.699</f>
        <v>16310.400000000001</v>
      </c>
      <c r="O8" s="1846"/>
    </row>
    <row r="9" spans="2:17">
      <c r="B9" s="368" t="s">
        <v>2651</v>
      </c>
      <c r="C9" s="1849"/>
      <c r="D9" s="1849">
        <f>D3</f>
        <v>0</v>
      </c>
      <c r="E9" s="1849">
        <f>E3</f>
        <v>0</v>
      </c>
      <c r="G9" s="1477"/>
      <c r="H9" s="1846" t="s">
        <v>2648</v>
      </c>
      <c r="I9" s="1849">
        <v>9600</v>
      </c>
      <c r="O9" s="1846"/>
      <c r="P9" s="1846"/>
    </row>
    <row r="10" spans="2:17">
      <c r="C10" s="1849"/>
      <c r="D10" s="1849"/>
      <c r="G10" s="1477"/>
      <c r="I10" s="1849"/>
      <c r="O10" s="1846"/>
      <c r="P10" s="1846"/>
      <c r="Q10" s="1849"/>
    </row>
    <row r="11" spans="2:17">
      <c r="B11" s="1851"/>
      <c r="C11" s="1852"/>
      <c r="D11" s="1852"/>
      <c r="E11" s="1851"/>
      <c r="G11" s="1477"/>
      <c r="I11" s="1849"/>
      <c r="O11" s="368"/>
    </row>
    <row r="12" spans="2:17">
      <c r="B12" s="368" t="s">
        <v>2652</v>
      </c>
      <c r="C12" s="1849">
        <v>810</v>
      </c>
      <c r="D12" s="1849">
        <v>1100</v>
      </c>
      <c r="G12" s="1477"/>
      <c r="I12" s="1849"/>
      <c r="O12" s="368"/>
    </row>
    <row r="13" spans="2:17">
      <c r="B13" s="1851" t="s">
        <v>2653</v>
      </c>
      <c r="C13" s="1852">
        <v>310</v>
      </c>
      <c r="D13" s="1852">
        <v>800</v>
      </c>
      <c r="E13" s="1851"/>
      <c r="G13" s="1477"/>
      <c r="I13" s="1849"/>
      <c r="O13" s="368"/>
    </row>
    <row r="14" spans="2:17">
      <c r="B14" s="368" t="s">
        <v>2654</v>
      </c>
      <c r="C14" s="1849">
        <f>C2-100</f>
        <v>1320</v>
      </c>
      <c r="D14" s="1849">
        <f>D2-100</f>
        <v>1830</v>
      </c>
      <c r="G14" s="1477"/>
      <c r="I14" s="1849"/>
      <c r="O14" s="368"/>
    </row>
    <row r="15" spans="2:17">
      <c r="B15" s="368" t="s">
        <v>2655</v>
      </c>
      <c r="C15" s="1849">
        <f>C3-100</f>
        <v>-100</v>
      </c>
      <c r="D15" s="1849">
        <f>D3-100</f>
        <v>-100</v>
      </c>
      <c r="G15" s="1477"/>
      <c r="I15" s="1849"/>
      <c r="O15" s="368"/>
    </row>
    <row r="16" spans="2:17">
      <c r="C16" s="368"/>
      <c r="D16" s="368"/>
      <c r="G16" s="1477"/>
      <c r="I16" s="1849"/>
      <c r="O16" s="368"/>
    </row>
    <row r="17" spans="1:15">
      <c r="C17" s="1845" t="s">
        <v>1071</v>
      </c>
      <c r="D17" s="1845" t="s">
        <v>1072</v>
      </c>
      <c r="E17" s="1786" t="s">
        <v>21</v>
      </c>
      <c r="F17" s="1845" t="s">
        <v>1975</v>
      </c>
      <c r="G17" s="1786" t="s">
        <v>1085</v>
      </c>
      <c r="H17" s="1846" t="s">
        <v>2656</v>
      </c>
      <c r="I17" s="1845" t="s">
        <v>34</v>
      </c>
      <c r="J17" s="1845" t="s">
        <v>13</v>
      </c>
      <c r="K17" s="1479" t="s">
        <v>2657</v>
      </c>
      <c r="L17" s="1845" t="s">
        <v>2658</v>
      </c>
      <c r="M17" s="1853" t="s">
        <v>2659</v>
      </c>
      <c r="N17" s="1854" t="s">
        <v>97</v>
      </c>
      <c r="O17" s="1853" t="s">
        <v>115</v>
      </c>
    </row>
    <row r="18" spans="1:15" s="442" customFormat="1">
      <c r="A18" s="1855" t="str">
        <f>B2</f>
        <v>Section 1</v>
      </c>
      <c r="B18" s="442" t="s">
        <v>729</v>
      </c>
      <c r="C18" s="1867"/>
      <c r="D18" s="1867"/>
      <c r="E18" s="1868"/>
      <c r="F18" s="1869">
        <f>0.42476+0.15</f>
        <v>0.57476000000000005</v>
      </c>
      <c r="G18" s="1870" t="s">
        <v>100</v>
      </c>
      <c r="H18" s="453">
        <v>8</v>
      </c>
      <c r="I18" s="1869">
        <v>1</v>
      </c>
      <c r="J18" s="453">
        <f t="shared" ref="J18:J55" si="0">H18*I18</f>
        <v>8</v>
      </c>
      <c r="K18" s="1871">
        <v>1</v>
      </c>
      <c r="L18" s="1869">
        <f>F18</f>
        <v>0.57476000000000005</v>
      </c>
      <c r="M18" s="1872">
        <f>18.1*2*2500</f>
        <v>90500</v>
      </c>
      <c r="N18" s="1858">
        <f t="shared" ref="N18:N93" si="1">H18*K18*L18</f>
        <v>4.5980800000000004</v>
      </c>
      <c r="O18" s="1857">
        <f t="shared" ref="O18:O92" si="2">J18*K18*M18</f>
        <v>724000</v>
      </c>
    </row>
    <row r="19" spans="1:15" s="442" customFormat="1" outlineLevel="1">
      <c r="B19" s="442" t="s">
        <v>730</v>
      </c>
      <c r="C19" s="1867"/>
      <c r="D19" s="1867"/>
      <c r="E19" s="1868"/>
      <c r="F19" s="1869">
        <v>3.5999999999999997E-2</v>
      </c>
      <c r="G19" s="1870" t="s">
        <v>100</v>
      </c>
      <c r="H19" s="453">
        <v>8</v>
      </c>
      <c r="I19" s="1869">
        <v>1</v>
      </c>
      <c r="J19" s="453">
        <f t="shared" si="0"/>
        <v>8</v>
      </c>
      <c r="K19" s="1871">
        <v>1</v>
      </c>
      <c r="L19" s="1869">
        <f t="shared" ref="L19:L31" si="3">F19</f>
        <v>3.5999999999999997E-2</v>
      </c>
      <c r="M19" s="1872">
        <f>2.9*2*2500</f>
        <v>14500</v>
      </c>
      <c r="N19" s="1858">
        <f t="shared" si="1"/>
        <v>0.28799999999999998</v>
      </c>
      <c r="O19" s="1857">
        <f t="shared" si="2"/>
        <v>116000</v>
      </c>
    </row>
    <row r="20" spans="1:15" s="442" customFormat="1" outlineLevel="1">
      <c r="B20" s="442" t="s">
        <v>2663</v>
      </c>
      <c r="C20" s="453"/>
      <c r="D20" s="453"/>
      <c r="E20" s="1482">
        <f>C2</f>
        <v>1420</v>
      </c>
      <c r="F20" s="453">
        <f>11.596551724138/6</f>
        <v>1.9327586206896665</v>
      </c>
      <c r="G20" s="442" t="s">
        <v>1080</v>
      </c>
      <c r="H20" s="453">
        <f>E20/1000</f>
        <v>1.42</v>
      </c>
      <c r="I20" s="453">
        <v>1.05</v>
      </c>
      <c r="J20" s="453">
        <f t="shared" si="0"/>
        <v>1.4909999999999999</v>
      </c>
      <c r="K20" s="1871">
        <v>4</v>
      </c>
      <c r="L20" s="1869">
        <f t="shared" si="3"/>
        <v>1.9327586206896665</v>
      </c>
      <c r="M20" s="1857">
        <v>175000</v>
      </c>
      <c r="N20" s="1858">
        <f t="shared" si="1"/>
        <v>10.978068965517306</v>
      </c>
      <c r="O20" s="1857">
        <f t="shared" si="2"/>
        <v>1043699.9999999999</v>
      </c>
    </row>
    <row r="21" spans="1:15" s="442" customFormat="1" outlineLevel="1">
      <c r="B21" s="442" t="s">
        <v>2664</v>
      </c>
      <c r="C21" s="453"/>
      <c r="D21" s="453"/>
      <c r="E21" s="1482">
        <f>D2</f>
        <v>1930</v>
      </c>
      <c r="F21" s="453">
        <f>11.596551724138/6</f>
        <v>1.9327586206896665</v>
      </c>
      <c r="G21" s="442" t="s">
        <v>1080</v>
      </c>
      <c r="H21" s="453">
        <f t="shared" ref="H21:H43" si="4">E21/1000</f>
        <v>1.93</v>
      </c>
      <c r="I21" s="453">
        <v>1.05</v>
      </c>
      <c r="J21" s="453">
        <f t="shared" si="0"/>
        <v>2.0265</v>
      </c>
      <c r="K21" s="1871">
        <v>4</v>
      </c>
      <c r="L21" s="1869">
        <f t="shared" si="3"/>
        <v>1.9327586206896665</v>
      </c>
      <c r="M21" s="1857">
        <v>175000</v>
      </c>
      <c r="N21" s="1858">
        <f t="shared" si="1"/>
        <v>14.920896551724224</v>
      </c>
      <c r="O21" s="1857">
        <f t="shared" si="2"/>
        <v>1418550</v>
      </c>
    </row>
    <row r="22" spans="1:15" s="442" customFormat="1" outlineLevel="1">
      <c r="B22" s="1859" t="s">
        <v>2665</v>
      </c>
      <c r="C22" s="1860"/>
      <c r="D22" s="1860"/>
      <c r="E22" s="1861">
        <f>E2</f>
        <v>1625</v>
      </c>
      <c r="F22" s="1860">
        <f>11.596551724138/6</f>
        <v>1.9327586206896665</v>
      </c>
      <c r="G22" s="1859" t="s">
        <v>1080</v>
      </c>
      <c r="H22" s="453">
        <f t="shared" si="4"/>
        <v>1.625</v>
      </c>
      <c r="I22" s="1860">
        <v>1.05</v>
      </c>
      <c r="J22" s="1860">
        <f t="shared" si="0"/>
        <v>1.70625</v>
      </c>
      <c r="K22" s="1873">
        <v>4</v>
      </c>
      <c r="L22" s="1874">
        <f t="shared" si="3"/>
        <v>1.9327586206896665</v>
      </c>
      <c r="M22" s="1863">
        <v>175000</v>
      </c>
      <c r="N22" s="1864">
        <f t="shared" si="1"/>
        <v>12.562931034482833</v>
      </c>
      <c r="O22" s="1863">
        <f t="shared" si="2"/>
        <v>1194375</v>
      </c>
    </row>
    <row r="23" spans="1:15" s="442" customFormat="1" outlineLevel="1">
      <c r="B23" s="442" t="s">
        <v>2666</v>
      </c>
      <c r="C23" s="453"/>
      <c r="D23" s="453"/>
      <c r="E23" s="1482">
        <f>E20</f>
        <v>1420</v>
      </c>
      <c r="F23" s="453">
        <f>8.094/6</f>
        <v>1.349</v>
      </c>
      <c r="G23" s="442" t="s">
        <v>1080</v>
      </c>
      <c r="H23" s="453">
        <f t="shared" si="4"/>
        <v>1.42</v>
      </c>
      <c r="I23" s="453">
        <v>1.05</v>
      </c>
      <c r="J23" s="453">
        <f t="shared" si="0"/>
        <v>1.4909999999999999</v>
      </c>
      <c r="K23" s="1871">
        <v>2</v>
      </c>
      <c r="L23" s="1869">
        <f t="shared" si="3"/>
        <v>1.349</v>
      </c>
      <c r="M23" s="1857">
        <v>132000</v>
      </c>
      <c r="N23" s="1858">
        <f t="shared" si="1"/>
        <v>3.8311599999999997</v>
      </c>
      <c r="O23" s="1857">
        <f t="shared" si="2"/>
        <v>393623.99999999994</v>
      </c>
    </row>
    <row r="24" spans="1:15" s="442" customFormat="1" outlineLevel="1">
      <c r="B24" s="442" t="s">
        <v>2667</v>
      </c>
      <c r="C24" s="453"/>
      <c r="D24" s="453"/>
      <c r="E24" s="1482">
        <f>E21</f>
        <v>1930</v>
      </c>
      <c r="F24" s="453">
        <f>8.094/6</f>
        <v>1.349</v>
      </c>
      <c r="G24" s="442" t="s">
        <v>1080</v>
      </c>
      <c r="H24" s="453">
        <f t="shared" si="4"/>
        <v>1.93</v>
      </c>
      <c r="I24" s="453">
        <v>1.05</v>
      </c>
      <c r="J24" s="453">
        <f t="shared" si="0"/>
        <v>2.0265</v>
      </c>
      <c r="K24" s="1871">
        <v>2</v>
      </c>
      <c r="L24" s="1869">
        <f t="shared" si="3"/>
        <v>1.349</v>
      </c>
      <c r="M24" s="1857">
        <v>132000</v>
      </c>
      <c r="N24" s="1858">
        <f t="shared" si="1"/>
        <v>5.2071399999999999</v>
      </c>
      <c r="O24" s="1857">
        <f t="shared" si="2"/>
        <v>534996</v>
      </c>
    </row>
    <row r="25" spans="1:15" s="442" customFormat="1" outlineLevel="1">
      <c r="B25" s="1859" t="s">
        <v>2668</v>
      </c>
      <c r="C25" s="1860"/>
      <c r="D25" s="1860"/>
      <c r="E25" s="1861">
        <f>E22</f>
        <v>1625</v>
      </c>
      <c r="F25" s="1860">
        <f>8.094/6</f>
        <v>1.349</v>
      </c>
      <c r="G25" s="1859" t="s">
        <v>1080</v>
      </c>
      <c r="H25" s="453">
        <f t="shared" si="4"/>
        <v>1.625</v>
      </c>
      <c r="I25" s="1860">
        <v>1.05</v>
      </c>
      <c r="J25" s="1860">
        <f t="shared" si="0"/>
        <v>1.70625</v>
      </c>
      <c r="K25" s="1873">
        <v>2</v>
      </c>
      <c r="L25" s="1874">
        <f t="shared" si="3"/>
        <v>1.349</v>
      </c>
      <c r="M25" s="1863">
        <v>132000</v>
      </c>
      <c r="N25" s="1864">
        <f t="shared" si="1"/>
        <v>4.3842499999999998</v>
      </c>
      <c r="O25" s="1863">
        <f t="shared" si="2"/>
        <v>450450</v>
      </c>
    </row>
    <row r="26" spans="1:15" s="442" customFormat="1" outlineLevel="1">
      <c r="B26" s="442" t="s">
        <v>2669</v>
      </c>
      <c r="C26" s="453"/>
      <c r="D26" s="453"/>
      <c r="E26" s="1482">
        <f t="shared" ref="E26:E31" si="5">E20</f>
        <v>1420</v>
      </c>
      <c r="F26" s="453">
        <v>0.22700000000000001</v>
      </c>
      <c r="G26" s="442" t="s">
        <v>1080</v>
      </c>
      <c r="H26" s="453">
        <f t="shared" si="4"/>
        <v>1.42</v>
      </c>
      <c r="I26" s="453">
        <v>1.05</v>
      </c>
      <c r="J26" s="453">
        <f t="shared" si="0"/>
        <v>1.4909999999999999</v>
      </c>
      <c r="K26" s="1871">
        <f>K20*2</f>
        <v>8</v>
      </c>
      <c r="L26" s="1869">
        <f t="shared" si="3"/>
        <v>0.22700000000000001</v>
      </c>
      <c r="M26" s="1857">
        <f t="shared" ref="M26:M31" si="6">4.48333333333333/4.1*1.35*16500</f>
        <v>24357.621951219498</v>
      </c>
      <c r="N26" s="1858">
        <f t="shared" si="1"/>
        <v>2.5787200000000001</v>
      </c>
      <c r="O26" s="1857">
        <f t="shared" si="2"/>
        <v>290537.71463414613</v>
      </c>
    </row>
    <row r="27" spans="1:15" s="442" customFormat="1" outlineLevel="1">
      <c r="B27" s="442" t="s">
        <v>2670</v>
      </c>
      <c r="C27" s="453"/>
      <c r="D27" s="453"/>
      <c r="E27" s="1482">
        <f t="shared" si="5"/>
        <v>1930</v>
      </c>
      <c r="F27" s="453">
        <v>0.22700000000000001</v>
      </c>
      <c r="G27" s="442" t="s">
        <v>1080</v>
      </c>
      <c r="H27" s="453">
        <f t="shared" si="4"/>
        <v>1.93</v>
      </c>
      <c r="I27" s="453">
        <v>1.05</v>
      </c>
      <c r="J27" s="453">
        <f t="shared" si="0"/>
        <v>2.0265</v>
      </c>
      <c r="K27" s="1871">
        <f t="shared" ref="K27:K31" si="7">K21*2</f>
        <v>8</v>
      </c>
      <c r="L27" s="1869">
        <f t="shared" si="3"/>
        <v>0.22700000000000001</v>
      </c>
      <c r="M27" s="1857">
        <f t="shared" si="6"/>
        <v>24357.621951219498</v>
      </c>
      <c r="N27" s="1858">
        <f t="shared" si="1"/>
        <v>3.50488</v>
      </c>
      <c r="O27" s="1857">
        <f t="shared" si="2"/>
        <v>394885.76707317051</v>
      </c>
    </row>
    <row r="28" spans="1:15" s="442" customFormat="1" outlineLevel="1">
      <c r="B28" s="442" t="s">
        <v>2671</v>
      </c>
      <c r="C28" s="453"/>
      <c r="D28" s="453"/>
      <c r="E28" s="1482">
        <f t="shared" si="5"/>
        <v>1625</v>
      </c>
      <c r="F28" s="453">
        <v>0.22700000000000001</v>
      </c>
      <c r="G28" s="442" t="s">
        <v>1080</v>
      </c>
      <c r="H28" s="453">
        <f t="shared" si="4"/>
        <v>1.625</v>
      </c>
      <c r="I28" s="453">
        <v>1.05</v>
      </c>
      <c r="J28" s="453">
        <f t="shared" si="0"/>
        <v>1.70625</v>
      </c>
      <c r="K28" s="1871">
        <f t="shared" si="7"/>
        <v>8</v>
      </c>
      <c r="L28" s="1869">
        <f t="shared" si="3"/>
        <v>0.22700000000000001</v>
      </c>
      <c r="M28" s="1857">
        <f t="shared" si="6"/>
        <v>24357.621951219498</v>
      </c>
      <c r="N28" s="1858">
        <f t="shared" si="1"/>
        <v>2.9510000000000001</v>
      </c>
      <c r="O28" s="1857">
        <f t="shared" si="2"/>
        <v>332481.53963414615</v>
      </c>
    </row>
    <row r="29" spans="1:15" s="442" customFormat="1" outlineLevel="1">
      <c r="B29" s="442" t="s">
        <v>2672</v>
      </c>
      <c r="C29" s="453"/>
      <c r="D29" s="453"/>
      <c r="E29" s="1482">
        <f t="shared" si="5"/>
        <v>1420</v>
      </c>
      <c r="F29" s="453">
        <v>0.22700000000000001</v>
      </c>
      <c r="G29" s="442" t="s">
        <v>1080</v>
      </c>
      <c r="H29" s="453">
        <f t="shared" si="4"/>
        <v>1.42</v>
      </c>
      <c r="I29" s="453">
        <v>1.05</v>
      </c>
      <c r="J29" s="453">
        <f t="shared" si="0"/>
        <v>1.4909999999999999</v>
      </c>
      <c r="K29" s="1871">
        <f t="shared" si="7"/>
        <v>4</v>
      </c>
      <c r="L29" s="1869">
        <f t="shared" si="3"/>
        <v>0.22700000000000001</v>
      </c>
      <c r="M29" s="1857">
        <f t="shared" si="6"/>
        <v>24357.621951219498</v>
      </c>
      <c r="N29" s="1858">
        <f t="shared" si="1"/>
        <v>1.2893600000000001</v>
      </c>
      <c r="O29" s="1857">
        <f t="shared" si="2"/>
        <v>145268.85731707307</v>
      </c>
    </row>
    <row r="30" spans="1:15" s="442" customFormat="1" outlineLevel="1">
      <c r="B30" s="442" t="s">
        <v>2673</v>
      </c>
      <c r="C30" s="453"/>
      <c r="D30" s="453"/>
      <c r="E30" s="1482">
        <f t="shared" si="5"/>
        <v>1930</v>
      </c>
      <c r="F30" s="453">
        <v>0.22700000000000001</v>
      </c>
      <c r="G30" s="442" t="s">
        <v>1080</v>
      </c>
      <c r="H30" s="453">
        <f t="shared" si="4"/>
        <v>1.93</v>
      </c>
      <c r="I30" s="453">
        <v>1.05</v>
      </c>
      <c r="J30" s="453">
        <f t="shared" si="0"/>
        <v>2.0265</v>
      </c>
      <c r="K30" s="1871">
        <f t="shared" si="7"/>
        <v>4</v>
      </c>
      <c r="L30" s="1869">
        <f t="shared" si="3"/>
        <v>0.22700000000000001</v>
      </c>
      <c r="M30" s="1857">
        <f t="shared" si="6"/>
        <v>24357.621951219498</v>
      </c>
      <c r="N30" s="1858">
        <f t="shared" si="1"/>
        <v>1.75244</v>
      </c>
      <c r="O30" s="1857">
        <f t="shared" si="2"/>
        <v>197442.88353658526</v>
      </c>
    </row>
    <row r="31" spans="1:15" s="442" customFormat="1" outlineLevel="1">
      <c r="B31" s="1859" t="s">
        <v>2674</v>
      </c>
      <c r="C31" s="1860"/>
      <c r="D31" s="1860"/>
      <c r="E31" s="1861">
        <f t="shared" si="5"/>
        <v>1625</v>
      </c>
      <c r="F31" s="1860">
        <v>0.22700000000000001</v>
      </c>
      <c r="G31" s="1859" t="s">
        <v>1080</v>
      </c>
      <c r="H31" s="453">
        <f t="shared" si="4"/>
        <v>1.625</v>
      </c>
      <c r="I31" s="1860">
        <v>1.05</v>
      </c>
      <c r="J31" s="1860">
        <f t="shared" si="0"/>
        <v>1.70625</v>
      </c>
      <c r="K31" s="1871">
        <f t="shared" si="7"/>
        <v>4</v>
      </c>
      <c r="L31" s="1874">
        <f t="shared" si="3"/>
        <v>0.22700000000000001</v>
      </c>
      <c r="M31" s="1863">
        <f t="shared" si="6"/>
        <v>24357.621951219498</v>
      </c>
      <c r="N31" s="1864">
        <f t="shared" si="1"/>
        <v>1.4755</v>
      </c>
      <c r="O31" s="1863">
        <f t="shared" si="2"/>
        <v>166240.76981707307</v>
      </c>
    </row>
    <row r="32" spans="1:15" s="442" customFormat="1" outlineLevel="1">
      <c r="B32" s="442" t="s">
        <v>2675</v>
      </c>
      <c r="C32" s="453"/>
      <c r="D32" s="453"/>
      <c r="E32" s="1482">
        <f t="shared" ref="E32:E43" si="8">E20</f>
        <v>1420</v>
      </c>
      <c r="F32" s="1875">
        <v>1.3499999999999999E-3</v>
      </c>
      <c r="G32" s="442" t="s">
        <v>1080</v>
      </c>
      <c r="H32" s="453">
        <f t="shared" si="4"/>
        <v>1.42</v>
      </c>
      <c r="I32" s="453">
        <v>1.05</v>
      </c>
      <c r="J32" s="453">
        <f t="shared" si="0"/>
        <v>1.4909999999999999</v>
      </c>
      <c r="K32" s="1856">
        <f>K26</f>
        <v>8</v>
      </c>
      <c r="L32" s="1869">
        <f>J32*K32</f>
        <v>11.927999999999999</v>
      </c>
      <c r="M32" s="1857">
        <f t="shared" ref="M32:M37" si="9">4.6/4.1*1.35*16500</f>
        <v>24991.463414634149</v>
      </c>
      <c r="N32" s="1858">
        <f t="shared" si="1"/>
        <v>135.50207999999998</v>
      </c>
      <c r="O32" s="1857">
        <f t="shared" si="2"/>
        <v>298098.17560975609</v>
      </c>
    </row>
    <row r="33" spans="2:15" s="442" customFormat="1" outlineLevel="1">
      <c r="B33" s="442" t="s">
        <v>2676</v>
      </c>
      <c r="C33" s="453"/>
      <c r="D33" s="453"/>
      <c r="E33" s="1482">
        <f t="shared" si="8"/>
        <v>1930</v>
      </c>
      <c r="F33" s="1875">
        <v>1.3499999999999999E-3</v>
      </c>
      <c r="G33" s="442" t="s">
        <v>1080</v>
      </c>
      <c r="H33" s="453">
        <f t="shared" si="4"/>
        <v>1.93</v>
      </c>
      <c r="I33" s="453">
        <v>1.05</v>
      </c>
      <c r="J33" s="453">
        <f t="shared" si="0"/>
        <v>2.0265</v>
      </c>
      <c r="K33" s="1856">
        <f t="shared" ref="K33:K37" si="10">K27</f>
        <v>8</v>
      </c>
      <c r="L33" s="1869">
        <f t="shared" ref="L33:L37" si="11">J33*K33</f>
        <v>16.212</v>
      </c>
      <c r="M33" s="1857">
        <f t="shared" si="9"/>
        <v>24991.463414634149</v>
      </c>
      <c r="N33" s="1858">
        <f t="shared" si="1"/>
        <v>250.31327999999999</v>
      </c>
      <c r="O33" s="1857">
        <f t="shared" si="2"/>
        <v>405161.60487804882</v>
      </c>
    </row>
    <row r="34" spans="2:15" s="442" customFormat="1" outlineLevel="1">
      <c r="B34" s="442" t="s">
        <v>2677</v>
      </c>
      <c r="C34" s="453"/>
      <c r="D34" s="453"/>
      <c r="E34" s="1482">
        <f t="shared" si="8"/>
        <v>1625</v>
      </c>
      <c r="F34" s="1875">
        <v>1.3499999999999999E-3</v>
      </c>
      <c r="G34" s="442" t="s">
        <v>1080</v>
      </c>
      <c r="H34" s="453">
        <f t="shared" si="4"/>
        <v>1.625</v>
      </c>
      <c r="I34" s="453">
        <v>1.05</v>
      </c>
      <c r="J34" s="453">
        <f t="shared" si="0"/>
        <v>1.70625</v>
      </c>
      <c r="K34" s="1856">
        <f t="shared" si="10"/>
        <v>8</v>
      </c>
      <c r="L34" s="1869">
        <f t="shared" si="11"/>
        <v>13.65</v>
      </c>
      <c r="M34" s="1857">
        <f t="shared" si="9"/>
        <v>24991.463414634149</v>
      </c>
      <c r="N34" s="1858">
        <f t="shared" si="1"/>
        <v>177.45000000000002</v>
      </c>
      <c r="O34" s="1857">
        <f t="shared" si="2"/>
        <v>341133.47560975613</v>
      </c>
    </row>
    <row r="35" spans="2:15" s="442" customFormat="1" outlineLevel="1">
      <c r="B35" s="442" t="s">
        <v>2678</v>
      </c>
      <c r="C35" s="453"/>
      <c r="D35" s="453"/>
      <c r="E35" s="1482">
        <f t="shared" si="8"/>
        <v>1420</v>
      </c>
      <c r="F35" s="1875">
        <v>1.3499999999999999E-3</v>
      </c>
      <c r="G35" s="442" t="s">
        <v>1080</v>
      </c>
      <c r="H35" s="453">
        <f t="shared" si="4"/>
        <v>1.42</v>
      </c>
      <c r="I35" s="453">
        <v>1.05</v>
      </c>
      <c r="J35" s="453">
        <f t="shared" si="0"/>
        <v>1.4909999999999999</v>
      </c>
      <c r="K35" s="1856">
        <f t="shared" si="10"/>
        <v>4</v>
      </c>
      <c r="L35" s="1869">
        <f t="shared" si="11"/>
        <v>5.9639999999999995</v>
      </c>
      <c r="M35" s="1857">
        <f t="shared" si="9"/>
        <v>24991.463414634149</v>
      </c>
      <c r="N35" s="1858">
        <f t="shared" si="1"/>
        <v>33.875519999999995</v>
      </c>
      <c r="O35" s="1857">
        <f t="shared" si="2"/>
        <v>149049.08780487804</v>
      </c>
    </row>
    <row r="36" spans="2:15" s="442" customFormat="1" outlineLevel="1">
      <c r="B36" s="442" t="s">
        <v>2679</v>
      </c>
      <c r="C36" s="453"/>
      <c r="D36" s="453"/>
      <c r="E36" s="1482">
        <f t="shared" si="8"/>
        <v>1930</v>
      </c>
      <c r="F36" s="1875">
        <v>1.3499999999999999E-3</v>
      </c>
      <c r="G36" s="442" t="s">
        <v>1080</v>
      </c>
      <c r="H36" s="453">
        <f t="shared" si="4"/>
        <v>1.93</v>
      </c>
      <c r="I36" s="453">
        <v>1.05</v>
      </c>
      <c r="J36" s="453">
        <f t="shared" si="0"/>
        <v>2.0265</v>
      </c>
      <c r="K36" s="1856">
        <f t="shared" si="10"/>
        <v>4</v>
      </c>
      <c r="L36" s="1869">
        <f t="shared" si="11"/>
        <v>8.1059999999999999</v>
      </c>
      <c r="M36" s="1857">
        <f t="shared" si="9"/>
        <v>24991.463414634149</v>
      </c>
      <c r="N36" s="1858">
        <f t="shared" si="1"/>
        <v>62.578319999999998</v>
      </c>
      <c r="O36" s="1857">
        <f t="shared" si="2"/>
        <v>202580.80243902441</v>
      </c>
    </row>
    <row r="37" spans="2:15" s="442" customFormat="1" outlineLevel="1">
      <c r="B37" s="1859" t="s">
        <v>2680</v>
      </c>
      <c r="C37" s="1860"/>
      <c r="D37" s="1860"/>
      <c r="E37" s="1861">
        <f t="shared" si="8"/>
        <v>1625</v>
      </c>
      <c r="F37" s="1876">
        <v>1.3499999999999999E-3</v>
      </c>
      <c r="G37" s="1859" t="s">
        <v>1080</v>
      </c>
      <c r="H37" s="453">
        <f t="shared" si="4"/>
        <v>1.625</v>
      </c>
      <c r="I37" s="1860">
        <v>1.05</v>
      </c>
      <c r="J37" s="1860">
        <f t="shared" si="0"/>
        <v>1.70625</v>
      </c>
      <c r="K37" s="1856">
        <f t="shared" si="10"/>
        <v>4</v>
      </c>
      <c r="L37" s="1869">
        <f t="shared" si="11"/>
        <v>6.8250000000000002</v>
      </c>
      <c r="M37" s="1863">
        <f t="shared" si="9"/>
        <v>24991.463414634149</v>
      </c>
      <c r="N37" s="1864">
        <f t="shared" si="1"/>
        <v>44.362500000000004</v>
      </c>
      <c r="O37" s="1863">
        <f t="shared" si="2"/>
        <v>170566.73780487807</v>
      </c>
    </row>
    <row r="38" spans="2:15" s="442" customFormat="1" outlineLevel="1">
      <c r="B38" s="442" t="s">
        <v>2868</v>
      </c>
      <c r="C38" s="453"/>
      <c r="D38" s="453"/>
      <c r="E38" s="1482">
        <f t="shared" si="8"/>
        <v>1420</v>
      </c>
      <c r="F38" s="1875">
        <v>1.3499999999999999E-3</v>
      </c>
      <c r="G38" s="442" t="s">
        <v>1080</v>
      </c>
      <c r="H38" s="453">
        <f t="shared" si="4"/>
        <v>1.42</v>
      </c>
      <c r="I38" s="453">
        <v>1.05</v>
      </c>
      <c r="J38" s="453">
        <f t="shared" si="0"/>
        <v>1.4909999999999999</v>
      </c>
      <c r="K38" s="1856">
        <f>K32</f>
        <v>8</v>
      </c>
      <c r="L38" s="1869">
        <f>J38*K38</f>
        <v>11.927999999999999</v>
      </c>
      <c r="M38" s="1857">
        <v>9000</v>
      </c>
      <c r="N38" s="1858">
        <f t="shared" si="1"/>
        <v>135.50207999999998</v>
      </c>
      <c r="O38" s="1857">
        <f t="shared" si="2"/>
        <v>107351.99999999999</v>
      </c>
    </row>
    <row r="39" spans="2:15" s="442" customFormat="1" outlineLevel="1">
      <c r="B39" s="442" t="s">
        <v>2869</v>
      </c>
      <c r="C39" s="453"/>
      <c r="D39" s="453"/>
      <c r="E39" s="1482">
        <f t="shared" si="8"/>
        <v>1930</v>
      </c>
      <c r="F39" s="1875">
        <v>1.3499999999999999E-3</v>
      </c>
      <c r="G39" s="442" t="s">
        <v>1080</v>
      </c>
      <c r="H39" s="453">
        <f t="shared" si="4"/>
        <v>1.93</v>
      </c>
      <c r="I39" s="453">
        <v>1.05</v>
      </c>
      <c r="J39" s="453">
        <f t="shared" si="0"/>
        <v>2.0265</v>
      </c>
      <c r="K39" s="1856">
        <f t="shared" ref="K39:K43" si="12">K33</f>
        <v>8</v>
      </c>
      <c r="L39" s="1869">
        <f t="shared" ref="L39:L43" si="13">J39*K39</f>
        <v>16.212</v>
      </c>
      <c r="M39" s="1857">
        <v>9000</v>
      </c>
      <c r="N39" s="1858">
        <f t="shared" si="1"/>
        <v>250.31327999999999</v>
      </c>
      <c r="O39" s="1857">
        <f t="shared" si="2"/>
        <v>145908</v>
      </c>
    </row>
    <row r="40" spans="2:15" s="442" customFormat="1" outlineLevel="1">
      <c r="B40" s="442" t="s">
        <v>2870</v>
      </c>
      <c r="C40" s="453"/>
      <c r="D40" s="453"/>
      <c r="E40" s="1482">
        <f t="shared" si="8"/>
        <v>1625</v>
      </c>
      <c r="F40" s="1875">
        <v>1.3499999999999999E-3</v>
      </c>
      <c r="G40" s="442" t="s">
        <v>1080</v>
      </c>
      <c r="H40" s="453">
        <f t="shared" si="4"/>
        <v>1.625</v>
      </c>
      <c r="I40" s="453">
        <v>1.05</v>
      </c>
      <c r="J40" s="453">
        <f t="shared" si="0"/>
        <v>1.70625</v>
      </c>
      <c r="K40" s="1856">
        <f t="shared" si="12"/>
        <v>8</v>
      </c>
      <c r="L40" s="1869">
        <f t="shared" si="13"/>
        <v>13.65</v>
      </c>
      <c r="M40" s="1857">
        <v>9000</v>
      </c>
      <c r="N40" s="1858">
        <f t="shared" si="1"/>
        <v>177.45000000000002</v>
      </c>
      <c r="O40" s="1857">
        <f t="shared" si="2"/>
        <v>122850</v>
      </c>
    </row>
    <row r="41" spans="2:15" s="442" customFormat="1" outlineLevel="1">
      <c r="B41" s="442" t="s">
        <v>2871</v>
      </c>
      <c r="C41" s="453"/>
      <c r="D41" s="453"/>
      <c r="E41" s="1482">
        <f t="shared" si="8"/>
        <v>1420</v>
      </c>
      <c r="F41" s="1875">
        <v>1.3499999999999999E-3</v>
      </c>
      <c r="G41" s="442" t="s">
        <v>1080</v>
      </c>
      <c r="H41" s="453">
        <f t="shared" si="4"/>
        <v>1.42</v>
      </c>
      <c r="I41" s="453">
        <v>1.05</v>
      </c>
      <c r="J41" s="453">
        <f t="shared" si="0"/>
        <v>1.4909999999999999</v>
      </c>
      <c r="K41" s="1856">
        <f t="shared" si="12"/>
        <v>4</v>
      </c>
      <c r="L41" s="1869">
        <f t="shared" si="13"/>
        <v>5.9639999999999995</v>
      </c>
      <c r="M41" s="1857">
        <v>9000</v>
      </c>
      <c r="N41" s="1858">
        <f t="shared" si="1"/>
        <v>33.875519999999995</v>
      </c>
      <c r="O41" s="1857">
        <f t="shared" si="2"/>
        <v>53675.999999999993</v>
      </c>
    </row>
    <row r="42" spans="2:15" s="442" customFormat="1" outlineLevel="1">
      <c r="B42" s="442" t="s">
        <v>2872</v>
      </c>
      <c r="C42" s="453"/>
      <c r="D42" s="453"/>
      <c r="E42" s="1482">
        <f t="shared" si="8"/>
        <v>1930</v>
      </c>
      <c r="F42" s="1875">
        <v>1.3499999999999999E-3</v>
      </c>
      <c r="G42" s="442" t="s">
        <v>1080</v>
      </c>
      <c r="H42" s="453">
        <f t="shared" si="4"/>
        <v>1.93</v>
      </c>
      <c r="I42" s="453">
        <v>1.05</v>
      </c>
      <c r="J42" s="453">
        <f t="shared" si="0"/>
        <v>2.0265</v>
      </c>
      <c r="K42" s="1856">
        <f t="shared" si="12"/>
        <v>4</v>
      </c>
      <c r="L42" s="1869">
        <f t="shared" si="13"/>
        <v>8.1059999999999999</v>
      </c>
      <c r="M42" s="1857">
        <v>9000</v>
      </c>
      <c r="N42" s="1858">
        <f t="shared" si="1"/>
        <v>62.578319999999998</v>
      </c>
      <c r="O42" s="1857">
        <f t="shared" si="2"/>
        <v>72954</v>
      </c>
    </row>
    <row r="43" spans="2:15" s="442" customFormat="1" outlineLevel="1">
      <c r="B43" s="1859" t="s">
        <v>2873</v>
      </c>
      <c r="C43" s="1860"/>
      <c r="D43" s="1860"/>
      <c r="E43" s="1861">
        <f t="shared" si="8"/>
        <v>1625</v>
      </c>
      <c r="F43" s="1876">
        <v>1.3499999999999999E-3</v>
      </c>
      <c r="G43" s="1859" t="s">
        <v>1080</v>
      </c>
      <c r="H43" s="1860">
        <f t="shared" si="4"/>
        <v>1.625</v>
      </c>
      <c r="I43" s="1860">
        <v>1.05</v>
      </c>
      <c r="J43" s="1860">
        <f t="shared" si="0"/>
        <v>1.70625</v>
      </c>
      <c r="K43" s="1862">
        <f t="shared" si="12"/>
        <v>4</v>
      </c>
      <c r="L43" s="1874">
        <f t="shared" si="13"/>
        <v>6.8250000000000002</v>
      </c>
      <c r="M43" s="1863">
        <v>9000</v>
      </c>
      <c r="N43" s="1864">
        <f t="shared" si="1"/>
        <v>44.362500000000004</v>
      </c>
      <c r="O43" s="1863">
        <f t="shared" si="2"/>
        <v>61425</v>
      </c>
    </row>
    <row r="44" spans="2:15" s="442" customFormat="1" outlineLevel="1">
      <c r="B44" s="442" t="s">
        <v>2681</v>
      </c>
      <c r="C44" s="453">
        <v>0.55000000000000004</v>
      </c>
      <c r="D44" s="1877">
        <f>C2</f>
        <v>1420</v>
      </c>
      <c r="E44" s="1878">
        <f>D2</f>
        <v>1930</v>
      </c>
      <c r="F44" s="453">
        <v>7860</v>
      </c>
      <c r="G44" s="442" t="s">
        <v>97</v>
      </c>
      <c r="H44" s="453">
        <f t="shared" ref="H44:H55" si="14">C44/1000*D44/1000*E44/1000*F44</f>
        <v>11.847613800000001</v>
      </c>
      <c r="I44" s="453">
        <v>1.1499999999999999</v>
      </c>
      <c r="J44" s="453">
        <f t="shared" si="0"/>
        <v>13.624755870000001</v>
      </c>
      <c r="K44" s="1856">
        <v>2</v>
      </c>
      <c r="L44" s="1869">
        <v>1</v>
      </c>
      <c r="M44" s="1857">
        <v>32000</v>
      </c>
      <c r="N44" s="1858">
        <f t="shared" si="1"/>
        <v>23.695227600000003</v>
      </c>
      <c r="O44" s="1857">
        <f t="shared" si="2"/>
        <v>871984.37568000006</v>
      </c>
    </row>
    <row r="45" spans="2:15" s="442" customFormat="1" outlineLevel="1">
      <c r="B45" s="442" t="s">
        <v>2682</v>
      </c>
      <c r="C45" s="453">
        <v>50</v>
      </c>
      <c r="D45" s="453">
        <f>D44</f>
        <v>1420</v>
      </c>
      <c r="E45" s="1482">
        <f>E44</f>
        <v>1930</v>
      </c>
      <c r="F45" s="453">
        <v>40</v>
      </c>
      <c r="G45" s="442" t="s">
        <v>97</v>
      </c>
      <c r="H45" s="453">
        <f t="shared" si="14"/>
        <v>5.4812000000000003</v>
      </c>
      <c r="I45" s="453">
        <v>1.1000000000000001</v>
      </c>
      <c r="J45" s="453">
        <f t="shared" si="0"/>
        <v>6.0293200000000011</v>
      </c>
      <c r="K45" s="1856">
        <v>1</v>
      </c>
      <c r="L45" s="1869">
        <v>1</v>
      </c>
      <c r="M45" s="1857">
        <v>50000</v>
      </c>
      <c r="N45" s="1858">
        <f t="shared" si="1"/>
        <v>5.4812000000000003</v>
      </c>
      <c r="O45" s="1857">
        <f t="shared" si="2"/>
        <v>301466.00000000006</v>
      </c>
    </row>
    <row r="46" spans="2:15" s="442" customFormat="1" outlineLevel="1">
      <c r="B46" s="442" t="s">
        <v>2683</v>
      </c>
      <c r="C46" s="453">
        <v>0.55000000000000004</v>
      </c>
      <c r="D46" s="453">
        <f>D44</f>
        <v>1420</v>
      </c>
      <c r="E46" s="1482">
        <f>E44</f>
        <v>1930</v>
      </c>
      <c r="F46" s="453">
        <v>7860</v>
      </c>
      <c r="G46" s="442" t="s">
        <v>97</v>
      </c>
      <c r="H46" s="453">
        <f t="shared" si="14"/>
        <v>11.847613800000001</v>
      </c>
      <c r="I46" s="453">
        <v>1.1499999999999999</v>
      </c>
      <c r="J46" s="453">
        <f t="shared" si="0"/>
        <v>13.624755870000001</v>
      </c>
      <c r="K46" s="1856">
        <v>2</v>
      </c>
      <c r="L46" s="1869">
        <v>1</v>
      </c>
      <c r="M46" s="1857">
        <v>32000</v>
      </c>
      <c r="N46" s="1858">
        <f t="shared" si="1"/>
        <v>23.695227600000003</v>
      </c>
      <c r="O46" s="1857">
        <f t="shared" si="2"/>
        <v>871984.37568000006</v>
      </c>
    </row>
    <row r="47" spans="2:15" s="442" customFormat="1" outlineLevel="1">
      <c r="B47" s="442" t="s">
        <v>2684</v>
      </c>
      <c r="C47" s="453">
        <v>50</v>
      </c>
      <c r="D47" s="453">
        <f>D44</f>
        <v>1420</v>
      </c>
      <c r="E47" s="1482">
        <f>E44</f>
        <v>1930</v>
      </c>
      <c r="F47" s="453">
        <v>40</v>
      </c>
      <c r="G47" s="442" t="s">
        <v>97</v>
      </c>
      <c r="H47" s="453">
        <f t="shared" si="14"/>
        <v>5.4812000000000003</v>
      </c>
      <c r="I47" s="453">
        <v>1.1000000000000001</v>
      </c>
      <c r="J47" s="453">
        <f t="shared" si="0"/>
        <v>6.0293200000000011</v>
      </c>
      <c r="K47" s="1856">
        <v>1</v>
      </c>
      <c r="L47" s="1869">
        <v>1</v>
      </c>
      <c r="M47" s="1857">
        <v>50000</v>
      </c>
      <c r="N47" s="1858">
        <f t="shared" si="1"/>
        <v>5.4812000000000003</v>
      </c>
      <c r="O47" s="1857">
        <f t="shared" si="2"/>
        <v>301466.00000000006</v>
      </c>
    </row>
    <row r="48" spans="2:15" s="442" customFormat="1" outlineLevel="1">
      <c r="B48" s="442" t="s">
        <v>2685</v>
      </c>
      <c r="C48" s="453">
        <v>0.55000000000000004</v>
      </c>
      <c r="D48" s="1877">
        <f>D2</f>
        <v>1930</v>
      </c>
      <c r="E48" s="1878">
        <f>E2</f>
        <v>1625</v>
      </c>
      <c r="F48" s="453">
        <v>7860</v>
      </c>
      <c r="G48" s="442" t="s">
        <v>97</v>
      </c>
      <c r="H48" s="453">
        <f t="shared" si="14"/>
        <v>13.558008750000003</v>
      </c>
      <c r="I48" s="453">
        <v>1.1499999999999999</v>
      </c>
      <c r="J48" s="453">
        <f t="shared" si="0"/>
        <v>15.591710062500002</v>
      </c>
      <c r="K48" s="1856">
        <v>2</v>
      </c>
      <c r="L48" s="1869">
        <v>1</v>
      </c>
      <c r="M48" s="1857">
        <v>32000</v>
      </c>
      <c r="N48" s="1858">
        <f t="shared" si="1"/>
        <v>27.116017500000005</v>
      </c>
      <c r="O48" s="1857">
        <f t="shared" si="2"/>
        <v>997869.44400000013</v>
      </c>
    </row>
    <row r="49" spans="1:15" s="442" customFormat="1" outlineLevel="1">
      <c r="B49" s="442" t="s">
        <v>2686</v>
      </c>
      <c r="C49" s="453">
        <v>50</v>
      </c>
      <c r="D49" s="453">
        <f>D48</f>
        <v>1930</v>
      </c>
      <c r="E49" s="1482">
        <f>E48</f>
        <v>1625</v>
      </c>
      <c r="F49" s="453">
        <v>40</v>
      </c>
      <c r="G49" s="442" t="s">
        <v>97</v>
      </c>
      <c r="H49" s="453">
        <f t="shared" si="14"/>
        <v>6.2725</v>
      </c>
      <c r="I49" s="453">
        <v>1.1000000000000001</v>
      </c>
      <c r="J49" s="453">
        <f t="shared" si="0"/>
        <v>6.8997500000000009</v>
      </c>
      <c r="K49" s="1856">
        <v>1</v>
      </c>
      <c r="L49" s="1869">
        <v>1</v>
      </c>
      <c r="M49" s="1857">
        <v>50000</v>
      </c>
      <c r="N49" s="1858">
        <f t="shared" si="1"/>
        <v>6.2725</v>
      </c>
      <c r="O49" s="1857">
        <f t="shared" si="2"/>
        <v>344987.50000000006</v>
      </c>
    </row>
    <row r="50" spans="1:15" s="442" customFormat="1" outlineLevel="1">
      <c r="B50" s="442" t="s">
        <v>2687</v>
      </c>
      <c r="C50" s="453">
        <v>0.55000000000000004</v>
      </c>
      <c r="D50" s="453">
        <f>D48</f>
        <v>1930</v>
      </c>
      <c r="E50" s="1482">
        <f>E48</f>
        <v>1625</v>
      </c>
      <c r="F50" s="453">
        <v>7860</v>
      </c>
      <c r="G50" s="442" t="s">
        <v>97</v>
      </c>
      <c r="H50" s="453">
        <f t="shared" si="14"/>
        <v>13.558008750000003</v>
      </c>
      <c r="I50" s="453">
        <v>1.1499999999999999</v>
      </c>
      <c r="J50" s="453">
        <f t="shared" si="0"/>
        <v>15.591710062500002</v>
      </c>
      <c r="K50" s="1856">
        <v>2</v>
      </c>
      <c r="L50" s="1869">
        <v>1</v>
      </c>
      <c r="M50" s="1857">
        <v>32000</v>
      </c>
      <c r="N50" s="1858">
        <f t="shared" si="1"/>
        <v>27.116017500000005</v>
      </c>
      <c r="O50" s="1857">
        <f t="shared" si="2"/>
        <v>997869.44400000013</v>
      </c>
    </row>
    <row r="51" spans="1:15" s="442" customFormat="1" outlineLevel="1">
      <c r="B51" s="442" t="s">
        <v>2688</v>
      </c>
      <c r="C51" s="453">
        <v>50</v>
      </c>
      <c r="D51" s="453">
        <f>D48</f>
        <v>1930</v>
      </c>
      <c r="E51" s="1482">
        <f>E48</f>
        <v>1625</v>
      </c>
      <c r="F51" s="453">
        <v>40</v>
      </c>
      <c r="G51" s="442" t="s">
        <v>97</v>
      </c>
      <c r="H51" s="453">
        <f t="shared" si="14"/>
        <v>6.2725</v>
      </c>
      <c r="I51" s="453">
        <v>1.1000000000000001</v>
      </c>
      <c r="J51" s="453">
        <f t="shared" si="0"/>
        <v>6.8997500000000009</v>
      </c>
      <c r="K51" s="1856">
        <v>1</v>
      </c>
      <c r="L51" s="1869">
        <v>1</v>
      </c>
      <c r="M51" s="1857">
        <v>50000</v>
      </c>
      <c r="N51" s="1858">
        <f t="shared" si="1"/>
        <v>6.2725</v>
      </c>
      <c r="O51" s="1857">
        <f t="shared" si="2"/>
        <v>344987.50000000006</v>
      </c>
    </row>
    <row r="52" spans="1:15" s="442" customFormat="1" outlineLevel="1">
      <c r="B52" s="442" t="s">
        <v>2689</v>
      </c>
      <c r="C52" s="453">
        <v>0.55000000000000004</v>
      </c>
      <c r="D52" s="1877">
        <f>C2</f>
        <v>1420</v>
      </c>
      <c r="E52" s="1878">
        <f>E2</f>
        <v>1625</v>
      </c>
      <c r="F52" s="453">
        <v>7860</v>
      </c>
      <c r="G52" s="442" t="s">
        <v>97</v>
      </c>
      <c r="H52" s="453">
        <f t="shared" si="14"/>
        <v>9.9753225000000008</v>
      </c>
      <c r="I52" s="453">
        <v>1.1499999999999999</v>
      </c>
      <c r="J52" s="453">
        <f t="shared" si="0"/>
        <v>11.471620874999999</v>
      </c>
      <c r="K52" s="1856">
        <v>2</v>
      </c>
      <c r="L52" s="1869">
        <v>1</v>
      </c>
      <c r="M52" s="1857">
        <v>32000</v>
      </c>
      <c r="N52" s="1858">
        <f t="shared" si="1"/>
        <v>19.950645000000002</v>
      </c>
      <c r="O52" s="1857">
        <f t="shared" si="2"/>
        <v>734183.73599999992</v>
      </c>
    </row>
    <row r="53" spans="1:15" s="442" customFormat="1" outlineLevel="1">
      <c r="B53" s="442" t="s">
        <v>2690</v>
      </c>
      <c r="C53" s="453">
        <v>50</v>
      </c>
      <c r="D53" s="453">
        <f>D52</f>
        <v>1420</v>
      </c>
      <c r="E53" s="1482">
        <f>E52</f>
        <v>1625</v>
      </c>
      <c r="F53" s="453">
        <v>40</v>
      </c>
      <c r="G53" s="442" t="s">
        <v>97</v>
      </c>
      <c r="H53" s="453">
        <f t="shared" si="14"/>
        <v>4.6149999999999993</v>
      </c>
      <c r="I53" s="453">
        <v>1.1000000000000001</v>
      </c>
      <c r="J53" s="453">
        <f t="shared" si="0"/>
        <v>5.0764999999999993</v>
      </c>
      <c r="K53" s="1856">
        <v>1</v>
      </c>
      <c r="L53" s="1869">
        <v>1</v>
      </c>
      <c r="M53" s="1857">
        <v>50000</v>
      </c>
      <c r="N53" s="1858">
        <f t="shared" si="1"/>
        <v>4.6149999999999993</v>
      </c>
      <c r="O53" s="1857">
        <f t="shared" si="2"/>
        <v>253824.99999999997</v>
      </c>
    </row>
    <row r="54" spans="1:15" s="442" customFormat="1" outlineLevel="1">
      <c r="B54" s="442" t="s">
        <v>2691</v>
      </c>
      <c r="C54" s="453">
        <v>0.55000000000000004</v>
      </c>
      <c r="D54" s="453">
        <f>D52</f>
        <v>1420</v>
      </c>
      <c r="E54" s="1482">
        <f>E52</f>
        <v>1625</v>
      </c>
      <c r="F54" s="453">
        <v>7860</v>
      </c>
      <c r="G54" s="442" t="s">
        <v>97</v>
      </c>
      <c r="H54" s="453">
        <f t="shared" si="14"/>
        <v>9.9753225000000008</v>
      </c>
      <c r="I54" s="453">
        <v>1.1499999999999999</v>
      </c>
      <c r="J54" s="453">
        <f t="shared" si="0"/>
        <v>11.471620874999999</v>
      </c>
      <c r="K54" s="1856">
        <v>2</v>
      </c>
      <c r="L54" s="1869">
        <v>1</v>
      </c>
      <c r="M54" s="1857">
        <v>32000</v>
      </c>
      <c r="N54" s="1858">
        <f t="shared" si="1"/>
        <v>19.950645000000002</v>
      </c>
      <c r="O54" s="1857">
        <f t="shared" si="2"/>
        <v>734183.73599999992</v>
      </c>
    </row>
    <row r="55" spans="1:15" s="442" customFormat="1" outlineLevel="1">
      <c r="B55" s="442" t="s">
        <v>2692</v>
      </c>
      <c r="C55" s="453">
        <v>50</v>
      </c>
      <c r="D55" s="453">
        <f>D52</f>
        <v>1420</v>
      </c>
      <c r="E55" s="1482">
        <f>E52</f>
        <v>1625</v>
      </c>
      <c r="F55" s="453">
        <v>40</v>
      </c>
      <c r="G55" s="442" t="s">
        <v>97</v>
      </c>
      <c r="H55" s="453">
        <f t="shared" si="14"/>
        <v>4.6149999999999993</v>
      </c>
      <c r="I55" s="453">
        <v>1.1000000000000001</v>
      </c>
      <c r="J55" s="453">
        <f t="shared" si="0"/>
        <v>5.0764999999999993</v>
      </c>
      <c r="K55" s="1856">
        <v>1</v>
      </c>
      <c r="L55" s="1869">
        <v>1</v>
      </c>
      <c r="M55" s="1857">
        <v>50000</v>
      </c>
      <c r="N55" s="1858">
        <f t="shared" si="1"/>
        <v>4.6149999999999993</v>
      </c>
      <c r="O55" s="1857">
        <f t="shared" si="2"/>
        <v>253824.99999999997</v>
      </c>
    </row>
    <row r="56" spans="1:15" s="442" customFormat="1">
      <c r="C56" s="453"/>
      <c r="D56" s="453"/>
      <c r="E56" s="1482"/>
      <c r="F56" s="453"/>
      <c r="H56" s="453"/>
      <c r="I56" s="453"/>
      <c r="J56" s="453"/>
      <c r="K56" s="1856"/>
      <c r="L56" s="1869"/>
      <c r="M56" s="1857"/>
      <c r="N56" s="1858">
        <f t="shared" si="1"/>
        <v>0</v>
      </c>
      <c r="O56" s="1857">
        <f t="shared" si="2"/>
        <v>0</v>
      </c>
    </row>
    <row r="57" spans="1:15" s="442" customFormat="1">
      <c r="A57" s="1855" t="str">
        <f>B3</f>
        <v>Section 2</v>
      </c>
      <c r="B57" s="442" t="s">
        <v>729</v>
      </c>
      <c r="C57" s="1867"/>
      <c r="D57" s="1867"/>
      <c r="E57" s="1868"/>
      <c r="F57" s="1869">
        <f>0.42476+0.15</f>
        <v>0.57476000000000005</v>
      </c>
      <c r="G57" s="1870" t="s">
        <v>100</v>
      </c>
      <c r="H57" s="453">
        <v>8</v>
      </c>
      <c r="I57" s="1869">
        <v>1</v>
      </c>
      <c r="J57" s="453">
        <f t="shared" ref="J57:J94" si="15">H57*I57</f>
        <v>8</v>
      </c>
      <c r="K57" s="1871">
        <v>0</v>
      </c>
      <c r="L57" s="1869">
        <f>F57</f>
        <v>0.57476000000000005</v>
      </c>
      <c r="M57" s="1872">
        <f>18.1*2*2500</f>
        <v>90500</v>
      </c>
      <c r="N57" s="1858">
        <f t="shared" si="1"/>
        <v>0</v>
      </c>
      <c r="O57" s="1857">
        <f t="shared" si="2"/>
        <v>0</v>
      </c>
    </row>
    <row r="58" spans="1:15" s="442" customFormat="1" outlineLevel="1">
      <c r="B58" s="442" t="s">
        <v>730</v>
      </c>
      <c r="C58" s="1867"/>
      <c r="D58" s="1867"/>
      <c r="E58" s="1868"/>
      <c r="F58" s="1869">
        <v>3.5999999999999997E-2</v>
      </c>
      <c r="G58" s="1870" t="s">
        <v>100</v>
      </c>
      <c r="H58" s="453">
        <v>8</v>
      </c>
      <c r="I58" s="1869">
        <v>1</v>
      </c>
      <c r="J58" s="453">
        <f t="shared" si="15"/>
        <v>8</v>
      </c>
      <c r="K58" s="1871">
        <v>0</v>
      </c>
      <c r="L58" s="1869">
        <f t="shared" ref="L58:L70" si="16">F58</f>
        <v>3.5999999999999997E-2</v>
      </c>
      <c r="M58" s="1872">
        <f>2.9*2*2500</f>
        <v>14500</v>
      </c>
      <c r="N58" s="1858">
        <f t="shared" si="1"/>
        <v>0</v>
      </c>
      <c r="O58" s="1857">
        <f t="shared" si="2"/>
        <v>0</v>
      </c>
    </row>
    <row r="59" spans="1:15" s="442" customFormat="1" outlineLevel="1">
      <c r="B59" s="442" t="s">
        <v>2663</v>
      </c>
      <c r="C59" s="453"/>
      <c r="D59" s="453"/>
      <c r="E59" s="1482">
        <f>C3</f>
        <v>0</v>
      </c>
      <c r="F59" s="453">
        <f>11.596551724138/6</f>
        <v>1.9327586206896665</v>
      </c>
      <c r="G59" s="442" t="s">
        <v>1080</v>
      </c>
      <c r="H59" s="453">
        <f>E59/1000</f>
        <v>0</v>
      </c>
      <c r="I59" s="453">
        <v>1.05</v>
      </c>
      <c r="J59" s="453">
        <f t="shared" si="15"/>
        <v>0</v>
      </c>
      <c r="K59" s="1871">
        <v>4</v>
      </c>
      <c r="L59" s="1869">
        <f t="shared" si="16"/>
        <v>1.9327586206896665</v>
      </c>
      <c r="M59" s="1857">
        <v>175000</v>
      </c>
      <c r="N59" s="1858">
        <f t="shared" si="1"/>
        <v>0</v>
      </c>
      <c r="O59" s="1857">
        <f t="shared" si="2"/>
        <v>0</v>
      </c>
    </row>
    <row r="60" spans="1:15" s="442" customFormat="1" outlineLevel="1">
      <c r="B60" s="442" t="s">
        <v>2664</v>
      </c>
      <c r="C60" s="453"/>
      <c r="D60" s="453"/>
      <c r="E60" s="1482">
        <f>D3</f>
        <v>0</v>
      </c>
      <c r="F60" s="453">
        <f>11.596551724138/6</f>
        <v>1.9327586206896665</v>
      </c>
      <c r="G60" s="442" t="s">
        <v>1080</v>
      </c>
      <c r="H60" s="453">
        <f t="shared" ref="H60:H82" si="17">E60/1000</f>
        <v>0</v>
      </c>
      <c r="I60" s="453">
        <v>1.05</v>
      </c>
      <c r="J60" s="453">
        <f t="shared" si="15"/>
        <v>0</v>
      </c>
      <c r="K60" s="1871">
        <v>4</v>
      </c>
      <c r="L60" s="1869">
        <f t="shared" si="16"/>
        <v>1.9327586206896665</v>
      </c>
      <c r="M60" s="1857">
        <v>175000</v>
      </c>
      <c r="N60" s="1858">
        <f t="shared" si="1"/>
        <v>0</v>
      </c>
      <c r="O60" s="1857">
        <f t="shared" si="2"/>
        <v>0</v>
      </c>
    </row>
    <row r="61" spans="1:15" s="442" customFormat="1" outlineLevel="1">
      <c r="B61" s="1859" t="s">
        <v>2665</v>
      </c>
      <c r="C61" s="1860"/>
      <c r="D61" s="1860"/>
      <c r="E61" s="1861">
        <f>E3</f>
        <v>0</v>
      </c>
      <c r="F61" s="1860">
        <f>11.596551724138/6</f>
        <v>1.9327586206896665</v>
      </c>
      <c r="G61" s="1859" t="s">
        <v>1080</v>
      </c>
      <c r="H61" s="453">
        <f t="shared" si="17"/>
        <v>0</v>
      </c>
      <c r="I61" s="1860">
        <v>1.05</v>
      </c>
      <c r="J61" s="1860">
        <f t="shared" si="15"/>
        <v>0</v>
      </c>
      <c r="K61" s="1873">
        <v>4</v>
      </c>
      <c r="L61" s="1874">
        <f t="shared" si="16"/>
        <v>1.9327586206896665</v>
      </c>
      <c r="M61" s="1863">
        <v>175000</v>
      </c>
      <c r="N61" s="1864">
        <f t="shared" si="1"/>
        <v>0</v>
      </c>
      <c r="O61" s="1863">
        <f t="shared" si="2"/>
        <v>0</v>
      </c>
    </row>
    <row r="62" spans="1:15" s="442" customFormat="1" outlineLevel="1">
      <c r="B62" s="442" t="s">
        <v>2666</v>
      </c>
      <c r="C62" s="453"/>
      <c r="D62" s="453"/>
      <c r="E62" s="1482">
        <f>E59</f>
        <v>0</v>
      </c>
      <c r="F62" s="453">
        <f>8.094/6</f>
        <v>1.349</v>
      </c>
      <c r="G62" s="442" t="s">
        <v>1080</v>
      </c>
      <c r="H62" s="453">
        <f t="shared" si="17"/>
        <v>0</v>
      </c>
      <c r="I62" s="453">
        <v>1.05</v>
      </c>
      <c r="J62" s="453">
        <f t="shared" si="15"/>
        <v>0</v>
      </c>
      <c r="K62" s="1871">
        <v>2</v>
      </c>
      <c r="L62" s="1869">
        <f t="shared" si="16"/>
        <v>1.349</v>
      </c>
      <c r="M62" s="1857">
        <v>132000</v>
      </c>
      <c r="N62" s="1858">
        <f t="shared" si="1"/>
        <v>0</v>
      </c>
      <c r="O62" s="1857">
        <f t="shared" si="2"/>
        <v>0</v>
      </c>
    </row>
    <row r="63" spans="1:15" s="442" customFormat="1" outlineLevel="1">
      <c r="B63" s="442" t="s">
        <v>2667</v>
      </c>
      <c r="C63" s="453"/>
      <c r="D63" s="453"/>
      <c r="E63" s="1482">
        <f>E60</f>
        <v>0</v>
      </c>
      <c r="F63" s="453">
        <f>8.094/6</f>
        <v>1.349</v>
      </c>
      <c r="G63" s="442" t="s">
        <v>1080</v>
      </c>
      <c r="H63" s="453">
        <f t="shared" si="17"/>
        <v>0</v>
      </c>
      <c r="I63" s="453">
        <v>1.05</v>
      </c>
      <c r="J63" s="453">
        <f t="shared" si="15"/>
        <v>0</v>
      </c>
      <c r="K63" s="1871">
        <v>2</v>
      </c>
      <c r="L63" s="1869">
        <f t="shared" si="16"/>
        <v>1.349</v>
      </c>
      <c r="M63" s="1857">
        <v>132000</v>
      </c>
      <c r="N63" s="1858">
        <f t="shared" si="1"/>
        <v>0</v>
      </c>
      <c r="O63" s="1857">
        <f t="shared" si="2"/>
        <v>0</v>
      </c>
    </row>
    <row r="64" spans="1:15" s="442" customFormat="1" outlineLevel="1">
      <c r="B64" s="1859" t="s">
        <v>2668</v>
      </c>
      <c r="C64" s="1860"/>
      <c r="D64" s="1860"/>
      <c r="E64" s="1861">
        <f>E61</f>
        <v>0</v>
      </c>
      <c r="F64" s="1860">
        <f>8.094/6</f>
        <v>1.349</v>
      </c>
      <c r="G64" s="1859" t="s">
        <v>1080</v>
      </c>
      <c r="H64" s="453">
        <f t="shared" si="17"/>
        <v>0</v>
      </c>
      <c r="I64" s="1860">
        <v>1.05</v>
      </c>
      <c r="J64" s="1860">
        <f t="shared" si="15"/>
        <v>0</v>
      </c>
      <c r="K64" s="1873">
        <v>2</v>
      </c>
      <c r="L64" s="1874">
        <f t="shared" si="16"/>
        <v>1.349</v>
      </c>
      <c r="M64" s="1863">
        <v>132000</v>
      </c>
      <c r="N64" s="1864">
        <f t="shared" si="1"/>
        <v>0</v>
      </c>
      <c r="O64" s="1863">
        <f t="shared" si="2"/>
        <v>0</v>
      </c>
    </row>
    <row r="65" spans="2:15" s="442" customFormat="1" outlineLevel="1">
      <c r="B65" s="442" t="s">
        <v>2669</v>
      </c>
      <c r="C65" s="453"/>
      <c r="D65" s="453"/>
      <c r="E65" s="1482">
        <f t="shared" ref="E65:E70" si="18">E59</f>
        <v>0</v>
      </c>
      <c r="F65" s="453">
        <v>0.22700000000000001</v>
      </c>
      <c r="G65" s="442" t="s">
        <v>1080</v>
      </c>
      <c r="H65" s="453">
        <f t="shared" si="17"/>
        <v>0</v>
      </c>
      <c r="I65" s="453">
        <v>1.05</v>
      </c>
      <c r="J65" s="453">
        <f t="shared" si="15"/>
        <v>0</v>
      </c>
      <c r="K65" s="1871">
        <f>K59*2</f>
        <v>8</v>
      </c>
      <c r="L65" s="1869">
        <f t="shared" si="16"/>
        <v>0.22700000000000001</v>
      </c>
      <c r="M65" s="1857">
        <f t="shared" ref="M65:M70" si="19">4.48333333333333/4.1*1.35*16500</f>
        <v>24357.621951219498</v>
      </c>
      <c r="N65" s="1858">
        <f t="shared" si="1"/>
        <v>0</v>
      </c>
      <c r="O65" s="1857">
        <f t="shared" si="2"/>
        <v>0</v>
      </c>
    </row>
    <row r="66" spans="2:15" s="442" customFormat="1" outlineLevel="1">
      <c r="B66" s="442" t="s">
        <v>2670</v>
      </c>
      <c r="C66" s="453"/>
      <c r="D66" s="453"/>
      <c r="E66" s="1482">
        <f t="shared" si="18"/>
        <v>0</v>
      </c>
      <c r="F66" s="453">
        <v>0.22700000000000001</v>
      </c>
      <c r="G66" s="442" t="s">
        <v>1080</v>
      </c>
      <c r="H66" s="453">
        <f t="shared" si="17"/>
        <v>0</v>
      </c>
      <c r="I66" s="453">
        <v>1.05</v>
      </c>
      <c r="J66" s="453">
        <f t="shared" si="15"/>
        <v>0</v>
      </c>
      <c r="K66" s="1871">
        <f t="shared" ref="K66:K70" si="20">K60*2</f>
        <v>8</v>
      </c>
      <c r="L66" s="1869">
        <f t="shared" si="16"/>
        <v>0.22700000000000001</v>
      </c>
      <c r="M66" s="1857">
        <f t="shared" si="19"/>
        <v>24357.621951219498</v>
      </c>
      <c r="N66" s="1858">
        <f t="shared" si="1"/>
        <v>0</v>
      </c>
      <c r="O66" s="1857">
        <f t="shared" si="2"/>
        <v>0</v>
      </c>
    </row>
    <row r="67" spans="2:15" s="442" customFormat="1" outlineLevel="1">
      <c r="B67" s="442" t="s">
        <v>2671</v>
      </c>
      <c r="C67" s="453"/>
      <c r="D67" s="453"/>
      <c r="E67" s="1482">
        <f t="shared" si="18"/>
        <v>0</v>
      </c>
      <c r="F67" s="453">
        <v>0.22700000000000001</v>
      </c>
      <c r="G67" s="442" t="s">
        <v>1080</v>
      </c>
      <c r="H67" s="453">
        <f t="shared" si="17"/>
        <v>0</v>
      </c>
      <c r="I67" s="453">
        <v>1.05</v>
      </c>
      <c r="J67" s="453">
        <f t="shared" si="15"/>
        <v>0</v>
      </c>
      <c r="K67" s="1871">
        <f t="shared" si="20"/>
        <v>8</v>
      </c>
      <c r="L67" s="1869">
        <f t="shared" si="16"/>
        <v>0.22700000000000001</v>
      </c>
      <c r="M67" s="1857">
        <f t="shared" si="19"/>
        <v>24357.621951219498</v>
      </c>
      <c r="N67" s="1858">
        <f t="shared" si="1"/>
        <v>0</v>
      </c>
      <c r="O67" s="1857">
        <f t="shared" si="2"/>
        <v>0</v>
      </c>
    </row>
    <row r="68" spans="2:15" s="442" customFormat="1" outlineLevel="1">
      <c r="B68" s="442" t="s">
        <v>2672</v>
      </c>
      <c r="C68" s="453"/>
      <c r="D68" s="453"/>
      <c r="E68" s="1482">
        <f t="shared" si="18"/>
        <v>0</v>
      </c>
      <c r="F68" s="453">
        <v>0.22700000000000001</v>
      </c>
      <c r="G68" s="442" t="s">
        <v>1080</v>
      </c>
      <c r="H68" s="453">
        <f t="shared" si="17"/>
        <v>0</v>
      </c>
      <c r="I68" s="453">
        <v>1.05</v>
      </c>
      <c r="J68" s="453">
        <f t="shared" si="15"/>
        <v>0</v>
      </c>
      <c r="K68" s="1871">
        <f t="shared" si="20"/>
        <v>4</v>
      </c>
      <c r="L68" s="1869">
        <f t="shared" si="16"/>
        <v>0.22700000000000001</v>
      </c>
      <c r="M68" s="1857">
        <f t="shared" si="19"/>
        <v>24357.621951219498</v>
      </c>
      <c r="N68" s="1858">
        <f t="shared" si="1"/>
        <v>0</v>
      </c>
      <c r="O68" s="1857">
        <f t="shared" si="2"/>
        <v>0</v>
      </c>
    </row>
    <row r="69" spans="2:15" s="442" customFormat="1" outlineLevel="1">
      <c r="B69" s="442" t="s">
        <v>2673</v>
      </c>
      <c r="C69" s="453"/>
      <c r="D69" s="453"/>
      <c r="E69" s="1482">
        <f t="shared" si="18"/>
        <v>0</v>
      </c>
      <c r="F69" s="453">
        <v>0.22700000000000001</v>
      </c>
      <c r="G69" s="442" t="s">
        <v>1080</v>
      </c>
      <c r="H69" s="453">
        <f t="shared" si="17"/>
        <v>0</v>
      </c>
      <c r="I69" s="453">
        <v>1.05</v>
      </c>
      <c r="J69" s="453">
        <f t="shared" si="15"/>
        <v>0</v>
      </c>
      <c r="K69" s="1871">
        <f t="shared" si="20"/>
        <v>4</v>
      </c>
      <c r="L69" s="1869">
        <f t="shared" si="16"/>
        <v>0.22700000000000001</v>
      </c>
      <c r="M69" s="1857">
        <f t="shared" si="19"/>
        <v>24357.621951219498</v>
      </c>
      <c r="N69" s="1858">
        <f t="shared" si="1"/>
        <v>0</v>
      </c>
      <c r="O69" s="1857">
        <f t="shared" si="2"/>
        <v>0</v>
      </c>
    </row>
    <row r="70" spans="2:15" s="442" customFormat="1" outlineLevel="1">
      <c r="B70" s="1859" t="s">
        <v>2674</v>
      </c>
      <c r="C70" s="1860"/>
      <c r="D70" s="1860"/>
      <c r="E70" s="1861">
        <f t="shared" si="18"/>
        <v>0</v>
      </c>
      <c r="F70" s="1860">
        <v>0.22700000000000001</v>
      </c>
      <c r="G70" s="1859" t="s">
        <v>1080</v>
      </c>
      <c r="H70" s="453">
        <f t="shared" si="17"/>
        <v>0</v>
      </c>
      <c r="I70" s="1860">
        <v>1.05</v>
      </c>
      <c r="J70" s="1860">
        <f t="shared" si="15"/>
        <v>0</v>
      </c>
      <c r="K70" s="1871">
        <f t="shared" si="20"/>
        <v>4</v>
      </c>
      <c r="L70" s="1874">
        <f t="shared" si="16"/>
        <v>0.22700000000000001</v>
      </c>
      <c r="M70" s="1863">
        <f t="shared" si="19"/>
        <v>24357.621951219498</v>
      </c>
      <c r="N70" s="1864">
        <f t="shared" si="1"/>
        <v>0</v>
      </c>
      <c r="O70" s="1863">
        <f t="shared" si="2"/>
        <v>0</v>
      </c>
    </row>
    <row r="71" spans="2:15" s="442" customFormat="1" outlineLevel="1">
      <c r="B71" s="442" t="s">
        <v>2675</v>
      </c>
      <c r="C71" s="453"/>
      <c r="D71" s="453"/>
      <c r="E71" s="1482">
        <f t="shared" ref="E71:E82" si="21">E59</f>
        <v>0</v>
      </c>
      <c r="F71" s="1875">
        <v>1.3499999999999999E-3</v>
      </c>
      <c r="G71" s="442" t="s">
        <v>1080</v>
      </c>
      <c r="H71" s="453">
        <f t="shared" si="17"/>
        <v>0</v>
      </c>
      <c r="I71" s="453">
        <v>1.05</v>
      </c>
      <c r="J71" s="453">
        <f t="shared" si="15"/>
        <v>0</v>
      </c>
      <c r="K71" s="1856">
        <f>K65</f>
        <v>8</v>
      </c>
      <c r="L71" s="1869">
        <f>J71*K71</f>
        <v>0</v>
      </c>
      <c r="M71" s="1857">
        <f t="shared" ref="M71:M76" si="22">4.6/4.1*1.35*16500</f>
        <v>24991.463414634149</v>
      </c>
      <c r="N71" s="1858">
        <f t="shared" si="1"/>
        <v>0</v>
      </c>
      <c r="O71" s="1857">
        <f t="shared" si="2"/>
        <v>0</v>
      </c>
    </row>
    <row r="72" spans="2:15" s="442" customFormat="1" outlineLevel="1">
      <c r="B72" s="442" t="s">
        <v>2676</v>
      </c>
      <c r="C72" s="453"/>
      <c r="D72" s="453"/>
      <c r="E72" s="1482">
        <f t="shared" si="21"/>
        <v>0</v>
      </c>
      <c r="F72" s="1875">
        <v>1.3499999999999999E-3</v>
      </c>
      <c r="G72" s="442" t="s">
        <v>1080</v>
      </c>
      <c r="H72" s="453">
        <f t="shared" si="17"/>
        <v>0</v>
      </c>
      <c r="I72" s="453">
        <v>1.05</v>
      </c>
      <c r="J72" s="453">
        <f t="shared" si="15"/>
        <v>0</v>
      </c>
      <c r="K72" s="1856">
        <f t="shared" ref="K72:K76" si="23">K66</f>
        <v>8</v>
      </c>
      <c r="L72" s="1869">
        <f t="shared" ref="L72:L76" si="24">J72*K72</f>
        <v>0</v>
      </c>
      <c r="M72" s="1857">
        <f t="shared" si="22"/>
        <v>24991.463414634149</v>
      </c>
      <c r="N72" s="1858">
        <f t="shared" si="1"/>
        <v>0</v>
      </c>
      <c r="O72" s="1857">
        <f t="shared" si="2"/>
        <v>0</v>
      </c>
    </row>
    <row r="73" spans="2:15" s="442" customFormat="1" outlineLevel="1">
      <c r="B73" s="442" t="s">
        <v>2677</v>
      </c>
      <c r="C73" s="453"/>
      <c r="D73" s="453"/>
      <c r="E73" s="1482">
        <f t="shared" si="21"/>
        <v>0</v>
      </c>
      <c r="F73" s="1875">
        <v>1.3499999999999999E-3</v>
      </c>
      <c r="G73" s="442" t="s">
        <v>1080</v>
      </c>
      <c r="H73" s="453">
        <f t="shared" si="17"/>
        <v>0</v>
      </c>
      <c r="I73" s="453">
        <v>1.05</v>
      </c>
      <c r="J73" s="453">
        <f t="shared" si="15"/>
        <v>0</v>
      </c>
      <c r="K73" s="1856">
        <f t="shared" si="23"/>
        <v>8</v>
      </c>
      <c r="L73" s="1869">
        <f t="shared" si="24"/>
        <v>0</v>
      </c>
      <c r="M73" s="1857">
        <f t="shared" si="22"/>
        <v>24991.463414634149</v>
      </c>
      <c r="N73" s="1858">
        <f t="shared" si="1"/>
        <v>0</v>
      </c>
      <c r="O73" s="1857">
        <f t="shared" si="2"/>
        <v>0</v>
      </c>
    </row>
    <row r="74" spans="2:15" s="442" customFormat="1" outlineLevel="1">
      <c r="B74" s="442" t="s">
        <v>2678</v>
      </c>
      <c r="C74" s="453"/>
      <c r="D74" s="453"/>
      <c r="E74" s="1482">
        <f t="shared" si="21"/>
        <v>0</v>
      </c>
      <c r="F74" s="1875">
        <v>1.3499999999999999E-3</v>
      </c>
      <c r="G74" s="442" t="s">
        <v>1080</v>
      </c>
      <c r="H74" s="453">
        <f t="shared" si="17"/>
        <v>0</v>
      </c>
      <c r="I74" s="453">
        <v>1.05</v>
      </c>
      <c r="J74" s="453">
        <f t="shared" si="15"/>
        <v>0</v>
      </c>
      <c r="K74" s="1856">
        <f t="shared" si="23"/>
        <v>4</v>
      </c>
      <c r="L74" s="1869">
        <f t="shared" si="24"/>
        <v>0</v>
      </c>
      <c r="M74" s="1857">
        <f t="shared" si="22"/>
        <v>24991.463414634149</v>
      </c>
      <c r="N74" s="1858">
        <f t="shared" si="1"/>
        <v>0</v>
      </c>
      <c r="O74" s="1857">
        <f t="shared" si="2"/>
        <v>0</v>
      </c>
    </row>
    <row r="75" spans="2:15" s="442" customFormat="1" outlineLevel="1">
      <c r="B75" s="442" t="s">
        <v>2679</v>
      </c>
      <c r="C75" s="453"/>
      <c r="D75" s="453"/>
      <c r="E75" s="1482">
        <f t="shared" si="21"/>
        <v>0</v>
      </c>
      <c r="F75" s="1875">
        <v>1.3499999999999999E-3</v>
      </c>
      <c r="G75" s="442" t="s">
        <v>1080</v>
      </c>
      <c r="H75" s="453">
        <f t="shared" si="17"/>
        <v>0</v>
      </c>
      <c r="I75" s="453">
        <v>1.05</v>
      </c>
      <c r="J75" s="453">
        <f t="shared" si="15"/>
        <v>0</v>
      </c>
      <c r="K75" s="1856">
        <f t="shared" si="23"/>
        <v>4</v>
      </c>
      <c r="L75" s="1869">
        <f t="shared" si="24"/>
        <v>0</v>
      </c>
      <c r="M75" s="1857">
        <f t="shared" si="22"/>
        <v>24991.463414634149</v>
      </c>
      <c r="N75" s="1858">
        <f t="shared" si="1"/>
        <v>0</v>
      </c>
      <c r="O75" s="1857">
        <f t="shared" si="2"/>
        <v>0</v>
      </c>
    </row>
    <row r="76" spans="2:15" s="442" customFormat="1" outlineLevel="1">
      <c r="B76" s="1859" t="s">
        <v>2680</v>
      </c>
      <c r="C76" s="1860"/>
      <c r="D76" s="1860"/>
      <c r="E76" s="1861">
        <f t="shared" si="21"/>
        <v>0</v>
      </c>
      <c r="F76" s="1876">
        <v>1.3499999999999999E-3</v>
      </c>
      <c r="G76" s="1859" t="s">
        <v>1080</v>
      </c>
      <c r="H76" s="453">
        <f t="shared" si="17"/>
        <v>0</v>
      </c>
      <c r="I76" s="1860">
        <v>1.05</v>
      </c>
      <c r="J76" s="1860">
        <f t="shared" si="15"/>
        <v>0</v>
      </c>
      <c r="K76" s="1856">
        <f t="shared" si="23"/>
        <v>4</v>
      </c>
      <c r="L76" s="1869">
        <f t="shared" si="24"/>
        <v>0</v>
      </c>
      <c r="M76" s="1863">
        <f t="shared" si="22"/>
        <v>24991.463414634149</v>
      </c>
      <c r="N76" s="1864">
        <f t="shared" si="1"/>
        <v>0</v>
      </c>
      <c r="O76" s="1863">
        <f t="shared" si="2"/>
        <v>0</v>
      </c>
    </row>
    <row r="77" spans="2:15" s="442" customFormat="1" outlineLevel="1">
      <c r="B77" s="442" t="s">
        <v>2868</v>
      </c>
      <c r="C77" s="453"/>
      <c r="D77" s="453"/>
      <c r="E77" s="1482">
        <f t="shared" si="21"/>
        <v>0</v>
      </c>
      <c r="F77" s="1875">
        <v>1.3499999999999999E-3</v>
      </c>
      <c r="G77" s="442" t="s">
        <v>1080</v>
      </c>
      <c r="H77" s="453">
        <f t="shared" si="17"/>
        <v>0</v>
      </c>
      <c r="I77" s="453">
        <v>1.05</v>
      </c>
      <c r="J77" s="453">
        <f t="shared" si="15"/>
        <v>0</v>
      </c>
      <c r="K77" s="1856">
        <f>K71</f>
        <v>8</v>
      </c>
      <c r="L77" s="1869">
        <f>J77*K77</f>
        <v>0</v>
      </c>
      <c r="M77" s="1857">
        <v>9000</v>
      </c>
      <c r="N77" s="1858">
        <f t="shared" si="1"/>
        <v>0</v>
      </c>
      <c r="O77" s="1857">
        <f t="shared" si="2"/>
        <v>0</v>
      </c>
    </row>
    <row r="78" spans="2:15" s="442" customFormat="1" outlineLevel="1">
      <c r="B78" s="442" t="s">
        <v>2869</v>
      </c>
      <c r="C78" s="453"/>
      <c r="D78" s="453"/>
      <c r="E78" s="1482">
        <f t="shared" si="21"/>
        <v>0</v>
      </c>
      <c r="F78" s="1875">
        <v>1.3499999999999999E-3</v>
      </c>
      <c r="G78" s="442" t="s">
        <v>1080</v>
      </c>
      <c r="H78" s="453">
        <f t="shared" si="17"/>
        <v>0</v>
      </c>
      <c r="I78" s="453">
        <v>1.05</v>
      </c>
      <c r="J78" s="453">
        <f t="shared" si="15"/>
        <v>0</v>
      </c>
      <c r="K78" s="1856">
        <f t="shared" ref="K78:K82" si="25">K72</f>
        <v>8</v>
      </c>
      <c r="L78" s="1869">
        <f t="shared" ref="L78:L82" si="26">J78*K78</f>
        <v>0</v>
      </c>
      <c r="M78" s="1857">
        <v>9000</v>
      </c>
      <c r="N78" s="1858">
        <f t="shared" si="1"/>
        <v>0</v>
      </c>
      <c r="O78" s="1857">
        <f t="shared" si="2"/>
        <v>0</v>
      </c>
    </row>
    <row r="79" spans="2:15" s="442" customFormat="1" outlineLevel="1">
      <c r="B79" s="442" t="s">
        <v>2870</v>
      </c>
      <c r="C79" s="453"/>
      <c r="D79" s="453"/>
      <c r="E79" s="1482">
        <f t="shared" si="21"/>
        <v>0</v>
      </c>
      <c r="F79" s="1875">
        <v>1.3499999999999999E-3</v>
      </c>
      <c r="G79" s="442" t="s">
        <v>1080</v>
      </c>
      <c r="H79" s="453">
        <f t="shared" si="17"/>
        <v>0</v>
      </c>
      <c r="I79" s="453">
        <v>1.05</v>
      </c>
      <c r="J79" s="453">
        <f t="shared" si="15"/>
        <v>0</v>
      </c>
      <c r="K79" s="1856">
        <f t="shared" si="25"/>
        <v>8</v>
      </c>
      <c r="L79" s="1869">
        <f t="shared" si="26"/>
        <v>0</v>
      </c>
      <c r="M79" s="1857">
        <v>9000</v>
      </c>
      <c r="N79" s="1858">
        <f t="shared" si="1"/>
        <v>0</v>
      </c>
      <c r="O79" s="1857">
        <f t="shared" si="2"/>
        <v>0</v>
      </c>
    </row>
    <row r="80" spans="2:15" s="442" customFormat="1" outlineLevel="1">
      <c r="B80" s="442" t="s">
        <v>2871</v>
      </c>
      <c r="C80" s="453"/>
      <c r="D80" s="453"/>
      <c r="E80" s="1482">
        <f t="shared" si="21"/>
        <v>0</v>
      </c>
      <c r="F80" s="1875">
        <v>1.3499999999999999E-3</v>
      </c>
      <c r="G80" s="442" t="s">
        <v>1080</v>
      </c>
      <c r="H80" s="453">
        <f t="shared" si="17"/>
        <v>0</v>
      </c>
      <c r="I80" s="453">
        <v>1.05</v>
      </c>
      <c r="J80" s="453">
        <f t="shared" si="15"/>
        <v>0</v>
      </c>
      <c r="K80" s="1856">
        <f t="shared" si="25"/>
        <v>4</v>
      </c>
      <c r="L80" s="1869">
        <f t="shared" si="26"/>
        <v>0</v>
      </c>
      <c r="M80" s="1857">
        <v>9000</v>
      </c>
      <c r="N80" s="1858">
        <f t="shared" si="1"/>
        <v>0</v>
      </c>
      <c r="O80" s="1857">
        <f t="shared" si="2"/>
        <v>0</v>
      </c>
    </row>
    <row r="81" spans="2:15" s="442" customFormat="1" outlineLevel="1">
      <c r="B81" s="442" t="s">
        <v>2872</v>
      </c>
      <c r="C81" s="453"/>
      <c r="D81" s="453"/>
      <c r="E81" s="1482">
        <f t="shared" si="21"/>
        <v>0</v>
      </c>
      <c r="F81" s="1875">
        <v>1.3499999999999999E-3</v>
      </c>
      <c r="G81" s="442" t="s">
        <v>1080</v>
      </c>
      <c r="H81" s="453">
        <f t="shared" si="17"/>
        <v>0</v>
      </c>
      <c r="I81" s="453">
        <v>1.05</v>
      </c>
      <c r="J81" s="453">
        <f t="shared" si="15"/>
        <v>0</v>
      </c>
      <c r="K81" s="1856">
        <f t="shared" si="25"/>
        <v>4</v>
      </c>
      <c r="L81" s="1869">
        <f t="shared" si="26"/>
        <v>0</v>
      </c>
      <c r="M81" s="1857">
        <v>9000</v>
      </c>
      <c r="N81" s="1858">
        <f t="shared" si="1"/>
        <v>0</v>
      </c>
      <c r="O81" s="1857">
        <f t="shared" si="2"/>
        <v>0</v>
      </c>
    </row>
    <row r="82" spans="2:15" s="442" customFormat="1" outlineLevel="1">
      <c r="B82" s="1859" t="s">
        <v>2873</v>
      </c>
      <c r="C82" s="1860"/>
      <c r="D82" s="1860"/>
      <c r="E82" s="1861">
        <f t="shared" si="21"/>
        <v>0</v>
      </c>
      <c r="F82" s="1876">
        <v>1.3499999999999999E-3</v>
      </c>
      <c r="G82" s="1859" t="s">
        <v>1080</v>
      </c>
      <c r="H82" s="1860">
        <f t="shared" si="17"/>
        <v>0</v>
      </c>
      <c r="I82" s="1860">
        <v>1.05</v>
      </c>
      <c r="J82" s="1860">
        <f t="shared" si="15"/>
        <v>0</v>
      </c>
      <c r="K82" s="1862">
        <f t="shared" si="25"/>
        <v>4</v>
      </c>
      <c r="L82" s="1874">
        <f t="shared" si="26"/>
        <v>0</v>
      </c>
      <c r="M82" s="1863">
        <v>9000</v>
      </c>
      <c r="N82" s="1864">
        <f t="shared" si="1"/>
        <v>0</v>
      </c>
      <c r="O82" s="1863">
        <f t="shared" si="2"/>
        <v>0</v>
      </c>
    </row>
    <row r="83" spans="2:15" s="442" customFormat="1" outlineLevel="1">
      <c r="B83" s="442" t="s">
        <v>2681</v>
      </c>
      <c r="C83" s="453">
        <v>0.55000000000000004</v>
      </c>
      <c r="D83" s="1877">
        <f>C3</f>
        <v>0</v>
      </c>
      <c r="E83" s="1878">
        <f>D3</f>
        <v>0</v>
      </c>
      <c r="F83" s="453">
        <v>7860</v>
      </c>
      <c r="G83" s="442" t="s">
        <v>97</v>
      </c>
      <c r="H83" s="453">
        <f t="shared" ref="H83:H94" si="27">C83/1000*D83/1000*E83/1000*F83</f>
        <v>0</v>
      </c>
      <c r="I83" s="453">
        <v>1.1499999999999999</v>
      </c>
      <c r="J83" s="453">
        <f t="shared" si="15"/>
        <v>0</v>
      </c>
      <c r="K83" s="1856">
        <v>2</v>
      </c>
      <c r="L83" s="1869">
        <v>1</v>
      </c>
      <c r="M83" s="1857">
        <v>32000</v>
      </c>
      <c r="N83" s="1858">
        <f t="shared" si="1"/>
        <v>0</v>
      </c>
      <c r="O83" s="1857">
        <f t="shared" si="2"/>
        <v>0</v>
      </c>
    </row>
    <row r="84" spans="2:15" s="442" customFormat="1" outlineLevel="1">
      <c r="B84" s="442" t="s">
        <v>2682</v>
      </c>
      <c r="C84" s="453">
        <v>50</v>
      </c>
      <c r="D84" s="453">
        <f>D83</f>
        <v>0</v>
      </c>
      <c r="E84" s="1482">
        <f>E83</f>
        <v>0</v>
      </c>
      <c r="F84" s="453">
        <v>40</v>
      </c>
      <c r="G84" s="442" t="s">
        <v>97</v>
      </c>
      <c r="H84" s="453">
        <f>C84/1000*D84/1000*E84/1000*F84</f>
        <v>0</v>
      </c>
      <c r="I84" s="453">
        <v>1.1000000000000001</v>
      </c>
      <c r="J84" s="453">
        <f>H84*I84</f>
        <v>0</v>
      </c>
      <c r="K84" s="1856">
        <v>1</v>
      </c>
      <c r="L84" s="1869">
        <v>1</v>
      </c>
      <c r="M84" s="1857">
        <v>50000</v>
      </c>
      <c r="N84" s="1858">
        <f t="shared" si="1"/>
        <v>0</v>
      </c>
      <c r="O84" s="1857">
        <f>J84*K84*M84</f>
        <v>0</v>
      </c>
    </row>
    <row r="85" spans="2:15" s="442" customFormat="1" outlineLevel="1">
      <c r="B85" s="442" t="s">
        <v>2683</v>
      </c>
      <c r="C85" s="453">
        <v>0.55000000000000004</v>
      </c>
      <c r="D85" s="453">
        <f>D83</f>
        <v>0</v>
      </c>
      <c r="E85" s="1482">
        <f>E83</f>
        <v>0</v>
      </c>
      <c r="F85" s="453">
        <v>7860</v>
      </c>
      <c r="G85" s="442" t="s">
        <v>97</v>
      </c>
      <c r="H85" s="453">
        <f t="shared" si="27"/>
        <v>0</v>
      </c>
      <c r="I85" s="453">
        <v>1.1499999999999999</v>
      </c>
      <c r="J85" s="453">
        <f t="shared" si="15"/>
        <v>0</v>
      </c>
      <c r="K85" s="1856">
        <v>2</v>
      </c>
      <c r="L85" s="1869">
        <v>1</v>
      </c>
      <c r="M85" s="1857">
        <v>32000</v>
      </c>
      <c r="N85" s="1858">
        <f t="shared" si="1"/>
        <v>0</v>
      </c>
      <c r="O85" s="1857">
        <f t="shared" si="2"/>
        <v>0</v>
      </c>
    </row>
    <row r="86" spans="2:15" s="442" customFormat="1" outlineLevel="1">
      <c r="B86" s="442" t="s">
        <v>2684</v>
      </c>
      <c r="C86" s="453">
        <v>50</v>
      </c>
      <c r="D86" s="453">
        <f>D83</f>
        <v>0</v>
      </c>
      <c r="E86" s="1482">
        <f>E83</f>
        <v>0</v>
      </c>
      <c r="F86" s="453">
        <v>40</v>
      </c>
      <c r="G86" s="442" t="s">
        <v>97</v>
      </c>
      <c r="H86" s="453">
        <f t="shared" si="27"/>
        <v>0</v>
      </c>
      <c r="I86" s="453">
        <v>1.1000000000000001</v>
      </c>
      <c r="J86" s="453">
        <f t="shared" si="15"/>
        <v>0</v>
      </c>
      <c r="K86" s="1856">
        <v>1</v>
      </c>
      <c r="L86" s="1869">
        <v>1</v>
      </c>
      <c r="M86" s="1857">
        <v>50000</v>
      </c>
      <c r="N86" s="1858">
        <f t="shared" si="1"/>
        <v>0</v>
      </c>
      <c r="O86" s="1857">
        <f t="shared" si="2"/>
        <v>0</v>
      </c>
    </row>
    <row r="87" spans="2:15" s="442" customFormat="1" outlineLevel="1">
      <c r="B87" s="442" t="s">
        <v>2685</v>
      </c>
      <c r="C87" s="453">
        <v>0.55000000000000004</v>
      </c>
      <c r="D87" s="1877">
        <f>D3</f>
        <v>0</v>
      </c>
      <c r="E87" s="1878">
        <f>E9</f>
        <v>0</v>
      </c>
      <c r="F87" s="453">
        <v>7860</v>
      </c>
      <c r="G87" s="442" t="s">
        <v>97</v>
      </c>
      <c r="H87" s="453">
        <f t="shared" si="27"/>
        <v>0</v>
      </c>
      <c r="I87" s="453">
        <v>1.1499999999999999</v>
      </c>
      <c r="J87" s="453">
        <f t="shared" si="15"/>
        <v>0</v>
      </c>
      <c r="K87" s="1856">
        <v>2</v>
      </c>
      <c r="L87" s="1869">
        <v>1</v>
      </c>
      <c r="M87" s="1857">
        <v>32000</v>
      </c>
      <c r="N87" s="1858">
        <f t="shared" si="1"/>
        <v>0</v>
      </c>
      <c r="O87" s="1857">
        <f t="shared" si="2"/>
        <v>0</v>
      </c>
    </row>
    <row r="88" spans="2:15" s="442" customFormat="1" outlineLevel="1">
      <c r="B88" s="442" t="s">
        <v>2686</v>
      </c>
      <c r="C88" s="453">
        <v>50</v>
      </c>
      <c r="D88" s="453">
        <f>D87</f>
        <v>0</v>
      </c>
      <c r="E88" s="1482">
        <f>E87</f>
        <v>0</v>
      </c>
      <c r="F88" s="453">
        <v>40</v>
      </c>
      <c r="G88" s="442" t="s">
        <v>97</v>
      </c>
      <c r="H88" s="453">
        <f t="shared" si="27"/>
        <v>0</v>
      </c>
      <c r="I88" s="453">
        <v>1.1000000000000001</v>
      </c>
      <c r="J88" s="453">
        <f t="shared" si="15"/>
        <v>0</v>
      </c>
      <c r="K88" s="1856">
        <v>1</v>
      </c>
      <c r="L88" s="1869">
        <v>1</v>
      </c>
      <c r="M88" s="1857">
        <v>50000</v>
      </c>
      <c r="N88" s="1858">
        <f t="shared" si="1"/>
        <v>0</v>
      </c>
      <c r="O88" s="1857">
        <f t="shared" si="2"/>
        <v>0</v>
      </c>
    </row>
    <row r="89" spans="2:15" s="442" customFormat="1" outlineLevel="1">
      <c r="B89" s="442" t="s">
        <v>2687</v>
      </c>
      <c r="C89" s="453">
        <v>0.55000000000000004</v>
      </c>
      <c r="D89" s="453">
        <f>D87</f>
        <v>0</v>
      </c>
      <c r="E89" s="1482">
        <f>E87</f>
        <v>0</v>
      </c>
      <c r="F89" s="453">
        <v>7860</v>
      </c>
      <c r="G89" s="442" t="s">
        <v>97</v>
      </c>
      <c r="H89" s="453">
        <f t="shared" si="27"/>
        <v>0</v>
      </c>
      <c r="I89" s="453">
        <v>1.1499999999999999</v>
      </c>
      <c r="J89" s="453">
        <f t="shared" si="15"/>
        <v>0</v>
      </c>
      <c r="K89" s="1856">
        <v>2</v>
      </c>
      <c r="L89" s="1869">
        <v>1</v>
      </c>
      <c r="M89" s="1857">
        <v>32000</v>
      </c>
      <c r="N89" s="1858">
        <f t="shared" si="1"/>
        <v>0</v>
      </c>
      <c r="O89" s="1857">
        <f t="shared" si="2"/>
        <v>0</v>
      </c>
    </row>
    <row r="90" spans="2:15" s="442" customFormat="1" outlineLevel="1">
      <c r="B90" s="442" t="s">
        <v>2688</v>
      </c>
      <c r="C90" s="453">
        <v>50</v>
      </c>
      <c r="D90" s="453">
        <f>D87</f>
        <v>0</v>
      </c>
      <c r="E90" s="1482">
        <f>E87</f>
        <v>0</v>
      </c>
      <c r="F90" s="453">
        <v>40</v>
      </c>
      <c r="G90" s="442" t="s">
        <v>97</v>
      </c>
      <c r="H90" s="453">
        <f t="shared" si="27"/>
        <v>0</v>
      </c>
      <c r="I90" s="453">
        <v>1.1000000000000001</v>
      </c>
      <c r="J90" s="453">
        <f t="shared" si="15"/>
        <v>0</v>
      </c>
      <c r="K90" s="1856">
        <v>1</v>
      </c>
      <c r="L90" s="1869">
        <v>1</v>
      </c>
      <c r="M90" s="1857">
        <v>50000</v>
      </c>
      <c r="N90" s="1858">
        <f t="shared" si="1"/>
        <v>0</v>
      </c>
      <c r="O90" s="1857">
        <f t="shared" si="2"/>
        <v>0</v>
      </c>
    </row>
    <row r="91" spans="2:15" s="442" customFormat="1" outlineLevel="1">
      <c r="B91" s="442" t="s">
        <v>2689</v>
      </c>
      <c r="C91" s="453">
        <v>0.55000000000000004</v>
      </c>
      <c r="D91" s="1877">
        <f>C3</f>
        <v>0</v>
      </c>
      <c r="E91" s="1878">
        <f>E3</f>
        <v>0</v>
      </c>
      <c r="F91" s="453">
        <v>7860</v>
      </c>
      <c r="G91" s="442" t="s">
        <v>97</v>
      </c>
      <c r="H91" s="453">
        <f t="shared" si="27"/>
        <v>0</v>
      </c>
      <c r="I91" s="453">
        <v>1.1499999999999999</v>
      </c>
      <c r="J91" s="453">
        <f t="shared" si="15"/>
        <v>0</v>
      </c>
      <c r="K91" s="1856">
        <v>2</v>
      </c>
      <c r="L91" s="1869">
        <v>1</v>
      </c>
      <c r="M91" s="1857">
        <v>32000</v>
      </c>
      <c r="N91" s="1858">
        <f t="shared" si="1"/>
        <v>0</v>
      </c>
      <c r="O91" s="1857">
        <f t="shared" si="2"/>
        <v>0</v>
      </c>
    </row>
    <row r="92" spans="2:15" s="442" customFormat="1" outlineLevel="1">
      <c r="B92" s="442" t="s">
        <v>2690</v>
      </c>
      <c r="C92" s="453">
        <v>50</v>
      </c>
      <c r="D92" s="453">
        <f>D91</f>
        <v>0</v>
      </c>
      <c r="E92" s="1482">
        <f>E91</f>
        <v>0</v>
      </c>
      <c r="F92" s="453">
        <v>40</v>
      </c>
      <c r="G92" s="442" t="s">
        <v>97</v>
      </c>
      <c r="H92" s="453">
        <f t="shared" si="27"/>
        <v>0</v>
      </c>
      <c r="I92" s="453">
        <v>1.1000000000000001</v>
      </c>
      <c r="J92" s="453">
        <f t="shared" si="15"/>
        <v>0</v>
      </c>
      <c r="K92" s="1856">
        <v>1</v>
      </c>
      <c r="L92" s="1869">
        <v>1</v>
      </c>
      <c r="M92" s="1857">
        <v>50000</v>
      </c>
      <c r="N92" s="1858">
        <f t="shared" si="1"/>
        <v>0</v>
      </c>
      <c r="O92" s="1857">
        <f t="shared" si="2"/>
        <v>0</v>
      </c>
    </row>
    <row r="93" spans="2:15" s="442" customFormat="1" outlineLevel="1">
      <c r="B93" s="442" t="s">
        <v>2691</v>
      </c>
      <c r="C93" s="453">
        <v>0.55000000000000004</v>
      </c>
      <c r="D93" s="453">
        <f>D91</f>
        <v>0</v>
      </c>
      <c r="E93" s="1482">
        <f>E91</f>
        <v>0</v>
      </c>
      <c r="F93" s="453">
        <v>7860</v>
      </c>
      <c r="G93" s="442" t="s">
        <v>97</v>
      </c>
      <c r="H93" s="453">
        <f t="shared" si="27"/>
        <v>0</v>
      </c>
      <c r="I93" s="453">
        <v>1.1499999999999999</v>
      </c>
      <c r="J93" s="453">
        <f t="shared" si="15"/>
        <v>0</v>
      </c>
      <c r="K93" s="1856">
        <v>2</v>
      </c>
      <c r="L93" s="1869">
        <v>1</v>
      </c>
      <c r="M93" s="1857">
        <v>32000</v>
      </c>
      <c r="N93" s="1858">
        <f t="shared" si="1"/>
        <v>0</v>
      </c>
      <c r="O93" s="1857">
        <f>J93*K93*M93</f>
        <v>0</v>
      </c>
    </row>
    <row r="94" spans="2:15" s="442" customFormat="1" outlineLevel="1">
      <c r="B94" s="442" t="s">
        <v>2692</v>
      </c>
      <c r="C94" s="453">
        <v>50</v>
      </c>
      <c r="D94" s="453">
        <f>D91</f>
        <v>0</v>
      </c>
      <c r="E94" s="1482">
        <f>E91</f>
        <v>0</v>
      </c>
      <c r="F94" s="453">
        <v>40</v>
      </c>
      <c r="G94" s="442" t="s">
        <v>97</v>
      </c>
      <c r="H94" s="453">
        <f t="shared" si="27"/>
        <v>0</v>
      </c>
      <c r="I94" s="453">
        <v>1.1000000000000001</v>
      </c>
      <c r="J94" s="453">
        <f t="shared" si="15"/>
        <v>0</v>
      </c>
      <c r="K94" s="1856">
        <v>1</v>
      </c>
      <c r="L94" s="1869">
        <v>1</v>
      </c>
      <c r="M94" s="1857">
        <v>50000</v>
      </c>
      <c r="N94" s="1858">
        <f t="shared" ref="N94:N95" si="28">H94*K94*L94</f>
        <v>0</v>
      </c>
      <c r="O94" s="1857">
        <f t="shared" ref="O94:O95" si="29">J94*K94*M94</f>
        <v>0</v>
      </c>
    </row>
    <row r="95" spans="2:15" s="442" customFormat="1">
      <c r="C95" s="453"/>
      <c r="D95" s="453"/>
      <c r="E95" s="1482"/>
      <c r="F95" s="453"/>
      <c r="H95" s="453"/>
      <c r="I95" s="453"/>
      <c r="J95" s="453"/>
      <c r="K95" s="1856"/>
      <c r="L95" s="1869"/>
      <c r="M95" s="1857"/>
      <c r="N95" s="1858">
        <f t="shared" si="28"/>
        <v>0</v>
      </c>
      <c r="O95" s="1857">
        <f t="shared" si="29"/>
        <v>0</v>
      </c>
    </row>
    <row r="96" spans="2:15" s="442" customFormat="1">
      <c r="C96" s="453"/>
      <c r="D96" s="453"/>
      <c r="F96" s="453"/>
      <c r="H96" s="453"/>
      <c r="I96" s="453"/>
      <c r="K96" s="1856"/>
      <c r="L96" s="453"/>
      <c r="M96" s="1857"/>
      <c r="N96" s="1865">
        <f>SUM(N18:N95)</f>
        <v>1652.747006751724</v>
      </c>
      <c r="O96" s="1866">
        <f>SUM(O18:O95)</f>
        <v>16541939.527518535</v>
      </c>
    </row>
    <row r="99" spans="14:15">
      <c r="N99" s="368"/>
      <c r="O99" s="368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17A68-D51A-4D80-BDA9-D7E40EC9BB65}">
  <dimension ref="A1:T60"/>
  <sheetViews>
    <sheetView topLeftCell="A19" workbookViewId="0">
      <selection activeCell="K27" sqref="K27"/>
    </sheetView>
  </sheetViews>
  <sheetFormatPr defaultColWidth="9.140625" defaultRowHeight="14.25"/>
  <cols>
    <col min="1" max="1" width="21" style="368" bestFit="1" customWidth="1"/>
    <col min="2" max="2" width="31.5703125" style="368" bestFit="1" customWidth="1"/>
    <col min="3" max="3" width="6.28515625" style="1846" customWidth="1"/>
    <col min="4" max="4" width="8.28515625" style="1846" bestFit="1" customWidth="1"/>
    <col min="5" max="5" width="7.7109375" style="368" bestFit="1" customWidth="1"/>
    <col min="6" max="6" width="9.7109375" style="1846" customWidth="1"/>
    <col min="7" max="7" width="4.7109375" style="368" bestFit="1" customWidth="1"/>
    <col min="8" max="8" width="6.5703125" style="1846" bestFit="1" customWidth="1"/>
    <col min="9" max="9" width="6.140625" style="1846" bestFit="1" customWidth="1"/>
    <col min="10" max="10" width="6.5703125" style="368" bestFit="1" customWidth="1"/>
    <col min="11" max="11" width="5.5703125" style="1477" bestFit="1" customWidth="1"/>
    <col min="12" max="12" width="8.42578125" style="1846" bestFit="1" customWidth="1"/>
    <col min="13" max="13" width="9.28515625" style="1847" bestFit="1" customWidth="1"/>
    <col min="14" max="14" width="6.5703125" style="368" bestFit="1" customWidth="1"/>
    <col min="15" max="15" width="10.28515625" style="368" bestFit="1" customWidth="1"/>
    <col min="16" max="17" width="9.140625" style="368"/>
    <col min="18" max="18" width="14.140625" style="368" bestFit="1" customWidth="1"/>
    <col min="19" max="19" width="11.42578125" style="1879" bestFit="1" customWidth="1"/>
    <col min="20" max="21" width="10.42578125" style="368" bestFit="1" customWidth="1"/>
    <col min="22" max="16384" width="9.140625" style="368"/>
  </cols>
  <sheetData>
    <row r="1" spans="2:19">
      <c r="B1" s="368" t="s">
        <v>2876</v>
      </c>
      <c r="C1" s="1845" t="s">
        <v>19</v>
      </c>
      <c r="D1" s="1845" t="s">
        <v>21</v>
      </c>
      <c r="E1" s="1786" t="s">
        <v>20</v>
      </c>
      <c r="N1" s="1481"/>
      <c r="S1" s="368"/>
    </row>
    <row r="2" spans="2:19">
      <c r="B2" s="1848" t="s">
        <v>2643</v>
      </c>
      <c r="C2" s="1849">
        <v>1420</v>
      </c>
      <c r="D2" s="1849">
        <v>1930</v>
      </c>
      <c r="E2" s="1849">
        <v>1625</v>
      </c>
      <c r="G2" s="1846" t="s">
        <v>1193</v>
      </c>
      <c r="H2" s="1846" t="s">
        <v>2644</v>
      </c>
      <c r="I2" s="368">
        <f>I3*1000</f>
        <v>748.03194444444443</v>
      </c>
      <c r="K2" s="1477" t="s">
        <v>1433</v>
      </c>
      <c r="L2" s="1846" t="s">
        <v>1152</v>
      </c>
      <c r="M2" s="1847">
        <v>20.309999999999999</v>
      </c>
      <c r="N2" s="1481"/>
      <c r="O2" s="368" t="s">
        <v>2867</v>
      </c>
      <c r="S2" s="368"/>
    </row>
    <row r="3" spans="2:19">
      <c r="B3" s="1848" t="s">
        <v>2645</v>
      </c>
      <c r="C3" s="1849"/>
      <c r="D3" s="1849"/>
      <c r="E3" s="1849"/>
      <c r="G3" s="1846"/>
      <c r="H3" s="368" t="s">
        <v>2646</v>
      </c>
      <c r="I3" s="368">
        <f>I4/3600</f>
        <v>0.74803194444444443</v>
      </c>
      <c r="L3" s="1846" t="s">
        <v>2647</v>
      </c>
      <c r="M3" s="1850">
        <f>M2*3412</f>
        <v>69297.72</v>
      </c>
      <c r="N3" s="1481"/>
      <c r="S3" s="368"/>
    </row>
    <row r="4" spans="2:19">
      <c r="C4" s="1849"/>
      <c r="D4" s="1849"/>
      <c r="G4" s="1846"/>
      <c r="H4" s="1846" t="s">
        <v>1153</v>
      </c>
      <c r="I4" s="368">
        <f>I5*1.699</f>
        <v>2692.915</v>
      </c>
      <c r="L4" s="1846" t="s">
        <v>8</v>
      </c>
      <c r="M4" s="1847">
        <f>M3/10000</f>
        <v>6.9297719999999998</v>
      </c>
      <c r="N4" s="1481"/>
      <c r="S4" s="368"/>
    </row>
    <row r="5" spans="2:19">
      <c r="C5" s="1849"/>
      <c r="D5" s="1849"/>
      <c r="G5" s="1846"/>
      <c r="H5" s="1846" t="s">
        <v>2648</v>
      </c>
      <c r="I5" s="1849">
        <v>1585</v>
      </c>
      <c r="K5" s="1477" t="s">
        <v>2649</v>
      </c>
      <c r="L5" s="1846" t="s">
        <v>1152</v>
      </c>
      <c r="M5" s="1847">
        <v>93.55</v>
      </c>
      <c r="N5" s="1481"/>
      <c r="S5" s="368"/>
    </row>
    <row r="6" spans="2:19">
      <c r="C6" s="1849"/>
      <c r="D6" s="1849"/>
      <c r="G6" s="368" t="s">
        <v>1347</v>
      </c>
      <c r="H6" s="1846" t="s">
        <v>2644</v>
      </c>
      <c r="I6" s="368">
        <f>I7*1000</f>
        <v>4530.666666666667</v>
      </c>
      <c r="L6" s="1846" t="s">
        <v>2647</v>
      </c>
      <c r="M6" s="1850">
        <f>M5*3412</f>
        <v>319192.59999999998</v>
      </c>
      <c r="N6" s="1481"/>
      <c r="S6" s="368"/>
    </row>
    <row r="7" spans="2:19">
      <c r="B7" s="1851"/>
      <c r="C7" s="1852"/>
      <c r="D7" s="1852"/>
      <c r="E7" s="1851"/>
      <c r="H7" s="368" t="s">
        <v>2646</v>
      </c>
      <c r="I7" s="368">
        <f>I8/3600</f>
        <v>4.5306666666666668</v>
      </c>
      <c r="L7" s="1846" t="s">
        <v>8</v>
      </c>
      <c r="M7" s="1847">
        <f>M6/10000</f>
        <v>31.919259999999998</v>
      </c>
      <c r="N7" s="1481"/>
      <c r="O7" s="1846"/>
      <c r="P7" s="1846"/>
      <c r="S7" s="368"/>
    </row>
    <row r="8" spans="2:19">
      <c r="B8" s="368" t="s">
        <v>2650</v>
      </c>
      <c r="C8" s="1849"/>
      <c r="D8" s="1849">
        <f>D2</f>
        <v>1930</v>
      </c>
      <c r="E8" s="1849">
        <f>E2</f>
        <v>1625</v>
      </c>
      <c r="H8" s="1846" t="s">
        <v>1153</v>
      </c>
      <c r="I8" s="368">
        <f>I9*1.699</f>
        <v>16310.400000000001</v>
      </c>
      <c r="N8" s="1481"/>
      <c r="O8" s="1846"/>
      <c r="S8" s="368"/>
    </row>
    <row r="9" spans="2:19">
      <c r="B9" s="368" t="s">
        <v>2651</v>
      </c>
      <c r="C9" s="1849"/>
      <c r="D9" s="1849">
        <f>D3</f>
        <v>0</v>
      </c>
      <c r="E9" s="1849">
        <f>E3</f>
        <v>0</v>
      </c>
      <c r="G9" s="1477"/>
      <c r="H9" s="1846" t="s">
        <v>2648</v>
      </c>
      <c r="I9" s="1849">
        <v>9600</v>
      </c>
      <c r="N9" s="1481"/>
      <c r="O9" s="1846"/>
      <c r="P9" s="1846"/>
      <c r="S9" s="368"/>
    </row>
    <row r="10" spans="2:19">
      <c r="C10" s="1849"/>
      <c r="D10" s="1849"/>
      <c r="G10" s="1477"/>
      <c r="I10" s="1849"/>
      <c r="N10" s="1481"/>
      <c r="O10" s="1846"/>
      <c r="P10" s="1846"/>
      <c r="Q10" s="1849"/>
      <c r="S10" s="368"/>
    </row>
    <row r="11" spans="2:19">
      <c r="B11" s="1851"/>
      <c r="C11" s="1852"/>
      <c r="D11" s="1852"/>
      <c r="E11" s="1851"/>
      <c r="G11" s="1477"/>
      <c r="I11" s="1849"/>
      <c r="N11" s="1481"/>
      <c r="S11" s="368"/>
    </row>
    <row r="12" spans="2:19">
      <c r="B12" s="368" t="s">
        <v>2652</v>
      </c>
      <c r="C12" s="1849">
        <v>810</v>
      </c>
      <c r="D12" s="1849">
        <v>1100</v>
      </c>
      <c r="G12" s="1477"/>
      <c r="I12" s="1849"/>
      <c r="N12" s="1481"/>
      <c r="S12" s="368"/>
    </row>
    <row r="13" spans="2:19">
      <c r="B13" s="1851" t="s">
        <v>2653</v>
      </c>
      <c r="C13" s="1852">
        <v>310</v>
      </c>
      <c r="D13" s="1852">
        <v>800</v>
      </c>
      <c r="E13" s="1851"/>
      <c r="G13" s="1477"/>
      <c r="I13" s="1849"/>
      <c r="N13" s="1481"/>
      <c r="S13" s="368"/>
    </row>
    <row r="14" spans="2:19">
      <c r="B14" s="368" t="s">
        <v>2654</v>
      </c>
      <c r="C14" s="1849">
        <f>C2-100</f>
        <v>1320</v>
      </c>
      <c r="D14" s="1849">
        <f>D2-100</f>
        <v>1830</v>
      </c>
      <c r="G14" s="1477"/>
      <c r="I14" s="1849"/>
      <c r="N14" s="1481"/>
      <c r="S14" s="368"/>
    </row>
    <row r="15" spans="2:19">
      <c r="B15" s="368" t="s">
        <v>2655</v>
      </c>
      <c r="C15" s="1849">
        <f>C2-100</f>
        <v>1320</v>
      </c>
      <c r="D15" s="1849">
        <f>D2-100</f>
        <v>1830</v>
      </c>
      <c r="G15" s="1477"/>
      <c r="I15" s="1849"/>
      <c r="N15" s="1481"/>
      <c r="S15" s="368"/>
    </row>
    <row r="16" spans="2:19">
      <c r="C16" s="368"/>
      <c r="D16" s="368"/>
      <c r="G16" s="1477"/>
      <c r="I16" s="1849"/>
      <c r="N16" s="1481"/>
      <c r="S16" s="368"/>
    </row>
    <row r="17" spans="1:19">
      <c r="C17" s="1845" t="s">
        <v>1071</v>
      </c>
      <c r="D17" s="1845" t="s">
        <v>1072</v>
      </c>
      <c r="E17" s="1786" t="s">
        <v>21</v>
      </c>
      <c r="F17" s="1845" t="s">
        <v>1975</v>
      </c>
      <c r="G17" s="1786" t="s">
        <v>1085</v>
      </c>
      <c r="H17" s="1846" t="s">
        <v>2656</v>
      </c>
      <c r="I17" s="1845" t="s">
        <v>34</v>
      </c>
      <c r="J17" s="1845" t="s">
        <v>13</v>
      </c>
      <c r="K17" s="1479" t="s">
        <v>2657</v>
      </c>
      <c r="L17" s="1845" t="s">
        <v>2658</v>
      </c>
      <c r="M17" s="1853" t="s">
        <v>2659</v>
      </c>
      <c r="N17" s="1845" t="s">
        <v>97</v>
      </c>
      <c r="O17" s="1853" t="s">
        <v>115</v>
      </c>
    </row>
    <row r="18" spans="1:19" s="442" customFormat="1">
      <c r="A18" s="442" t="s">
        <v>2693</v>
      </c>
      <c r="B18" s="442" t="s">
        <v>2875</v>
      </c>
      <c r="C18" s="453">
        <v>1.5</v>
      </c>
      <c r="D18" s="453">
        <f t="shared" ref="D18:D29" si="0">25+50+25</f>
        <v>100</v>
      </c>
      <c r="E18" s="1482">
        <v>210</v>
      </c>
      <c r="F18" s="453">
        <v>7860</v>
      </c>
      <c r="G18" s="442" t="s">
        <v>97</v>
      </c>
      <c r="H18" s="453">
        <f>C18/1000*D18/1000*E18/1000*F18</f>
        <v>0.24759</v>
      </c>
      <c r="I18" s="453">
        <v>1.5</v>
      </c>
      <c r="J18" s="453">
        <f t="shared" ref="J18:J59" si="1">H18*I18</f>
        <v>0.37138500000000002</v>
      </c>
      <c r="K18" s="1856">
        <v>0</v>
      </c>
      <c r="L18" s="453">
        <v>1</v>
      </c>
      <c r="M18" s="1857">
        <v>24000</v>
      </c>
      <c r="N18" s="453">
        <f t="shared" ref="N18:N59" si="2">H18*K18*L18</f>
        <v>0</v>
      </c>
      <c r="O18" s="1857">
        <f t="shared" ref="O18:O59" si="3">J18*K18*M18</f>
        <v>0</v>
      </c>
      <c r="P18" s="368"/>
      <c r="Q18" s="368"/>
      <c r="S18" s="1880"/>
    </row>
    <row r="19" spans="1:19" s="442" customFormat="1">
      <c r="B19" s="442" t="s">
        <v>2877</v>
      </c>
      <c r="C19" s="453">
        <v>1.5</v>
      </c>
      <c r="D19" s="453">
        <f t="shared" si="0"/>
        <v>100</v>
      </c>
      <c r="E19" s="1482">
        <v>300</v>
      </c>
      <c r="F19" s="453">
        <v>7860</v>
      </c>
      <c r="G19" s="442" t="s">
        <v>97</v>
      </c>
      <c r="H19" s="453">
        <f>C19/1000*D19/1000*E19/1000*F19</f>
        <v>0.35369999999999996</v>
      </c>
      <c r="I19" s="453">
        <v>1.5</v>
      </c>
      <c r="J19" s="453">
        <f t="shared" si="1"/>
        <v>0.53054999999999997</v>
      </c>
      <c r="K19" s="1856">
        <v>0</v>
      </c>
      <c r="L19" s="453">
        <v>1</v>
      </c>
      <c r="M19" s="1857">
        <v>24000</v>
      </c>
      <c r="N19" s="453">
        <f t="shared" si="2"/>
        <v>0</v>
      </c>
      <c r="O19" s="1857">
        <f t="shared" si="3"/>
        <v>0</v>
      </c>
      <c r="P19" s="368"/>
      <c r="Q19" s="368"/>
      <c r="S19" s="1880"/>
    </row>
    <row r="20" spans="1:19" s="442" customFormat="1">
      <c r="B20" s="442" t="s">
        <v>2694</v>
      </c>
      <c r="C20" s="453">
        <v>1.5</v>
      </c>
      <c r="D20" s="453">
        <f t="shared" si="0"/>
        <v>100</v>
      </c>
      <c r="E20" s="1482">
        <f>D14</f>
        <v>1830</v>
      </c>
      <c r="F20" s="453">
        <v>7860</v>
      </c>
      <c r="G20" s="442" t="s">
        <v>97</v>
      </c>
      <c r="H20" s="453">
        <f t="shared" ref="H20:H37" si="4">C20/1000*D20/1000*E20/1000*F20</f>
        <v>2.1575699999999998</v>
      </c>
      <c r="I20" s="453">
        <v>1.5</v>
      </c>
      <c r="J20" s="453">
        <f t="shared" si="1"/>
        <v>3.2363549999999996</v>
      </c>
      <c r="K20" s="1856">
        <v>0</v>
      </c>
      <c r="L20" s="453">
        <v>1</v>
      </c>
      <c r="M20" s="1857">
        <v>24000</v>
      </c>
      <c r="N20" s="453">
        <f t="shared" si="2"/>
        <v>0</v>
      </c>
      <c r="O20" s="1857">
        <f t="shared" si="3"/>
        <v>0</v>
      </c>
      <c r="P20" s="368"/>
      <c r="Q20" s="368"/>
      <c r="S20" s="1880"/>
    </row>
    <row r="21" spans="1:19" s="442" customFormat="1">
      <c r="B21" s="442" t="s">
        <v>2695</v>
      </c>
      <c r="C21" s="453">
        <v>1.5</v>
      </c>
      <c r="D21" s="453">
        <f t="shared" si="0"/>
        <v>100</v>
      </c>
      <c r="E21" s="1482">
        <f>C14</f>
        <v>1320</v>
      </c>
      <c r="F21" s="453">
        <v>7860</v>
      </c>
      <c r="G21" s="442" t="s">
        <v>97</v>
      </c>
      <c r="H21" s="453">
        <f t="shared" si="4"/>
        <v>1.5562799999999999</v>
      </c>
      <c r="I21" s="453">
        <v>1.5</v>
      </c>
      <c r="J21" s="453">
        <f t="shared" si="1"/>
        <v>2.3344199999999997</v>
      </c>
      <c r="K21" s="1856">
        <v>0</v>
      </c>
      <c r="L21" s="453">
        <v>1</v>
      </c>
      <c r="M21" s="1857">
        <v>24000</v>
      </c>
      <c r="N21" s="453">
        <f t="shared" si="2"/>
        <v>0</v>
      </c>
      <c r="O21" s="1857">
        <f t="shared" si="3"/>
        <v>0</v>
      </c>
      <c r="P21" s="368"/>
      <c r="Q21" s="368"/>
      <c r="S21" s="1880"/>
    </row>
    <row r="22" spans="1:19" s="442" customFormat="1">
      <c r="B22" s="442" t="s">
        <v>2696</v>
      </c>
      <c r="C22" s="453">
        <v>1.5</v>
      </c>
      <c r="D22" s="453">
        <f t="shared" si="0"/>
        <v>100</v>
      </c>
      <c r="E22" s="1482">
        <f>D13</f>
        <v>800</v>
      </c>
      <c r="F22" s="453">
        <v>7860</v>
      </c>
      <c r="G22" s="442" t="s">
        <v>97</v>
      </c>
      <c r="H22" s="453">
        <f>C22/1000*D22/1000*E22/1000*F22</f>
        <v>0.94319999999999993</v>
      </c>
      <c r="I22" s="453">
        <v>1.5</v>
      </c>
      <c r="J22" s="453">
        <f t="shared" si="1"/>
        <v>1.4147999999999998</v>
      </c>
      <c r="K22" s="1856">
        <v>0</v>
      </c>
      <c r="L22" s="453">
        <v>1</v>
      </c>
      <c r="M22" s="1857">
        <v>24000</v>
      </c>
      <c r="N22" s="453">
        <f t="shared" si="2"/>
        <v>0</v>
      </c>
      <c r="O22" s="1857">
        <f t="shared" si="3"/>
        <v>0</v>
      </c>
      <c r="P22" s="368"/>
      <c r="Q22" s="368"/>
      <c r="S22" s="1880"/>
    </row>
    <row r="23" spans="1:19" s="442" customFormat="1">
      <c r="B23" s="442" t="s">
        <v>2697</v>
      </c>
      <c r="C23" s="453">
        <v>1.5</v>
      </c>
      <c r="D23" s="453">
        <f t="shared" si="0"/>
        <v>100</v>
      </c>
      <c r="E23" s="1482">
        <f>C13</f>
        <v>310</v>
      </c>
      <c r="F23" s="453">
        <v>7860</v>
      </c>
      <c r="G23" s="442" t="s">
        <v>97</v>
      </c>
      <c r="H23" s="453">
        <f>C23/1000*D23/1000*E23/1000*F23</f>
        <v>0.36548999999999993</v>
      </c>
      <c r="I23" s="453">
        <v>1.5</v>
      </c>
      <c r="J23" s="453">
        <f t="shared" si="1"/>
        <v>0.54823499999999992</v>
      </c>
      <c r="K23" s="1856">
        <v>0</v>
      </c>
      <c r="L23" s="453">
        <v>1</v>
      </c>
      <c r="M23" s="1857">
        <v>24000</v>
      </c>
      <c r="N23" s="453">
        <f t="shared" si="2"/>
        <v>0</v>
      </c>
      <c r="O23" s="1857">
        <f t="shared" si="3"/>
        <v>0</v>
      </c>
      <c r="P23" s="368"/>
      <c r="Q23" s="368"/>
      <c r="S23" s="1880"/>
    </row>
    <row r="24" spans="1:19" s="442" customFormat="1">
      <c r="B24" s="442" t="s">
        <v>2698</v>
      </c>
      <c r="C24" s="453">
        <v>1.5</v>
      </c>
      <c r="D24" s="453">
        <f t="shared" si="0"/>
        <v>100</v>
      </c>
      <c r="E24" s="1482">
        <f>D15</f>
        <v>1830</v>
      </c>
      <c r="F24" s="453">
        <v>7860</v>
      </c>
      <c r="G24" s="442" t="s">
        <v>97</v>
      </c>
      <c r="H24" s="453">
        <f>C24/1000*D24/1000*E24/1000*F24</f>
        <v>2.1575699999999998</v>
      </c>
      <c r="I24" s="453">
        <v>1.5</v>
      </c>
      <c r="J24" s="453">
        <f t="shared" si="1"/>
        <v>3.2363549999999996</v>
      </c>
      <c r="K24" s="1856">
        <v>2</v>
      </c>
      <c r="L24" s="453">
        <v>1</v>
      </c>
      <c r="M24" s="1857">
        <v>24000</v>
      </c>
      <c r="N24" s="453">
        <f t="shared" si="2"/>
        <v>4.3151399999999995</v>
      </c>
      <c r="O24" s="1857">
        <f t="shared" si="3"/>
        <v>155345.03999999998</v>
      </c>
      <c r="P24" s="368"/>
      <c r="Q24" s="368"/>
      <c r="S24" s="1880"/>
    </row>
    <row r="25" spans="1:19" s="442" customFormat="1">
      <c r="B25" s="1859" t="s">
        <v>2699</v>
      </c>
      <c r="C25" s="1860">
        <v>1.5</v>
      </c>
      <c r="D25" s="1860">
        <f t="shared" si="0"/>
        <v>100</v>
      </c>
      <c r="E25" s="1861">
        <f>C15</f>
        <v>1320</v>
      </c>
      <c r="F25" s="453">
        <v>7860</v>
      </c>
      <c r="G25" s="1859" t="s">
        <v>97</v>
      </c>
      <c r="H25" s="1860">
        <f>C25/1000*D25/1000*E25/1000*F25</f>
        <v>1.5562799999999999</v>
      </c>
      <c r="I25" s="453">
        <v>1.5</v>
      </c>
      <c r="J25" s="1860">
        <f t="shared" si="1"/>
        <v>2.3344199999999997</v>
      </c>
      <c r="K25" s="1862">
        <v>2</v>
      </c>
      <c r="L25" s="1860">
        <v>1</v>
      </c>
      <c r="M25" s="1857">
        <v>24000</v>
      </c>
      <c r="N25" s="1860">
        <f t="shared" si="2"/>
        <v>3.1125599999999998</v>
      </c>
      <c r="O25" s="1863">
        <f t="shared" si="3"/>
        <v>112052.15999999999</v>
      </c>
      <c r="P25" s="368"/>
      <c r="Q25" s="368"/>
      <c r="S25" s="1880"/>
    </row>
    <row r="26" spans="1:19" s="442" customFormat="1">
      <c r="A26" s="442" t="s">
        <v>2700</v>
      </c>
      <c r="B26" s="442" t="s">
        <v>2701</v>
      </c>
      <c r="C26" s="453">
        <v>1.5</v>
      </c>
      <c r="D26" s="453">
        <f t="shared" si="0"/>
        <v>100</v>
      </c>
      <c r="E26" s="1482">
        <f>C2-100</f>
        <v>1320</v>
      </c>
      <c r="F26" s="453">
        <v>7860</v>
      </c>
      <c r="G26" s="442" t="s">
        <v>97</v>
      </c>
      <c r="H26" s="453">
        <f t="shared" si="4"/>
        <v>1.5562799999999999</v>
      </c>
      <c r="I26" s="453">
        <v>1.1499999999999999</v>
      </c>
      <c r="J26" s="453">
        <f t="shared" si="1"/>
        <v>1.7897219999999998</v>
      </c>
      <c r="K26" s="1856">
        <v>2</v>
      </c>
      <c r="L26" s="453">
        <v>1</v>
      </c>
      <c r="M26" s="1857">
        <v>24000</v>
      </c>
      <c r="N26" s="453">
        <f t="shared" si="2"/>
        <v>3.1125599999999998</v>
      </c>
      <c r="O26" s="1857">
        <f t="shared" si="3"/>
        <v>85906.655999999988</v>
      </c>
      <c r="P26" s="368"/>
      <c r="Q26" s="368"/>
      <c r="S26" s="1880"/>
    </row>
    <row r="27" spans="1:19" s="442" customFormat="1">
      <c r="B27" s="442" t="s">
        <v>2702</v>
      </c>
      <c r="C27" s="453">
        <v>1.5</v>
      </c>
      <c r="D27" s="453">
        <f t="shared" si="0"/>
        <v>100</v>
      </c>
      <c r="E27" s="1482">
        <f>D2-100</f>
        <v>1830</v>
      </c>
      <c r="F27" s="453">
        <v>7860</v>
      </c>
      <c r="G27" s="442" t="s">
        <v>97</v>
      </c>
      <c r="H27" s="453">
        <f t="shared" si="4"/>
        <v>2.1575699999999998</v>
      </c>
      <c r="I27" s="453">
        <v>1.1499999999999999</v>
      </c>
      <c r="J27" s="453">
        <f t="shared" si="1"/>
        <v>2.4812054999999997</v>
      </c>
      <c r="K27" s="1856">
        <v>2</v>
      </c>
      <c r="L27" s="453">
        <v>1</v>
      </c>
      <c r="M27" s="1857">
        <v>24000</v>
      </c>
      <c r="N27" s="453">
        <f t="shared" si="2"/>
        <v>4.3151399999999995</v>
      </c>
      <c r="O27" s="1857">
        <f t="shared" si="3"/>
        <v>119097.86399999999</v>
      </c>
      <c r="P27" s="368"/>
      <c r="Q27" s="368"/>
      <c r="S27" s="1880"/>
    </row>
    <row r="28" spans="1:19" s="442" customFormat="1">
      <c r="B28" s="1859" t="s">
        <v>2703</v>
      </c>
      <c r="C28" s="1860">
        <v>1.5</v>
      </c>
      <c r="D28" s="1860">
        <f t="shared" si="0"/>
        <v>100</v>
      </c>
      <c r="E28" s="1861">
        <f>D2-100</f>
        <v>1830</v>
      </c>
      <c r="F28" s="453">
        <v>7860</v>
      </c>
      <c r="G28" s="1859" t="s">
        <v>97</v>
      </c>
      <c r="H28" s="1860">
        <f t="shared" si="4"/>
        <v>2.1575699999999998</v>
      </c>
      <c r="I28" s="1860">
        <v>1.1499999999999999</v>
      </c>
      <c r="J28" s="1860">
        <f t="shared" si="1"/>
        <v>2.4812054999999997</v>
      </c>
      <c r="K28" s="1862">
        <v>1</v>
      </c>
      <c r="L28" s="1860">
        <v>1</v>
      </c>
      <c r="M28" s="1857">
        <v>24000</v>
      </c>
      <c r="N28" s="1860">
        <f t="shared" si="2"/>
        <v>2.1575699999999998</v>
      </c>
      <c r="O28" s="1863">
        <f t="shared" si="3"/>
        <v>59548.931999999993</v>
      </c>
      <c r="P28" s="368"/>
      <c r="Q28" s="368"/>
      <c r="S28" s="1880"/>
    </row>
    <row r="29" spans="1:19" s="442" customFormat="1">
      <c r="A29" s="442" t="s">
        <v>2704</v>
      </c>
      <c r="B29" s="442" t="s">
        <v>2705</v>
      </c>
      <c r="C29" s="453">
        <v>1.5</v>
      </c>
      <c r="D29" s="453">
        <f t="shared" si="0"/>
        <v>100</v>
      </c>
      <c r="E29" s="1482">
        <f>E26</f>
        <v>1320</v>
      </c>
      <c r="F29" s="453">
        <v>7860</v>
      </c>
      <c r="G29" s="442" t="s">
        <v>97</v>
      </c>
      <c r="H29" s="453">
        <f t="shared" si="4"/>
        <v>1.5562799999999999</v>
      </c>
      <c r="I29" s="453">
        <v>1.1499999999999999</v>
      </c>
      <c r="J29" s="453">
        <f t="shared" si="1"/>
        <v>1.7897219999999998</v>
      </c>
      <c r="K29" s="1856">
        <v>2</v>
      </c>
      <c r="L29" s="453">
        <v>1</v>
      </c>
      <c r="M29" s="1857">
        <v>24000</v>
      </c>
      <c r="N29" s="453">
        <f t="shared" si="2"/>
        <v>3.1125599999999998</v>
      </c>
      <c r="O29" s="1857">
        <f t="shared" si="3"/>
        <v>85906.655999999988</v>
      </c>
      <c r="P29" s="368"/>
      <c r="Q29" s="368"/>
      <c r="S29" s="1880"/>
    </row>
    <row r="30" spans="1:19" s="442" customFormat="1">
      <c r="B30" s="442" t="s">
        <v>2706</v>
      </c>
      <c r="C30" s="453">
        <v>1.5</v>
      </c>
      <c r="D30" s="453">
        <f>25+25+25</f>
        <v>75</v>
      </c>
      <c r="E30" s="1482">
        <f>E27</f>
        <v>1830</v>
      </c>
      <c r="F30" s="453">
        <v>7860</v>
      </c>
      <c r="G30" s="442" t="s">
        <v>97</v>
      </c>
      <c r="H30" s="453">
        <f t="shared" si="4"/>
        <v>1.6181775</v>
      </c>
      <c r="I30" s="453">
        <v>1.1499999999999999</v>
      </c>
      <c r="J30" s="453">
        <f t="shared" si="1"/>
        <v>1.860904125</v>
      </c>
      <c r="K30" s="1856">
        <v>2</v>
      </c>
      <c r="L30" s="453">
        <v>1</v>
      </c>
      <c r="M30" s="1857">
        <v>24000</v>
      </c>
      <c r="N30" s="453">
        <f t="shared" si="2"/>
        <v>3.2363550000000001</v>
      </c>
      <c r="O30" s="1857">
        <f t="shared" si="3"/>
        <v>89323.398000000001</v>
      </c>
      <c r="P30" s="368"/>
      <c r="Q30" s="368"/>
      <c r="S30" s="1880"/>
    </row>
    <row r="31" spans="1:19" s="442" customFormat="1">
      <c r="B31" s="1859" t="s">
        <v>2707</v>
      </c>
      <c r="C31" s="1860">
        <v>1.5</v>
      </c>
      <c r="D31" s="1860">
        <f>25+25+25</f>
        <v>75</v>
      </c>
      <c r="E31" s="1861">
        <f>E28</f>
        <v>1830</v>
      </c>
      <c r="F31" s="453">
        <v>7860</v>
      </c>
      <c r="G31" s="1859" t="s">
        <v>97</v>
      </c>
      <c r="H31" s="1860">
        <f t="shared" si="4"/>
        <v>1.6181775</v>
      </c>
      <c r="I31" s="1860">
        <v>1.1499999999999999</v>
      </c>
      <c r="J31" s="1860">
        <f t="shared" si="1"/>
        <v>1.860904125</v>
      </c>
      <c r="K31" s="1862">
        <v>1</v>
      </c>
      <c r="L31" s="1860">
        <v>1</v>
      </c>
      <c r="M31" s="1857">
        <v>24000</v>
      </c>
      <c r="N31" s="1860">
        <f t="shared" si="2"/>
        <v>1.6181775</v>
      </c>
      <c r="O31" s="1863">
        <f t="shared" si="3"/>
        <v>44661.699000000001</v>
      </c>
      <c r="P31" s="368"/>
      <c r="Q31" s="368"/>
      <c r="S31" s="1880"/>
    </row>
    <row r="32" spans="1:19" s="442" customFormat="1">
      <c r="A32" s="442" t="s">
        <v>2708</v>
      </c>
      <c r="B32" s="442" t="s">
        <v>2701</v>
      </c>
      <c r="C32" s="453">
        <v>1.5</v>
      </c>
      <c r="D32" s="453">
        <f t="shared" ref="D32:D35" si="5">25+50+25</f>
        <v>100</v>
      </c>
      <c r="E32" s="1482">
        <f>C6-100</f>
        <v>-100</v>
      </c>
      <c r="F32" s="453">
        <v>7860</v>
      </c>
      <c r="G32" s="442" t="s">
        <v>97</v>
      </c>
      <c r="H32" s="453">
        <f t="shared" si="4"/>
        <v>-0.11789999999999999</v>
      </c>
      <c r="I32" s="453">
        <v>1.1499999999999999</v>
      </c>
      <c r="J32" s="453">
        <f t="shared" si="1"/>
        <v>-0.13558499999999998</v>
      </c>
      <c r="K32" s="1856">
        <v>0</v>
      </c>
      <c r="L32" s="453">
        <v>1</v>
      </c>
      <c r="M32" s="1857">
        <v>24000</v>
      </c>
      <c r="N32" s="453">
        <f t="shared" si="2"/>
        <v>0</v>
      </c>
      <c r="O32" s="1857">
        <f t="shared" si="3"/>
        <v>0</v>
      </c>
      <c r="P32" s="368"/>
      <c r="Q32" s="368"/>
      <c r="S32" s="1880"/>
    </row>
    <row r="33" spans="1:19" s="442" customFormat="1">
      <c r="B33" s="442" t="s">
        <v>2702</v>
      </c>
      <c r="C33" s="453">
        <v>1.5</v>
      </c>
      <c r="D33" s="453">
        <f t="shared" si="5"/>
        <v>100</v>
      </c>
      <c r="E33" s="1482">
        <f>D6-100</f>
        <v>-100</v>
      </c>
      <c r="F33" s="453">
        <v>7860</v>
      </c>
      <c r="G33" s="442" t="s">
        <v>97</v>
      </c>
      <c r="H33" s="453">
        <f t="shared" si="4"/>
        <v>-0.11789999999999999</v>
      </c>
      <c r="I33" s="453">
        <v>1.1499999999999999</v>
      </c>
      <c r="J33" s="453">
        <f t="shared" si="1"/>
        <v>-0.13558499999999998</v>
      </c>
      <c r="K33" s="1856">
        <v>0</v>
      </c>
      <c r="L33" s="453">
        <v>1</v>
      </c>
      <c r="M33" s="1857">
        <v>24000</v>
      </c>
      <c r="N33" s="453">
        <f t="shared" si="2"/>
        <v>0</v>
      </c>
      <c r="O33" s="1857">
        <f t="shared" si="3"/>
        <v>0</v>
      </c>
      <c r="P33" s="368"/>
      <c r="Q33" s="368"/>
      <c r="S33" s="1880"/>
    </row>
    <row r="34" spans="1:19" s="442" customFormat="1">
      <c r="B34" s="1859" t="s">
        <v>2703</v>
      </c>
      <c r="C34" s="1860">
        <v>1.5</v>
      </c>
      <c r="D34" s="1860">
        <f t="shared" si="5"/>
        <v>100</v>
      </c>
      <c r="E34" s="1861">
        <f>D6-100</f>
        <v>-100</v>
      </c>
      <c r="F34" s="453">
        <v>7860</v>
      </c>
      <c r="G34" s="1859" t="s">
        <v>97</v>
      </c>
      <c r="H34" s="1860">
        <f t="shared" si="4"/>
        <v>-0.11789999999999999</v>
      </c>
      <c r="I34" s="1860">
        <v>1</v>
      </c>
      <c r="J34" s="1860">
        <f t="shared" si="1"/>
        <v>-0.11789999999999999</v>
      </c>
      <c r="K34" s="1862">
        <v>0</v>
      </c>
      <c r="L34" s="1860">
        <v>1</v>
      </c>
      <c r="M34" s="1857">
        <v>24000</v>
      </c>
      <c r="N34" s="1860">
        <f t="shared" si="2"/>
        <v>0</v>
      </c>
      <c r="O34" s="1863">
        <f t="shared" si="3"/>
        <v>0</v>
      </c>
      <c r="P34" s="368"/>
      <c r="Q34" s="368"/>
      <c r="S34" s="1880"/>
    </row>
    <row r="35" spans="1:19" s="442" customFormat="1">
      <c r="A35" s="442" t="s">
        <v>2709</v>
      </c>
      <c r="B35" s="442" t="s">
        <v>2705</v>
      </c>
      <c r="C35" s="453">
        <v>1.5</v>
      </c>
      <c r="D35" s="453">
        <f t="shared" si="5"/>
        <v>100</v>
      </c>
      <c r="E35" s="1482">
        <f>E32</f>
        <v>-100</v>
      </c>
      <c r="F35" s="453">
        <v>7860</v>
      </c>
      <c r="G35" s="442" t="s">
        <v>97</v>
      </c>
      <c r="H35" s="453">
        <f t="shared" si="4"/>
        <v>-0.11789999999999999</v>
      </c>
      <c r="I35" s="453">
        <v>1.1499999999999999</v>
      </c>
      <c r="J35" s="453">
        <f t="shared" si="1"/>
        <v>-0.13558499999999998</v>
      </c>
      <c r="K35" s="1856">
        <v>0</v>
      </c>
      <c r="L35" s="453">
        <v>1</v>
      </c>
      <c r="M35" s="1857">
        <v>24000</v>
      </c>
      <c r="N35" s="453">
        <f t="shared" si="2"/>
        <v>0</v>
      </c>
      <c r="O35" s="1857">
        <f t="shared" si="3"/>
        <v>0</v>
      </c>
      <c r="P35" s="368"/>
      <c r="Q35" s="368"/>
      <c r="S35" s="1880"/>
    </row>
    <row r="36" spans="1:19" s="442" customFormat="1">
      <c r="B36" s="442" t="s">
        <v>2706</v>
      </c>
      <c r="C36" s="453">
        <v>1.5</v>
      </c>
      <c r="D36" s="453">
        <f>25+25+25</f>
        <v>75</v>
      </c>
      <c r="E36" s="1482">
        <f>E33</f>
        <v>-100</v>
      </c>
      <c r="F36" s="453">
        <v>7860</v>
      </c>
      <c r="G36" s="442" t="s">
        <v>97</v>
      </c>
      <c r="H36" s="453">
        <f t="shared" si="4"/>
        <v>-8.842499999999999E-2</v>
      </c>
      <c r="I36" s="453">
        <v>1.1499999999999999</v>
      </c>
      <c r="J36" s="453">
        <f t="shared" si="1"/>
        <v>-0.10168874999999998</v>
      </c>
      <c r="K36" s="1856">
        <v>0</v>
      </c>
      <c r="L36" s="453">
        <v>1</v>
      </c>
      <c r="M36" s="1857">
        <v>24000</v>
      </c>
      <c r="N36" s="453">
        <f t="shared" si="2"/>
        <v>0</v>
      </c>
      <c r="O36" s="1857">
        <f t="shared" si="3"/>
        <v>0</v>
      </c>
      <c r="P36" s="368"/>
      <c r="Q36" s="368"/>
      <c r="S36" s="1880"/>
    </row>
    <row r="37" spans="1:19" s="442" customFormat="1">
      <c r="B37" s="1859" t="s">
        <v>2707</v>
      </c>
      <c r="C37" s="1860">
        <v>1.5</v>
      </c>
      <c r="D37" s="1860">
        <f>25+25+25</f>
        <v>75</v>
      </c>
      <c r="E37" s="1861">
        <f>E34</f>
        <v>-100</v>
      </c>
      <c r="F37" s="453">
        <v>7860</v>
      </c>
      <c r="G37" s="1859" t="s">
        <v>97</v>
      </c>
      <c r="H37" s="1860">
        <f t="shared" si="4"/>
        <v>-8.842499999999999E-2</v>
      </c>
      <c r="I37" s="1860">
        <v>1</v>
      </c>
      <c r="J37" s="1860">
        <f t="shared" si="1"/>
        <v>-8.842499999999999E-2</v>
      </c>
      <c r="K37" s="1862">
        <v>0</v>
      </c>
      <c r="L37" s="1860">
        <v>1</v>
      </c>
      <c r="M37" s="1857">
        <v>24000</v>
      </c>
      <c r="N37" s="1860">
        <f t="shared" si="2"/>
        <v>0</v>
      </c>
      <c r="O37" s="1863">
        <f t="shared" si="3"/>
        <v>0</v>
      </c>
      <c r="P37" s="368"/>
      <c r="Q37" s="368"/>
      <c r="S37" s="1880"/>
    </row>
    <row r="38" spans="1:19" s="442" customFormat="1">
      <c r="A38" s="442" t="s">
        <v>2710</v>
      </c>
      <c r="B38" s="442" t="s">
        <v>2711</v>
      </c>
      <c r="C38" s="453">
        <v>1.5</v>
      </c>
      <c r="D38" s="453">
        <f>600+100</f>
        <v>700</v>
      </c>
      <c r="E38" s="1482">
        <f>D2-100+100</f>
        <v>1930</v>
      </c>
      <c r="F38" s="453">
        <v>8800</v>
      </c>
      <c r="G38" s="442" t="s">
        <v>97</v>
      </c>
      <c r="H38" s="453">
        <f>C38/1000*D38/1000*E38/1000*F38</f>
        <v>17.833200000000005</v>
      </c>
      <c r="I38" s="453">
        <v>1.1499999999999999</v>
      </c>
      <c r="J38" s="453">
        <f t="shared" si="1"/>
        <v>20.508180000000003</v>
      </c>
      <c r="K38" s="1856">
        <v>1</v>
      </c>
      <c r="L38" s="453">
        <v>1</v>
      </c>
      <c r="M38" s="1857">
        <v>55000</v>
      </c>
      <c r="N38" s="453">
        <f t="shared" si="2"/>
        <v>17.833200000000005</v>
      </c>
      <c r="O38" s="1857">
        <f t="shared" si="3"/>
        <v>1127949.9000000001</v>
      </c>
      <c r="P38" s="368"/>
      <c r="Q38" s="368"/>
      <c r="S38" s="1880"/>
    </row>
    <row r="39" spans="1:19" s="442" customFormat="1">
      <c r="B39" s="442" t="s">
        <v>2712</v>
      </c>
      <c r="C39" s="453">
        <v>1.5</v>
      </c>
      <c r="D39" s="453">
        <f>150+25+25</f>
        <v>200</v>
      </c>
      <c r="E39" s="1482">
        <f>D2-100</f>
        <v>1830</v>
      </c>
      <c r="F39" s="453">
        <v>8800</v>
      </c>
      <c r="G39" s="442" t="s">
        <v>97</v>
      </c>
      <c r="H39" s="453">
        <f t="shared" ref="H39:H50" si="6">C39/1000*D39/1000*E39/1000*F39</f>
        <v>4.8311999999999991</v>
      </c>
      <c r="I39" s="453">
        <v>1.1499999999999999</v>
      </c>
      <c r="J39" s="453">
        <f t="shared" si="1"/>
        <v>5.5558799999999984</v>
      </c>
      <c r="K39" s="1856">
        <v>2</v>
      </c>
      <c r="L39" s="453">
        <v>1</v>
      </c>
      <c r="M39" s="1857">
        <v>55000</v>
      </c>
      <c r="N39" s="453">
        <f t="shared" si="2"/>
        <v>9.6623999999999981</v>
      </c>
      <c r="O39" s="1857">
        <f t="shared" si="3"/>
        <v>611146.79999999981</v>
      </c>
      <c r="P39" s="368"/>
      <c r="Q39" s="368"/>
      <c r="S39" s="1880"/>
    </row>
    <row r="40" spans="1:19" s="442" customFormat="1">
      <c r="B40" s="442" t="s">
        <v>2713</v>
      </c>
      <c r="C40" s="453">
        <v>2.5</v>
      </c>
      <c r="D40" s="453">
        <f>15+50+15</f>
        <v>80</v>
      </c>
      <c r="E40" s="442">
        <f>150+15*2</f>
        <v>180</v>
      </c>
      <c r="F40" s="453">
        <v>8800</v>
      </c>
      <c r="G40" s="442" t="s">
        <v>97</v>
      </c>
      <c r="H40" s="453">
        <f t="shared" si="6"/>
        <v>0.31680000000000003</v>
      </c>
      <c r="I40" s="453">
        <v>1.1499999999999999</v>
      </c>
      <c r="J40" s="453">
        <f t="shared" si="1"/>
        <v>0.36431999999999998</v>
      </c>
      <c r="K40" s="1856">
        <v>6</v>
      </c>
      <c r="L40" s="453">
        <v>1</v>
      </c>
      <c r="M40" s="1857">
        <v>55000</v>
      </c>
      <c r="N40" s="453">
        <f t="shared" si="2"/>
        <v>1.9008000000000003</v>
      </c>
      <c r="O40" s="1857">
        <f t="shared" si="3"/>
        <v>120225.59999999999</v>
      </c>
      <c r="P40" s="368"/>
      <c r="Q40" s="368"/>
      <c r="S40" s="1880"/>
    </row>
    <row r="41" spans="1:19" s="442" customFormat="1">
      <c r="B41" s="1859" t="s">
        <v>2714</v>
      </c>
      <c r="C41" s="1860">
        <v>2.5</v>
      </c>
      <c r="D41" s="1860">
        <f>15+50+15</f>
        <v>80</v>
      </c>
      <c r="E41" s="1859">
        <f>650+50*2</f>
        <v>750</v>
      </c>
      <c r="F41" s="453">
        <v>8800</v>
      </c>
      <c r="G41" s="1859" t="s">
        <v>97</v>
      </c>
      <c r="H41" s="1860">
        <f t="shared" si="6"/>
        <v>1.3199999999999998</v>
      </c>
      <c r="I41" s="453">
        <v>1.1499999999999999</v>
      </c>
      <c r="J41" s="1860">
        <f t="shared" si="1"/>
        <v>1.5179999999999998</v>
      </c>
      <c r="K41" s="1862">
        <v>6</v>
      </c>
      <c r="L41" s="1860">
        <v>1</v>
      </c>
      <c r="M41" s="1857">
        <v>55000</v>
      </c>
      <c r="N41" s="1860">
        <f t="shared" si="2"/>
        <v>7.919999999999999</v>
      </c>
      <c r="O41" s="1863">
        <f t="shared" si="3"/>
        <v>500939.99999999994</v>
      </c>
      <c r="P41" s="368"/>
      <c r="Q41" s="368"/>
      <c r="S41" s="1880"/>
    </row>
    <row r="42" spans="1:19" s="442" customFormat="1">
      <c r="A42" s="442" t="s">
        <v>2715</v>
      </c>
      <c r="B42" s="442" t="s">
        <v>2716</v>
      </c>
      <c r="C42" s="453">
        <v>1.5</v>
      </c>
      <c r="D42" s="453">
        <v>300</v>
      </c>
      <c r="E42" s="1482">
        <f>D13</f>
        <v>800</v>
      </c>
      <c r="F42" s="453">
        <v>7860</v>
      </c>
      <c r="G42" s="442" t="s">
        <v>97</v>
      </c>
      <c r="H42" s="453">
        <f t="shared" si="6"/>
        <v>2.8295999999999997</v>
      </c>
      <c r="I42" s="453">
        <v>1.1499999999999999</v>
      </c>
      <c r="J42" s="453">
        <f t="shared" si="1"/>
        <v>3.2540399999999994</v>
      </c>
      <c r="K42" s="1856">
        <v>1</v>
      </c>
      <c r="L42" s="453">
        <v>1</v>
      </c>
      <c r="M42" s="1857">
        <v>24000</v>
      </c>
      <c r="N42" s="453">
        <f t="shared" si="2"/>
        <v>2.8295999999999997</v>
      </c>
      <c r="O42" s="1857">
        <f t="shared" si="3"/>
        <v>78096.959999999992</v>
      </c>
      <c r="P42" s="368"/>
      <c r="Q42" s="368"/>
      <c r="S42" s="1880"/>
    </row>
    <row r="43" spans="1:19" s="442" customFormat="1">
      <c r="B43" s="1859" t="s">
        <v>2717</v>
      </c>
      <c r="C43" s="1860">
        <v>1.5</v>
      </c>
      <c r="D43" s="1860">
        <f>150+25+25</f>
        <v>200</v>
      </c>
      <c r="E43" s="1861">
        <v>300</v>
      </c>
      <c r="F43" s="453">
        <v>7860</v>
      </c>
      <c r="G43" s="1859" t="s">
        <v>97</v>
      </c>
      <c r="H43" s="1860">
        <f>C43/1000*D43/1000*E43/1000*F43</f>
        <v>0.70739999999999992</v>
      </c>
      <c r="I43" s="1860">
        <v>2.15</v>
      </c>
      <c r="J43" s="1860">
        <f>H43*I43</f>
        <v>1.5209099999999998</v>
      </c>
      <c r="K43" s="1862">
        <v>2</v>
      </c>
      <c r="L43" s="1860">
        <v>1</v>
      </c>
      <c r="M43" s="1857">
        <v>24000</v>
      </c>
      <c r="N43" s="1860">
        <f>H43*K43*L43</f>
        <v>1.4147999999999998</v>
      </c>
      <c r="O43" s="1863">
        <f>J43*K43*M43</f>
        <v>73003.679999999993</v>
      </c>
      <c r="P43" s="368"/>
      <c r="Q43" s="368"/>
      <c r="S43" s="1880"/>
    </row>
    <row r="44" spans="1:19" s="442" customFormat="1">
      <c r="A44" s="442" t="s">
        <v>2718</v>
      </c>
      <c r="B44" s="442" t="s">
        <v>2719</v>
      </c>
      <c r="C44" s="453">
        <v>1.5</v>
      </c>
      <c r="D44" s="453">
        <f>C2</f>
        <v>1420</v>
      </c>
      <c r="E44" s="1482">
        <f>D2</f>
        <v>1930</v>
      </c>
      <c r="F44" s="453">
        <v>7860</v>
      </c>
      <c r="G44" s="442" t="s">
        <v>97</v>
      </c>
      <c r="H44" s="453">
        <f t="shared" si="6"/>
        <v>32.311673999999996</v>
      </c>
      <c r="I44" s="453">
        <v>1.1499999999999999</v>
      </c>
      <c r="J44" s="453">
        <f t="shared" si="1"/>
        <v>37.158425099999995</v>
      </c>
      <c r="K44" s="1856">
        <v>1</v>
      </c>
      <c r="L44" s="453">
        <v>1</v>
      </c>
      <c r="M44" s="1857">
        <v>24000</v>
      </c>
      <c r="N44" s="453">
        <f t="shared" si="2"/>
        <v>32.311673999999996</v>
      </c>
      <c r="O44" s="1857">
        <f t="shared" si="3"/>
        <v>891802.20239999983</v>
      </c>
      <c r="S44" s="1880"/>
    </row>
    <row r="45" spans="1:19" s="442" customFormat="1">
      <c r="B45" s="442" t="s">
        <v>2720</v>
      </c>
      <c r="C45" s="453">
        <v>2.5</v>
      </c>
      <c r="D45" s="453">
        <f>15+25+50+25+15</f>
        <v>130</v>
      </c>
      <c r="E45" s="1482">
        <f>D2</f>
        <v>1930</v>
      </c>
      <c r="F45" s="453">
        <v>7860</v>
      </c>
      <c r="G45" s="442" t="s">
        <v>97</v>
      </c>
      <c r="H45" s="453">
        <f t="shared" si="6"/>
        <v>4.9301849999999998</v>
      </c>
      <c r="I45" s="453">
        <v>1.1499999999999999</v>
      </c>
      <c r="J45" s="453">
        <f t="shared" si="1"/>
        <v>5.6697127499999995</v>
      </c>
      <c r="K45" s="1856">
        <v>2</v>
      </c>
      <c r="L45" s="453">
        <v>1</v>
      </c>
      <c r="M45" s="1857">
        <v>24000</v>
      </c>
      <c r="N45" s="453">
        <f t="shared" si="2"/>
        <v>9.8603699999999996</v>
      </c>
      <c r="O45" s="1857">
        <f t="shared" si="3"/>
        <v>272146.212</v>
      </c>
      <c r="S45" s="1880"/>
    </row>
    <row r="46" spans="1:19" s="442" customFormat="1">
      <c r="B46" s="442" t="s">
        <v>2721</v>
      </c>
      <c r="C46" s="453">
        <v>2.5</v>
      </c>
      <c r="D46" s="453">
        <f>15+25+50+25+15</f>
        <v>130</v>
      </c>
      <c r="E46" s="442">
        <f>E45*0.6</f>
        <v>1158</v>
      </c>
      <c r="F46" s="453">
        <v>7860</v>
      </c>
      <c r="G46" s="442" t="s">
        <v>97</v>
      </c>
      <c r="H46" s="453">
        <f t="shared" si="6"/>
        <v>2.9581109999999997</v>
      </c>
      <c r="I46" s="453">
        <v>2.15</v>
      </c>
      <c r="J46" s="453">
        <f t="shared" si="1"/>
        <v>6.3599386499999992</v>
      </c>
      <c r="K46" s="1856">
        <v>2</v>
      </c>
      <c r="L46" s="453">
        <v>1</v>
      </c>
      <c r="M46" s="1857">
        <v>24000</v>
      </c>
      <c r="N46" s="453">
        <f t="shared" si="2"/>
        <v>5.9162219999999994</v>
      </c>
      <c r="O46" s="1857">
        <f t="shared" si="3"/>
        <v>305277.05519999994</v>
      </c>
      <c r="S46" s="1880"/>
    </row>
    <row r="47" spans="1:19" s="442" customFormat="1">
      <c r="B47" s="442" t="s">
        <v>2722</v>
      </c>
      <c r="C47" s="453">
        <v>2.5</v>
      </c>
      <c r="D47" s="453">
        <f>25+50+25</f>
        <v>100</v>
      </c>
      <c r="E47" s="442">
        <f>E2*0.6</f>
        <v>975</v>
      </c>
      <c r="F47" s="453">
        <v>7860</v>
      </c>
      <c r="G47" s="442" t="s">
        <v>97</v>
      </c>
      <c r="H47" s="453">
        <f t="shared" si="6"/>
        <v>1.915875</v>
      </c>
      <c r="I47" s="453">
        <v>2.15</v>
      </c>
      <c r="J47" s="453">
        <f t="shared" si="1"/>
        <v>4.1191312499999997</v>
      </c>
      <c r="K47" s="1856">
        <v>2</v>
      </c>
      <c r="L47" s="453">
        <v>1</v>
      </c>
      <c r="M47" s="1857">
        <v>24000</v>
      </c>
      <c r="N47" s="453">
        <f t="shared" si="2"/>
        <v>3.83175</v>
      </c>
      <c r="O47" s="1857">
        <f t="shared" si="3"/>
        <v>197718.3</v>
      </c>
      <c r="S47" s="1880"/>
    </row>
    <row r="48" spans="1:19" s="442" customFormat="1">
      <c r="B48" s="442" t="s">
        <v>2723</v>
      </c>
      <c r="C48" s="453">
        <v>2.5</v>
      </c>
      <c r="D48" s="453">
        <f>25+50+25</f>
        <v>100</v>
      </c>
      <c r="E48" s="442">
        <f>E2*0.6</f>
        <v>975</v>
      </c>
      <c r="F48" s="453">
        <v>7860</v>
      </c>
      <c r="G48" s="442" t="s">
        <v>97</v>
      </c>
      <c r="H48" s="453">
        <f t="shared" si="6"/>
        <v>1.915875</v>
      </c>
      <c r="I48" s="453">
        <v>2.15</v>
      </c>
      <c r="J48" s="453">
        <f t="shared" si="1"/>
        <v>4.1191312499999997</v>
      </c>
      <c r="K48" s="1856">
        <v>2</v>
      </c>
      <c r="L48" s="453">
        <v>1</v>
      </c>
      <c r="M48" s="1857">
        <v>24000</v>
      </c>
      <c r="N48" s="453">
        <f t="shared" si="2"/>
        <v>3.83175</v>
      </c>
      <c r="O48" s="1857">
        <f t="shared" si="3"/>
        <v>197718.3</v>
      </c>
      <c r="S48" s="1880"/>
    </row>
    <row r="49" spans="1:20" s="442" customFormat="1">
      <c r="B49" s="442" t="s">
        <v>2724</v>
      </c>
      <c r="C49" s="453">
        <v>3</v>
      </c>
      <c r="D49" s="453">
        <f>20+50+50+20</f>
        <v>140</v>
      </c>
      <c r="E49" s="442">
        <v>1000</v>
      </c>
      <c r="F49" s="453">
        <v>7860</v>
      </c>
      <c r="G49" s="442" t="s">
        <v>97</v>
      </c>
      <c r="H49" s="453">
        <f t="shared" si="6"/>
        <v>3.3011999999999997</v>
      </c>
      <c r="I49" s="453">
        <v>1.1499999999999999</v>
      </c>
      <c r="J49" s="453">
        <f t="shared" si="1"/>
        <v>3.7963799999999992</v>
      </c>
      <c r="K49" s="1856">
        <v>2</v>
      </c>
      <c r="L49" s="453">
        <v>1</v>
      </c>
      <c r="M49" s="1857">
        <v>24000</v>
      </c>
      <c r="N49" s="453">
        <f t="shared" si="2"/>
        <v>6.6023999999999994</v>
      </c>
      <c r="O49" s="1857">
        <f t="shared" si="3"/>
        <v>182226.23999999996</v>
      </c>
      <c r="S49" s="1880"/>
    </row>
    <row r="50" spans="1:20" s="442" customFormat="1">
      <c r="B50" s="442" t="s">
        <v>2725</v>
      </c>
      <c r="C50" s="453">
        <v>3</v>
      </c>
      <c r="D50" s="453">
        <v>50</v>
      </c>
      <c r="E50" s="442">
        <v>50</v>
      </c>
      <c r="F50" s="453">
        <v>7980</v>
      </c>
      <c r="G50" s="442" t="s">
        <v>97</v>
      </c>
      <c r="H50" s="453">
        <f t="shared" si="6"/>
        <v>5.9849999999999993E-2</v>
      </c>
      <c r="I50" s="453">
        <v>1.1499999999999999</v>
      </c>
      <c r="J50" s="453">
        <f t="shared" si="1"/>
        <v>6.8827499999999986E-2</v>
      </c>
      <c r="K50" s="1856">
        <v>2</v>
      </c>
      <c r="L50" s="453">
        <v>1</v>
      </c>
      <c r="M50" s="1857">
        <v>24000</v>
      </c>
      <c r="N50" s="453">
        <f t="shared" si="2"/>
        <v>0.11969999999999999</v>
      </c>
      <c r="O50" s="1857">
        <f t="shared" si="3"/>
        <v>3303.7199999999993</v>
      </c>
      <c r="S50" s="1880"/>
    </row>
    <row r="51" spans="1:20" s="442" customFormat="1">
      <c r="B51" s="442" t="s">
        <v>2726</v>
      </c>
      <c r="C51" s="453"/>
      <c r="D51" s="453"/>
      <c r="E51" s="442">
        <v>1000</v>
      </c>
      <c r="F51" s="453">
        <v>1</v>
      </c>
      <c r="G51" s="442" t="s">
        <v>1080</v>
      </c>
      <c r="H51" s="453">
        <f>E51/1000</f>
        <v>1</v>
      </c>
      <c r="I51" s="453">
        <v>1</v>
      </c>
      <c r="J51" s="453">
        <f t="shared" si="1"/>
        <v>1</v>
      </c>
      <c r="K51" s="1856">
        <v>2</v>
      </c>
      <c r="L51" s="453">
        <f>2*22/7*(12/2000)^2*1*8000</f>
        <v>1.8102857142857143</v>
      </c>
      <c r="M51" s="1857">
        <f>423423/6</f>
        <v>70570.5</v>
      </c>
      <c r="N51" s="453">
        <f t="shared" si="2"/>
        <v>3.6205714285714286</v>
      </c>
      <c r="O51" s="1857">
        <f t="shared" si="3"/>
        <v>141141</v>
      </c>
      <c r="S51" s="1880">
        <v>423423</v>
      </c>
      <c r="T51" s="1881">
        <f>S51/6</f>
        <v>70570.5</v>
      </c>
    </row>
    <row r="52" spans="1:20" s="442" customFormat="1">
      <c r="A52" s="442" t="s">
        <v>2727</v>
      </c>
      <c r="B52" s="442" t="s">
        <v>2719</v>
      </c>
      <c r="C52" s="453">
        <v>1.5</v>
      </c>
      <c r="D52" s="453">
        <f>C6</f>
        <v>0</v>
      </c>
      <c r="E52" s="1482">
        <f>D6</f>
        <v>0</v>
      </c>
      <c r="F52" s="453">
        <v>8000</v>
      </c>
      <c r="G52" s="442" t="s">
        <v>97</v>
      </c>
      <c r="H52" s="453">
        <f t="shared" ref="H52:H58" si="7">C52/1000*D52/1000*E52/1000*F52</f>
        <v>0</v>
      </c>
      <c r="I52" s="453">
        <v>1.1499999999999999</v>
      </c>
      <c r="J52" s="453">
        <f t="shared" si="1"/>
        <v>0</v>
      </c>
      <c r="K52" s="1856">
        <v>0</v>
      </c>
      <c r="L52" s="453">
        <v>1</v>
      </c>
      <c r="M52" s="1857">
        <v>55000</v>
      </c>
      <c r="N52" s="453">
        <f t="shared" si="2"/>
        <v>0</v>
      </c>
      <c r="O52" s="1857">
        <f t="shared" si="3"/>
        <v>0</v>
      </c>
      <c r="S52" s="1880"/>
    </row>
    <row r="53" spans="1:20" s="442" customFormat="1">
      <c r="B53" s="442" t="s">
        <v>2720</v>
      </c>
      <c r="C53" s="453">
        <v>2.5</v>
      </c>
      <c r="D53" s="453">
        <f>15+25+50+25+15</f>
        <v>130</v>
      </c>
      <c r="E53" s="1482">
        <f>D6</f>
        <v>0</v>
      </c>
      <c r="F53" s="453">
        <v>8000</v>
      </c>
      <c r="G53" s="442" t="s">
        <v>97</v>
      </c>
      <c r="H53" s="453">
        <f t="shared" si="7"/>
        <v>0</v>
      </c>
      <c r="I53" s="453">
        <v>1.1499999999999999</v>
      </c>
      <c r="J53" s="453">
        <f t="shared" si="1"/>
        <v>0</v>
      </c>
      <c r="K53" s="1856">
        <v>0</v>
      </c>
      <c r="L53" s="453">
        <v>1</v>
      </c>
      <c r="M53" s="1857">
        <v>55000</v>
      </c>
      <c r="N53" s="453">
        <f t="shared" si="2"/>
        <v>0</v>
      </c>
      <c r="O53" s="1857">
        <f t="shared" si="3"/>
        <v>0</v>
      </c>
      <c r="S53" s="1880"/>
    </row>
    <row r="54" spans="1:20" s="442" customFormat="1">
      <c r="B54" s="442" t="s">
        <v>2721</v>
      </c>
      <c r="C54" s="453">
        <v>2.5</v>
      </c>
      <c r="D54" s="453">
        <f>15+25+50+25+15</f>
        <v>130</v>
      </c>
      <c r="E54" s="442">
        <f>E53*0.6</f>
        <v>0</v>
      </c>
      <c r="F54" s="453">
        <v>8000</v>
      </c>
      <c r="G54" s="442" t="s">
        <v>97</v>
      </c>
      <c r="H54" s="453">
        <f t="shared" si="7"/>
        <v>0</v>
      </c>
      <c r="I54" s="453">
        <v>2.15</v>
      </c>
      <c r="J54" s="453">
        <f t="shared" si="1"/>
        <v>0</v>
      </c>
      <c r="K54" s="1856">
        <v>0</v>
      </c>
      <c r="L54" s="453">
        <v>1</v>
      </c>
      <c r="M54" s="1857">
        <v>55000</v>
      </c>
      <c r="N54" s="453">
        <f t="shared" si="2"/>
        <v>0</v>
      </c>
      <c r="O54" s="1857">
        <f t="shared" si="3"/>
        <v>0</v>
      </c>
      <c r="S54" s="1880"/>
    </row>
    <row r="55" spans="1:20" s="442" customFormat="1">
      <c r="B55" s="442" t="s">
        <v>2722</v>
      </c>
      <c r="C55" s="453">
        <v>2.5</v>
      </c>
      <c r="D55" s="453">
        <f>25+50+25</f>
        <v>100</v>
      </c>
      <c r="E55" s="442">
        <f>E6*0.6</f>
        <v>0</v>
      </c>
      <c r="F55" s="453">
        <v>8000</v>
      </c>
      <c r="G55" s="442" t="s">
        <v>97</v>
      </c>
      <c r="H55" s="453">
        <f t="shared" si="7"/>
        <v>0</v>
      </c>
      <c r="I55" s="453">
        <v>2.15</v>
      </c>
      <c r="J55" s="453">
        <f t="shared" si="1"/>
        <v>0</v>
      </c>
      <c r="K55" s="1856">
        <v>0</v>
      </c>
      <c r="L55" s="453">
        <v>1</v>
      </c>
      <c r="M55" s="1857">
        <v>55000</v>
      </c>
      <c r="N55" s="453">
        <f t="shared" si="2"/>
        <v>0</v>
      </c>
      <c r="O55" s="1857">
        <f t="shared" si="3"/>
        <v>0</v>
      </c>
      <c r="S55" s="1880"/>
    </row>
    <row r="56" spans="1:20" s="442" customFormat="1">
      <c r="B56" s="442" t="s">
        <v>2723</v>
      </c>
      <c r="C56" s="453">
        <v>2.5</v>
      </c>
      <c r="D56" s="453">
        <f>25+50+25</f>
        <v>100</v>
      </c>
      <c r="E56" s="442">
        <f>E6*0.6</f>
        <v>0</v>
      </c>
      <c r="F56" s="453">
        <v>8000</v>
      </c>
      <c r="G56" s="442" t="s">
        <v>97</v>
      </c>
      <c r="H56" s="453">
        <f t="shared" si="7"/>
        <v>0</v>
      </c>
      <c r="I56" s="453">
        <v>2.15</v>
      </c>
      <c r="J56" s="453">
        <f t="shared" si="1"/>
        <v>0</v>
      </c>
      <c r="K56" s="1856">
        <v>0</v>
      </c>
      <c r="L56" s="453">
        <v>1</v>
      </c>
      <c r="M56" s="1857">
        <v>55000</v>
      </c>
      <c r="N56" s="453">
        <f t="shared" si="2"/>
        <v>0</v>
      </c>
      <c r="O56" s="1857">
        <f t="shared" si="3"/>
        <v>0</v>
      </c>
      <c r="S56" s="1880"/>
    </row>
    <row r="57" spans="1:20" s="442" customFormat="1">
      <c r="B57" s="442" t="s">
        <v>2724</v>
      </c>
      <c r="C57" s="453">
        <v>3</v>
      </c>
      <c r="D57" s="453">
        <f>20+50+50+20</f>
        <v>140</v>
      </c>
      <c r="E57" s="442">
        <v>1000</v>
      </c>
      <c r="F57" s="453">
        <v>8000</v>
      </c>
      <c r="G57" s="442" t="s">
        <v>97</v>
      </c>
      <c r="H57" s="453">
        <f t="shared" si="7"/>
        <v>3.36</v>
      </c>
      <c r="I57" s="453">
        <v>1.1499999999999999</v>
      </c>
      <c r="J57" s="453">
        <f t="shared" si="1"/>
        <v>3.8639999999999994</v>
      </c>
      <c r="K57" s="1856">
        <v>0</v>
      </c>
      <c r="L57" s="453">
        <v>1</v>
      </c>
      <c r="M57" s="1857">
        <v>55000</v>
      </c>
      <c r="N57" s="453">
        <f t="shared" si="2"/>
        <v>0</v>
      </c>
      <c r="O57" s="1857">
        <f t="shared" si="3"/>
        <v>0</v>
      </c>
      <c r="S57" s="1880"/>
    </row>
    <row r="58" spans="1:20" s="442" customFormat="1">
      <c r="B58" s="442" t="s">
        <v>2725</v>
      </c>
      <c r="C58" s="453">
        <v>3</v>
      </c>
      <c r="D58" s="453">
        <v>50</v>
      </c>
      <c r="E58" s="442">
        <v>50</v>
      </c>
      <c r="F58" s="453">
        <v>7980</v>
      </c>
      <c r="G58" s="442" t="s">
        <v>97</v>
      </c>
      <c r="H58" s="453">
        <f t="shared" si="7"/>
        <v>5.9849999999999993E-2</v>
      </c>
      <c r="I58" s="453">
        <v>1.1499999999999999</v>
      </c>
      <c r="J58" s="453">
        <f t="shared" si="1"/>
        <v>6.8827499999999986E-2</v>
      </c>
      <c r="K58" s="1856">
        <v>0</v>
      </c>
      <c r="L58" s="453">
        <v>1</v>
      </c>
      <c r="M58" s="1857">
        <v>55000</v>
      </c>
      <c r="N58" s="453">
        <f t="shared" si="2"/>
        <v>0</v>
      </c>
      <c r="O58" s="1857">
        <f t="shared" si="3"/>
        <v>0</v>
      </c>
      <c r="S58" s="1880"/>
    </row>
    <row r="59" spans="1:20" s="442" customFormat="1">
      <c r="A59" s="1859"/>
      <c r="B59" s="1859" t="s">
        <v>2726</v>
      </c>
      <c r="C59" s="1860"/>
      <c r="D59" s="1860"/>
      <c r="E59" s="1859">
        <v>1000</v>
      </c>
      <c r="F59" s="1860">
        <v>1</v>
      </c>
      <c r="G59" s="1859" t="s">
        <v>1080</v>
      </c>
      <c r="H59" s="1860">
        <f>E59/1000</f>
        <v>1</v>
      </c>
      <c r="I59" s="1860">
        <v>1</v>
      </c>
      <c r="J59" s="1860">
        <f t="shared" si="1"/>
        <v>1</v>
      </c>
      <c r="K59" s="1862">
        <v>0</v>
      </c>
      <c r="L59" s="1860">
        <f>2*22/7*(12/2000)^2*1*8000</f>
        <v>1.8102857142857143</v>
      </c>
      <c r="M59" s="1863">
        <f>423423/6</f>
        <v>70570.5</v>
      </c>
      <c r="N59" s="1860">
        <f t="shared" si="2"/>
        <v>0</v>
      </c>
      <c r="O59" s="1863">
        <f t="shared" si="3"/>
        <v>0</v>
      </c>
      <c r="P59" s="1859"/>
      <c r="Q59" s="1859"/>
      <c r="R59" s="442" t="s">
        <v>2728</v>
      </c>
      <c r="S59" s="1880">
        <v>423423</v>
      </c>
      <c r="T59" s="1881">
        <f>S59/6</f>
        <v>70570.5</v>
      </c>
    </row>
    <row r="60" spans="1:20">
      <c r="N60" s="1877">
        <f>SUM(N18:N59)</f>
        <v>132.63529992857141</v>
      </c>
      <c r="O60" s="1866">
        <f>SUM(O18:O59)</f>
        <v>5454538.3745999997</v>
      </c>
      <c r="R60" s="1846">
        <f>2*22/7*(12/2000)^2*1*8000</f>
        <v>1.8102857142857143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4A2C-BDF0-43C7-B8E7-66113776F737}">
  <dimension ref="A1:AB316"/>
  <sheetViews>
    <sheetView showGridLines="0" topLeftCell="A219" zoomScaleNormal="100" workbookViewId="0">
      <selection activeCell="G232" sqref="G232"/>
    </sheetView>
  </sheetViews>
  <sheetFormatPr defaultColWidth="8.7109375" defaultRowHeight="14.25" outlineLevelRow="1"/>
  <cols>
    <col min="1" max="1" width="3.28515625" style="1622" bestFit="1" customWidth="1"/>
    <col min="2" max="2" width="18.5703125" style="747" bestFit="1" customWidth="1"/>
    <col min="3" max="3" width="27.7109375" style="747" bestFit="1" customWidth="1"/>
    <col min="4" max="4" width="50.85546875" style="747" bestFit="1" customWidth="1"/>
    <col min="5" max="5" width="7.28515625" style="936" bestFit="1" customWidth="1"/>
    <col min="6" max="6" width="7.7109375" style="811" bestFit="1" customWidth="1"/>
    <col min="7" max="7" width="14.5703125" style="811" customWidth="1"/>
    <col min="8" max="8" width="14.140625" style="936" customWidth="1"/>
    <col min="9" max="9" width="7.7109375" style="936" customWidth="1"/>
    <col min="10" max="10" width="10" style="817" customWidth="1"/>
    <col min="11" max="11" width="12.85546875" style="428" customWidth="1"/>
    <col min="12" max="12" width="13.7109375" style="926" customWidth="1"/>
    <col min="13" max="13" width="8.140625" style="926" bestFit="1" customWidth="1"/>
    <col min="14" max="14" width="8.85546875" style="926" bestFit="1" customWidth="1"/>
    <col min="15" max="15" width="4.42578125" style="1627" bestFit="1" customWidth="1"/>
    <col min="16" max="16" width="8.28515625" style="1777" customWidth="1"/>
    <col min="17" max="17" width="14.5703125" style="1777" customWidth="1"/>
    <col min="18" max="18" width="17.28515625" style="1780" customWidth="1"/>
    <col min="19" max="19" width="6.5703125" style="936" bestFit="1" customWidth="1"/>
    <col min="20" max="20" width="5.5703125" style="1779" bestFit="1" customWidth="1"/>
    <col min="21" max="21" width="3.28515625" style="1505" bestFit="1" customWidth="1"/>
    <col min="22" max="22" width="13.140625" style="811" bestFit="1" customWidth="1"/>
    <col min="23" max="23" width="5.7109375" style="811" bestFit="1" customWidth="1"/>
    <col min="24" max="24" width="6.7109375" style="1624" bestFit="1" customWidth="1"/>
    <col min="25" max="25" width="8.7109375" style="1624" bestFit="1" customWidth="1"/>
    <col min="26" max="26" width="6.5703125" style="1625" bestFit="1" customWidth="1"/>
    <col min="27" max="27" width="8.7109375" style="1625" bestFit="1" customWidth="1"/>
    <col min="28" max="16384" width="8.7109375" style="1624"/>
  </cols>
  <sheetData>
    <row r="1" spans="1:23" s="1494" customFormat="1" ht="27">
      <c r="A1" s="1493" t="s">
        <v>1075</v>
      </c>
      <c r="B1" s="2251" t="s">
        <v>1948</v>
      </c>
      <c r="C1" s="2251"/>
      <c r="D1" s="2251"/>
      <c r="E1" s="2251"/>
      <c r="F1" s="2251"/>
      <c r="G1" s="2251"/>
      <c r="H1" s="2251"/>
      <c r="I1" s="2251"/>
      <c r="J1" s="2251"/>
      <c r="K1" s="2251"/>
      <c r="L1" s="2251"/>
      <c r="M1" s="2251"/>
      <c r="N1" s="2251"/>
      <c r="O1" s="2251"/>
      <c r="P1" s="2251"/>
      <c r="Q1" s="2251"/>
      <c r="R1" s="2251"/>
      <c r="S1" s="2251"/>
      <c r="T1" s="2251"/>
    </row>
    <row r="2" spans="1:23" s="1506" customFormat="1" ht="15">
      <c r="A2" s="1495"/>
      <c r="B2" s="2252" t="s">
        <v>1949</v>
      </c>
      <c r="C2" s="2252"/>
      <c r="D2" s="1496"/>
      <c r="E2" s="1497"/>
      <c r="F2" s="1498"/>
      <c r="G2" s="1497"/>
      <c r="H2" s="1499"/>
      <c r="I2" s="1498"/>
      <c r="J2" s="1500"/>
      <c r="K2" s="1501"/>
      <c r="L2" s="1502"/>
      <c r="M2" s="1503"/>
      <c r="N2" s="1504"/>
      <c r="O2" s="1504"/>
      <c r="P2" s="1504"/>
      <c r="Q2" s="1504"/>
      <c r="R2" s="1504"/>
      <c r="S2" s="1504"/>
      <c r="T2" s="1504"/>
      <c r="U2" s="1505"/>
      <c r="V2" s="935"/>
      <c r="W2" s="811"/>
    </row>
    <row r="3" spans="1:23" s="418" customFormat="1" ht="15" hidden="1" outlineLevel="1">
      <c r="A3" s="893"/>
      <c r="B3" s="1507">
        <v>45522</v>
      </c>
      <c r="C3" s="1508"/>
      <c r="D3" s="1508"/>
      <c r="E3" s="1509" t="s">
        <v>46</v>
      </c>
      <c r="F3" s="1510">
        <v>1</v>
      </c>
      <c r="G3" s="1511"/>
      <c r="H3" s="1512"/>
      <c r="I3" s="1513"/>
      <c r="J3" s="1511"/>
      <c r="K3" s="1508"/>
      <c r="L3" s="1514"/>
      <c r="M3" s="1515"/>
      <c r="N3" s="1515"/>
      <c r="O3" s="1515"/>
      <c r="P3" s="1515"/>
      <c r="Q3" s="1515"/>
      <c r="R3" s="1515"/>
      <c r="S3" s="1515"/>
      <c r="T3" s="1515"/>
      <c r="U3" s="1516"/>
      <c r="V3" s="420"/>
      <c r="W3" s="446"/>
    </row>
    <row r="4" spans="1:23" s="418" customFormat="1" hidden="1" outlineLevel="1">
      <c r="A4" s="893"/>
      <c r="B4" s="504"/>
      <c r="E4" s="1517" t="s">
        <v>1076</v>
      </c>
      <c r="F4" s="1518">
        <v>0.92</v>
      </c>
      <c r="G4" s="1519"/>
      <c r="H4" s="1520"/>
      <c r="I4" s="1521"/>
      <c r="J4" s="1519"/>
      <c r="L4" s="1522"/>
      <c r="M4" s="423"/>
      <c r="N4" s="423"/>
      <c r="O4" s="423"/>
      <c r="P4" s="423"/>
      <c r="Q4" s="423"/>
      <c r="R4" s="423"/>
      <c r="S4" s="423"/>
      <c r="T4" s="423"/>
      <c r="U4" s="1516"/>
      <c r="V4" s="420"/>
      <c r="W4" s="446"/>
    </row>
    <row r="5" spans="1:23" s="418" customFormat="1" hidden="1" outlineLevel="1">
      <c r="A5" s="893"/>
      <c r="B5" s="504"/>
      <c r="E5" s="1517" t="s">
        <v>1235</v>
      </c>
      <c r="F5" s="1518">
        <v>1.35</v>
      </c>
      <c r="G5" s="1523"/>
      <c r="H5" s="1520"/>
      <c r="I5" s="1521"/>
      <c r="J5" s="1519"/>
      <c r="L5" s="1522"/>
      <c r="M5" s="423"/>
      <c r="N5" s="423"/>
      <c r="O5" s="423"/>
      <c r="P5" s="423"/>
      <c r="Q5" s="423"/>
      <c r="R5" s="423"/>
      <c r="S5" s="423"/>
      <c r="T5" s="423"/>
      <c r="U5" s="1516"/>
      <c r="V5" s="420"/>
      <c r="W5" s="446"/>
    </row>
    <row r="6" spans="1:23" s="418" customFormat="1" hidden="1" outlineLevel="1">
      <c r="A6" s="893"/>
      <c r="B6" s="504"/>
      <c r="E6" s="1517" t="s">
        <v>22</v>
      </c>
      <c r="F6" s="1518">
        <v>4.68</v>
      </c>
      <c r="G6" s="1523"/>
      <c r="H6" s="1520"/>
      <c r="I6" s="1521"/>
      <c r="J6" s="1519"/>
      <c r="L6" s="1522"/>
      <c r="M6" s="423"/>
      <c r="N6" s="423"/>
      <c r="O6" s="423"/>
      <c r="P6" s="423"/>
      <c r="Q6" s="423"/>
      <c r="R6" s="423"/>
      <c r="S6" s="423"/>
      <c r="T6" s="423"/>
      <c r="U6" s="1516"/>
      <c r="W6" s="1524"/>
    </row>
    <row r="7" spans="1:23" s="418" customFormat="1" hidden="1" outlineLevel="1">
      <c r="A7" s="893"/>
      <c r="B7" s="504"/>
      <c r="E7" s="1517" t="s">
        <v>1950</v>
      </c>
      <c r="F7" s="1518">
        <v>157.47999999999999</v>
      </c>
      <c r="G7" s="1525"/>
      <c r="H7" s="1520"/>
      <c r="I7" s="1521"/>
      <c r="J7" s="1519"/>
      <c r="L7" s="1522"/>
      <c r="M7" s="423"/>
      <c r="N7" s="423"/>
      <c r="O7" s="423"/>
      <c r="P7" s="423"/>
      <c r="Q7" s="423"/>
      <c r="R7" s="423"/>
      <c r="S7" s="423"/>
      <c r="T7" s="423"/>
      <c r="U7" s="1516"/>
      <c r="W7" s="1524"/>
    </row>
    <row r="8" spans="1:23" s="418" customFormat="1" hidden="1" outlineLevel="1">
      <c r="A8" s="893"/>
      <c r="B8" s="504"/>
      <c r="E8" s="1517" t="s">
        <v>1077</v>
      </c>
      <c r="F8" s="1518">
        <v>7.27</v>
      </c>
      <c r="G8" s="1525"/>
      <c r="H8" s="1520"/>
      <c r="I8" s="1521"/>
      <c r="J8" s="1519"/>
      <c r="L8" s="1522"/>
      <c r="M8" s="423"/>
      <c r="N8" s="423"/>
      <c r="O8" s="423"/>
      <c r="P8" s="423"/>
      <c r="Q8" s="423"/>
      <c r="R8" s="423"/>
      <c r="S8" s="423"/>
      <c r="T8" s="423"/>
      <c r="U8" s="1516"/>
      <c r="W8" s="1524"/>
    </row>
    <row r="9" spans="1:23" s="418" customFormat="1" hidden="1" outlineLevel="1">
      <c r="A9" s="893"/>
      <c r="B9" s="843"/>
      <c r="C9" s="842"/>
      <c r="D9" s="842"/>
      <c r="E9" s="1526" t="s">
        <v>115</v>
      </c>
      <c r="F9" s="1527">
        <v>17500</v>
      </c>
      <c r="G9" s="1528"/>
      <c r="H9" s="1529"/>
      <c r="I9" s="1530"/>
      <c r="J9" s="1531"/>
      <c r="K9" s="842"/>
      <c r="L9" s="1532"/>
      <c r="M9" s="1533"/>
      <c r="N9" s="1533"/>
      <c r="O9" s="1533"/>
      <c r="P9" s="1533"/>
      <c r="Q9" s="1533"/>
      <c r="R9" s="1533"/>
      <c r="S9" s="1533"/>
      <c r="T9" s="1533"/>
      <c r="U9" s="1516"/>
      <c r="W9" s="1524"/>
    </row>
    <row r="10" spans="1:23" s="1506" customFormat="1" ht="16.5" collapsed="1">
      <c r="A10" s="1495"/>
      <c r="B10" s="2253" t="s">
        <v>1951</v>
      </c>
      <c r="C10" s="2253"/>
      <c r="D10" s="1499"/>
      <c r="E10" s="1497" t="s">
        <v>1952</v>
      </c>
      <c r="F10" s="1498" t="s">
        <v>1953</v>
      </c>
      <c r="G10" s="1500" t="s">
        <v>1954</v>
      </c>
      <c r="H10" s="1501" t="s">
        <v>1955</v>
      </c>
      <c r="I10" s="1534" t="s">
        <v>1956</v>
      </c>
      <c r="J10" s="1535" t="s">
        <v>1957</v>
      </c>
      <c r="K10" s="1536" t="s">
        <v>1958</v>
      </c>
      <c r="L10" s="1536" t="s">
        <v>1959</v>
      </c>
      <c r="M10" s="1536" t="s">
        <v>1960</v>
      </c>
      <c r="N10" s="1537" t="s">
        <v>1961</v>
      </c>
      <c r="O10" s="1537" t="s">
        <v>1962</v>
      </c>
      <c r="P10" s="1537"/>
      <c r="Q10" s="1537"/>
      <c r="R10" s="1537"/>
      <c r="S10" s="1537"/>
      <c r="T10" s="1537"/>
      <c r="U10" s="1505"/>
      <c r="V10" s="935"/>
      <c r="W10" s="811"/>
    </row>
    <row r="11" spans="1:23" s="479" customFormat="1" ht="15" hidden="1" outlineLevel="1">
      <c r="A11" s="1538"/>
      <c r="B11" s="1539" t="s">
        <v>1963</v>
      </c>
      <c r="C11" s="1540">
        <v>7</v>
      </c>
      <c r="D11" s="1515" t="s">
        <v>1964</v>
      </c>
      <c r="E11" s="1511">
        <v>21</v>
      </c>
      <c r="F11" s="1541">
        <v>18.190000000000001</v>
      </c>
      <c r="G11" s="1542">
        <v>0.11</v>
      </c>
      <c r="H11" s="1543">
        <v>0.28000000000000003</v>
      </c>
      <c r="I11" s="1544">
        <v>1.5</v>
      </c>
      <c r="J11" s="420">
        <v>226</v>
      </c>
      <c r="K11" s="1545">
        <f>(J11-F11*12)/J11+1</f>
        <v>1.0341592920353981</v>
      </c>
      <c r="L11" s="1545">
        <v>1.02</v>
      </c>
      <c r="M11" s="1545">
        <v>1.1499999999999999</v>
      </c>
      <c r="N11" s="1546">
        <v>1.0935183673469389</v>
      </c>
      <c r="O11" s="1547">
        <f>22/7*E11/2</f>
        <v>33</v>
      </c>
      <c r="P11" s="1547"/>
      <c r="Q11" s="1547"/>
      <c r="R11" s="1547"/>
      <c r="S11" s="1547"/>
      <c r="T11" s="1547"/>
      <c r="U11" s="1516"/>
      <c r="V11" s="420"/>
      <c r="W11" s="446"/>
    </row>
    <row r="12" spans="1:23" s="418" customFormat="1" hidden="1" outlineLevel="1">
      <c r="A12" s="893"/>
      <c r="B12" s="1548" t="s">
        <v>1965</v>
      </c>
      <c r="C12" s="1549">
        <v>7</v>
      </c>
      <c r="D12" s="423" t="s">
        <v>1966</v>
      </c>
      <c r="E12" s="1519">
        <v>22</v>
      </c>
      <c r="F12" s="1550">
        <v>20</v>
      </c>
      <c r="G12" s="1519">
        <v>0.11</v>
      </c>
      <c r="H12" s="893">
        <v>0.28000000000000003</v>
      </c>
      <c r="I12" s="459">
        <v>1.5</v>
      </c>
      <c r="J12" s="420">
        <v>248</v>
      </c>
      <c r="K12" s="1545">
        <f t="shared" ref="K12:K14" si="0">(J12-F12*12)/J12+1</f>
        <v>1.032258064516129</v>
      </c>
      <c r="L12" s="1545">
        <v>1.02</v>
      </c>
      <c r="M12" s="1545">
        <v>1.1499999999999999</v>
      </c>
      <c r="N12" s="1551">
        <v>1.0935183673469389</v>
      </c>
      <c r="O12" s="419">
        <f t="shared" ref="O12:O17" si="1">22/7*E12/2</f>
        <v>34.571428571428569</v>
      </c>
      <c r="P12" s="419"/>
      <c r="Q12" s="419"/>
      <c r="R12" s="419"/>
      <c r="S12" s="419"/>
      <c r="T12" s="419"/>
      <c r="U12" s="1516"/>
      <c r="V12" s="420"/>
      <c r="W12" s="446"/>
    </row>
    <row r="13" spans="1:23" s="418" customFormat="1" hidden="1" outlineLevel="1">
      <c r="A13" s="893"/>
      <c r="B13" s="504" t="s">
        <v>1275</v>
      </c>
      <c r="C13" s="1549">
        <v>9.5249999999999986</v>
      </c>
      <c r="D13" s="423" t="s">
        <v>1967</v>
      </c>
      <c r="E13" s="1519">
        <v>25</v>
      </c>
      <c r="F13" s="1550">
        <v>21.65</v>
      </c>
      <c r="G13" s="1519">
        <v>0.11</v>
      </c>
      <c r="H13" s="893">
        <v>0.33</v>
      </c>
      <c r="I13" s="459">
        <v>1.5</v>
      </c>
      <c r="J13" s="420">
        <v>268</v>
      </c>
      <c r="K13" s="1545">
        <f t="shared" si="0"/>
        <v>1.0305970149253734</v>
      </c>
      <c r="L13" s="1545">
        <v>1.02</v>
      </c>
      <c r="M13" s="1545">
        <v>1.1499999999999999</v>
      </c>
      <c r="N13" s="1551">
        <v>1.0694056943669443</v>
      </c>
      <c r="O13" s="419">
        <f t="shared" si="1"/>
        <v>39.285714285714285</v>
      </c>
      <c r="P13" s="419"/>
      <c r="Q13" s="419"/>
      <c r="R13" s="419"/>
      <c r="S13" s="419"/>
      <c r="T13" s="419"/>
      <c r="U13" s="1516"/>
      <c r="V13" s="420"/>
      <c r="W13" s="446"/>
    </row>
    <row r="14" spans="1:23" s="418" customFormat="1" hidden="1" outlineLevel="1">
      <c r="A14" s="893"/>
      <c r="B14" s="504" t="s">
        <v>1968</v>
      </c>
      <c r="C14" s="1549">
        <v>9.5249999999999986</v>
      </c>
      <c r="D14" s="423" t="s">
        <v>1969</v>
      </c>
      <c r="E14" s="1523">
        <v>25.4</v>
      </c>
      <c r="F14" s="1550">
        <v>22</v>
      </c>
      <c r="G14" s="1519">
        <v>0.11</v>
      </c>
      <c r="H14" s="893">
        <v>0.33</v>
      </c>
      <c r="I14" s="459">
        <v>1.5</v>
      </c>
      <c r="J14" s="420">
        <f t="shared" ref="J14" si="2">F14*12+8</f>
        <v>272</v>
      </c>
      <c r="K14" s="1545">
        <f t="shared" si="0"/>
        <v>1.0294117647058822</v>
      </c>
      <c r="L14" s="1545">
        <v>1.02</v>
      </c>
      <c r="M14" s="1545">
        <v>1.1499999999999999</v>
      </c>
      <c r="N14" s="1551">
        <v>1.0694056943669443</v>
      </c>
      <c r="O14" s="419">
        <f t="shared" si="1"/>
        <v>39.914285714285711</v>
      </c>
      <c r="P14" s="419"/>
      <c r="Q14" s="419"/>
      <c r="R14" s="419"/>
      <c r="S14" s="419"/>
      <c r="T14" s="419"/>
      <c r="U14" s="1516"/>
      <c r="V14" s="420"/>
      <c r="W14" s="446"/>
    </row>
    <row r="15" spans="1:23" s="418" customFormat="1" hidden="1" outlineLevel="1">
      <c r="A15" s="893"/>
      <c r="B15" s="504" t="s">
        <v>1277</v>
      </c>
      <c r="C15" s="1549">
        <v>12.7</v>
      </c>
      <c r="D15" s="423" t="s">
        <v>1970</v>
      </c>
      <c r="E15" s="1523">
        <v>31.75</v>
      </c>
      <c r="F15" s="1550">
        <v>27.5</v>
      </c>
      <c r="G15" s="1519">
        <v>0.11</v>
      </c>
      <c r="H15" s="893">
        <v>0.34</v>
      </c>
      <c r="I15" s="459">
        <v>1.5</v>
      </c>
      <c r="J15" s="420">
        <v>230</v>
      </c>
      <c r="K15" s="1545">
        <f>(J15-F15*8)/J15+1</f>
        <v>1.0434782608695652</v>
      </c>
      <c r="L15" s="1545">
        <v>1.02</v>
      </c>
      <c r="M15" s="1545">
        <v>1.1499999999999999</v>
      </c>
      <c r="N15" s="1551">
        <v>1.0639841279682558</v>
      </c>
      <c r="O15" s="419">
        <f t="shared" si="1"/>
        <v>49.892857142857139</v>
      </c>
      <c r="P15" s="419"/>
      <c r="Q15" s="419"/>
      <c r="R15" s="419"/>
      <c r="S15" s="419"/>
      <c r="T15" s="419"/>
      <c r="U15" s="1516"/>
      <c r="W15" s="1524"/>
    </row>
    <row r="16" spans="1:23" s="418" customFormat="1" hidden="1" outlineLevel="1">
      <c r="A16" s="893"/>
      <c r="B16" s="504" t="s">
        <v>1279</v>
      </c>
      <c r="C16" s="1549">
        <v>15.875</v>
      </c>
      <c r="D16" s="423" t="s">
        <v>1971</v>
      </c>
      <c r="E16" s="1523">
        <v>38.1</v>
      </c>
      <c r="F16" s="1550">
        <v>33</v>
      </c>
      <c r="G16" s="1519">
        <v>0.12</v>
      </c>
      <c r="H16" s="893">
        <v>0.41</v>
      </c>
      <c r="I16" s="459">
        <v>1.5</v>
      </c>
      <c r="J16" s="420">
        <v>208</v>
      </c>
      <c r="K16" s="1545">
        <f>(J16-F16*6)/J16+1</f>
        <v>1.0480769230769231</v>
      </c>
      <c r="L16" s="1545">
        <v>1.02</v>
      </c>
      <c r="M16" s="1545">
        <v>1.1499999999999999</v>
      </c>
      <c r="N16" s="1551">
        <v>1.06984001488003</v>
      </c>
      <c r="O16" s="419">
        <f t="shared" si="1"/>
        <v>59.871428571428574</v>
      </c>
      <c r="P16" s="419"/>
      <c r="Q16" s="419"/>
      <c r="R16" s="419"/>
      <c r="S16" s="419"/>
      <c r="T16" s="419"/>
      <c r="U16" s="1516"/>
      <c r="W16" s="1524"/>
    </row>
    <row r="17" spans="1:23" s="418" customFormat="1" hidden="1" outlineLevel="1">
      <c r="A17" s="893"/>
      <c r="B17" s="504" t="s">
        <v>1972</v>
      </c>
      <c r="C17" s="1552">
        <v>19.049999999999997</v>
      </c>
      <c r="D17" s="423" t="s">
        <v>1973</v>
      </c>
      <c r="E17" s="1553">
        <v>50</v>
      </c>
      <c r="F17" s="1554">
        <v>43.3</v>
      </c>
      <c r="G17" s="1531">
        <v>0.14000000000000001</v>
      </c>
      <c r="H17" s="1555">
        <v>0.45</v>
      </c>
      <c r="I17" s="485">
        <v>1.5</v>
      </c>
      <c r="J17" s="420">
        <v>270</v>
      </c>
      <c r="K17" s="1556">
        <f>(J17-F17*6)/J17+1</f>
        <v>1.0377777777777779</v>
      </c>
      <c r="L17" s="1545">
        <v>1.02</v>
      </c>
      <c r="M17" s="1545">
        <v>1.1499999999999999</v>
      </c>
      <c r="N17" s="1557">
        <v>1.06984001488003</v>
      </c>
      <c r="O17" s="1558">
        <f t="shared" si="1"/>
        <v>78.571428571428569</v>
      </c>
      <c r="P17" s="1558"/>
      <c r="Q17" s="1558"/>
      <c r="R17" s="1558"/>
      <c r="S17" s="1558"/>
      <c r="T17" s="1558"/>
      <c r="U17" s="1516"/>
      <c r="W17" s="1524"/>
    </row>
    <row r="18" spans="1:23" s="1506" customFormat="1" ht="16.5" collapsed="1">
      <c r="A18" s="1495"/>
      <c r="B18" s="2249" t="s">
        <v>1974</v>
      </c>
      <c r="C18" s="2250"/>
      <c r="D18" s="1559"/>
      <c r="E18" s="1497" t="s">
        <v>1085</v>
      </c>
      <c r="F18" s="1498" t="s">
        <v>1975</v>
      </c>
      <c r="G18" s="1497" t="s">
        <v>1079</v>
      </c>
      <c r="H18" s="1536" t="s">
        <v>1976</v>
      </c>
      <c r="I18" s="1560" t="s">
        <v>33</v>
      </c>
      <c r="J18" s="1561" t="s">
        <v>1977</v>
      </c>
      <c r="K18" s="1501" t="s">
        <v>1978</v>
      </c>
      <c r="L18" s="1501" t="s">
        <v>1979</v>
      </c>
      <c r="M18" s="1534" t="s">
        <v>1980</v>
      </c>
      <c r="N18" s="1534"/>
      <c r="O18" s="1534"/>
      <c r="P18" s="1534"/>
      <c r="Q18" s="1534"/>
      <c r="R18" s="1534"/>
      <c r="S18" s="1534"/>
      <c r="T18" s="1534"/>
      <c r="U18" s="1562"/>
      <c r="V18" s="1563"/>
      <c r="W18" s="1563"/>
    </row>
    <row r="19" spans="1:23" s="418" customFormat="1" hidden="1" outlineLevel="1">
      <c r="A19" s="893"/>
      <c r="B19" s="1564" t="s">
        <v>1981</v>
      </c>
      <c r="C19" s="1564" t="s">
        <v>1982</v>
      </c>
      <c r="D19" s="1565" t="s">
        <v>1983</v>
      </c>
      <c r="E19" s="1542" t="s">
        <v>97</v>
      </c>
      <c r="F19" s="1566">
        <v>8080</v>
      </c>
      <c r="G19" s="1567">
        <f>24000/F9</f>
        <v>1.3714285714285714</v>
      </c>
      <c r="H19" s="1568">
        <v>0</v>
      </c>
      <c r="I19" s="433">
        <v>1</v>
      </c>
      <c r="J19" s="1569">
        <f>(G19+H19)*I19</f>
        <v>1.3714285714285714</v>
      </c>
      <c r="K19" s="1570">
        <f>F$9</f>
        <v>17500</v>
      </c>
      <c r="L19" s="1570">
        <f>J19*K19</f>
        <v>24000</v>
      </c>
      <c r="M19" s="1571">
        <v>1</v>
      </c>
      <c r="N19" s="1571"/>
      <c r="O19" s="1571"/>
      <c r="P19" s="1571"/>
      <c r="Q19" s="1571"/>
      <c r="R19" s="1571"/>
      <c r="S19" s="1571"/>
      <c r="T19" s="1571"/>
      <c r="U19" s="1516"/>
    </row>
    <row r="20" spans="1:23" s="418" customFormat="1" hidden="1" outlineLevel="1">
      <c r="A20" s="893"/>
      <c r="B20" s="424" t="s">
        <v>1984</v>
      </c>
      <c r="C20" s="424" t="s">
        <v>1985</v>
      </c>
      <c r="D20" s="504" t="s">
        <v>1986</v>
      </c>
      <c r="E20" s="1572" t="s">
        <v>97</v>
      </c>
      <c r="F20" s="1573">
        <v>8080</v>
      </c>
      <c r="G20" s="1574">
        <f>24000/F9</f>
        <v>1.3714285714285714</v>
      </c>
      <c r="H20" s="1575">
        <v>0</v>
      </c>
      <c r="I20" s="414">
        <v>1</v>
      </c>
      <c r="J20" s="1576">
        <f t="shared" ref="J20:J35" si="3">(G20+H20)*I20</f>
        <v>1.3714285714285714</v>
      </c>
      <c r="K20" s="1577">
        <f t="shared" ref="K20:K35" si="4">F$9</f>
        <v>17500</v>
      </c>
      <c r="L20" s="1577">
        <f t="shared" ref="L20:L51" si="5">J20*K20</f>
        <v>24000</v>
      </c>
      <c r="M20" s="1578">
        <v>1</v>
      </c>
      <c r="N20" s="1578"/>
      <c r="O20" s="1578"/>
      <c r="P20" s="1578"/>
      <c r="Q20" s="1578"/>
      <c r="R20" s="1578"/>
      <c r="S20" s="1578"/>
      <c r="T20" s="1578"/>
      <c r="U20" s="1516"/>
    </row>
    <row r="21" spans="1:23" s="418" customFormat="1" hidden="1" outlineLevel="1">
      <c r="A21" s="893"/>
      <c r="B21" s="424" t="s">
        <v>1987</v>
      </c>
      <c r="C21" s="424" t="s">
        <v>1988</v>
      </c>
      <c r="D21" s="504" t="s">
        <v>1989</v>
      </c>
      <c r="E21" s="1572" t="s">
        <v>97</v>
      </c>
      <c r="F21" s="1573">
        <v>8080</v>
      </c>
      <c r="G21" s="1574">
        <f>24000/F9</f>
        <v>1.3714285714285714</v>
      </c>
      <c r="H21" s="1575">
        <v>0</v>
      </c>
      <c r="I21" s="414">
        <v>1</v>
      </c>
      <c r="J21" s="1576">
        <f t="shared" si="3"/>
        <v>1.3714285714285714</v>
      </c>
      <c r="K21" s="1577">
        <f t="shared" si="4"/>
        <v>17500</v>
      </c>
      <c r="L21" s="1577">
        <f t="shared" si="5"/>
        <v>24000</v>
      </c>
      <c r="M21" s="1578">
        <v>1</v>
      </c>
      <c r="N21" s="1578"/>
      <c r="O21" s="1578"/>
      <c r="P21" s="1578"/>
      <c r="Q21" s="1578"/>
      <c r="R21" s="1578"/>
      <c r="S21" s="1578"/>
      <c r="T21" s="1578"/>
      <c r="U21" s="1516"/>
    </row>
    <row r="22" spans="1:23" s="418" customFormat="1" hidden="1" outlineLevel="1">
      <c r="A22" s="893"/>
      <c r="B22" s="424" t="s">
        <v>1990</v>
      </c>
      <c r="C22" s="424" t="s">
        <v>1991</v>
      </c>
      <c r="D22" s="504" t="s">
        <v>1992</v>
      </c>
      <c r="E22" s="1572" t="s">
        <v>97</v>
      </c>
      <c r="F22" s="1573">
        <v>8080</v>
      </c>
      <c r="G22" s="1574">
        <f>30000/F9</f>
        <v>1.7142857142857142</v>
      </c>
      <c r="H22" s="1575">
        <v>0</v>
      </c>
      <c r="I22" s="414">
        <v>1</v>
      </c>
      <c r="J22" s="1576">
        <f t="shared" si="3"/>
        <v>1.7142857142857142</v>
      </c>
      <c r="K22" s="1577">
        <f t="shared" si="4"/>
        <v>17500</v>
      </c>
      <c r="L22" s="1577">
        <f t="shared" si="5"/>
        <v>30000</v>
      </c>
      <c r="M22" s="1578">
        <v>1</v>
      </c>
      <c r="N22" s="1578"/>
      <c r="O22" s="1578"/>
      <c r="P22" s="1578"/>
      <c r="Q22" s="1578"/>
      <c r="R22" s="1578"/>
      <c r="S22" s="1578"/>
      <c r="T22" s="1578"/>
      <c r="U22" s="1516"/>
    </row>
    <row r="23" spans="1:23" s="418" customFormat="1" hidden="1" outlineLevel="1">
      <c r="A23" s="893"/>
      <c r="B23" s="1579" t="s">
        <v>1993</v>
      </c>
      <c r="C23" s="1579" t="s">
        <v>1994</v>
      </c>
      <c r="D23" s="843" t="s">
        <v>1995</v>
      </c>
      <c r="E23" s="1580" t="s">
        <v>97</v>
      </c>
      <c r="F23" s="1581">
        <v>8080</v>
      </c>
      <c r="G23" s="1582">
        <f>30000/F9</f>
        <v>1.7142857142857142</v>
      </c>
      <c r="H23" s="1583">
        <v>0</v>
      </c>
      <c r="I23" s="429">
        <v>1</v>
      </c>
      <c r="J23" s="1584">
        <f t="shared" si="3"/>
        <v>1.7142857142857142</v>
      </c>
      <c r="K23" s="1585">
        <f t="shared" si="4"/>
        <v>17500</v>
      </c>
      <c r="L23" s="1585">
        <f t="shared" si="5"/>
        <v>30000</v>
      </c>
      <c r="M23" s="1586">
        <v>1</v>
      </c>
      <c r="N23" s="1586"/>
      <c r="O23" s="1586"/>
      <c r="P23" s="1586"/>
      <c r="Q23" s="1586"/>
      <c r="R23" s="1586"/>
      <c r="S23" s="1586"/>
      <c r="T23" s="1586"/>
      <c r="U23" s="1516"/>
    </row>
    <row r="24" spans="1:23" s="418" customFormat="1" hidden="1" outlineLevel="1">
      <c r="A24" s="893"/>
      <c r="B24" s="424" t="s">
        <v>1996</v>
      </c>
      <c r="C24" s="424" t="s">
        <v>1997</v>
      </c>
      <c r="D24" s="504" t="s">
        <v>1998</v>
      </c>
      <c r="E24" s="1572" t="s">
        <v>97</v>
      </c>
      <c r="F24" s="1573">
        <v>7930</v>
      </c>
      <c r="G24" s="1574">
        <f>65000/F9</f>
        <v>3.7142857142857144</v>
      </c>
      <c r="H24" s="1575">
        <v>0</v>
      </c>
      <c r="I24" s="414">
        <v>1</v>
      </c>
      <c r="J24" s="1576">
        <f t="shared" si="3"/>
        <v>3.7142857142857144</v>
      </c>
      <c r="K24" s="1577">
        <f t="shared" si="4"/>
        <v>17500</v>
      </c>
      <c r="L24" s="1577">
        <f t="shared" si="5"/>
        <v>65000</v>
      </c>
      <c r="M24" s="1578">
        <v>1</v>
      </c>
      <c r="N24" s="1578"/>
      <c r="O24" s="1578"/>
      <c r="P24" s="1578"/>
      <c r="Q24" s="1578"/>
      <c r="R24" s="1578"/>
      <c r="S24" s="1578"/>
      <c r="T24" s="1578"/>
      <c r="U24" s="1516"/>
    </row>
    <row r="25" spans="1:23" s="418" customFormat="1" hidden="1" outlineLevel="1">
      <c r="A25" s="893"/>
      <c r="B25" s="424" t="s">
        <v>1999</v>
      </c>
      <c r="C25" s="424" t="s">
        <v>2000</v>
      </c>
      <c r="D25" s="504" t="s">
        <v>2001</v>
      </c>
      <c r="E25" s="1572" t="s">
        <v>97</v>
      </c>
      <c r="F25" s="1573">
        <v>7930</v>
      </c>
      <c r="G25" s="1574">
        <f>65000/F9</f>
        <v>3.7142857142857144</v>
      </c>
      <c r="H25" s="1575">
        <v>0</v>
      </c>
      <c r="I25" s="414">
        <v>1</v>
      </c>
      <c r="J25" s="1576">
        <f t="shared" si="3"/>
        <v>3.7142857142857144</v>
      </c>
      <c r="K25" s="1577">
        <f t="shared" si="4"/>
        <v>17500</v>
      </c>
      <c r="L25" s="1577">
        <f t="shared" si="5"/>
        <v>65000</v>
      </c>
      <c r="M25" s="1578">
        <v>1</v>
      </c>
      <c r="N25" s="1578"/>
      <c r="O25" s="1578"/>
      <c r="P25" s="1578"/>
      <c r="Q25" s="1578"/>
      <c r="R25" s="1578"/>
      <c r="S25" s="1578"/>
      <c r="T25" s="1578"/>
      <c r="U25" s="1516"/>
    </row>
    <row r="26" spans="1:23" s="418" customFormat="1" hidden="1" outlineLevel="1">
      <c r="A26" s="893"/>
      <c r="B26" s="1579" t="s">
        <v>2002</v>
      </c>
      <c r="C26" s="1579" t="s">
        <v>2003</v>
      </c>
      <c r="D26" s="843" t="s">
        <v>2004</v>
      </c>
      <c r="E26" s="1580" t="s">
        <v>97</v>
      </c>
      <c r="F26" s="1581">
        <v>7930</v>
      </c>
      <c r="G26" s="1582">
        <f>65000/F9</f>
        <v>3.7142857142857144</v>
      </c>
      <c r="H26" s="1583">
        <v>0</v>
      </c>
      <c r="I26" s="429">
        <v>1</v>
      </c>
      <c r="J26" s="1584">
        <f t="shared" si="3"/>
        <v>3.7142857142857144</v>
      </c>
      <c r="K26" s="1585">
        <f t="shared" si="4"/>
        <v>17500</v>
      </c>
      <c r="L26" s="1585">
        <f t="shared" si="5"/>
        <v>65000</v>
      </c>
      <c r="M26" s="1586">
        <v>1</v>
      </c>
      <c r="N26" s="1586"/>
      <c r="O26" s="1586"/>
      <c r="P26" s="1586"/>
      <c r="Q26" s="1586"/>
      <c r="R26" s="1586"/>
      <c r="S26" s="1586"/>
      <c r="T26" s="1586"/>
      <c r="U26" s="1516"/>
    </row>
    <row r="27" spans="1:23" s="418" customFormat="1" hidden="1" outlineLevel="1">
      <c r="A27" s="893"/>
      <c r="B27" s="424" t="s">
        <v>2005</v>
      </c>
      <c r="C27" s="424" t="s">
        <v>2006</v>
      </c>
      <c r="D27" s="504" t="s">
        <v>2007</v>
      </c>
      <c r="E27" s="1572" t="s">
        <v>97</v>
      </c>
      <c r="F27" s="1573">
        <v>7980</v>
      </c>
      <c r="G27" s="1574">
        <f>90000/F9</f>
        <v>5.1428571428571432</v>
      </c>
      <c r="H27" s="1575">
        <v>0</v>
      </c>
      <c r="I27" s="414">
        <v>1</v>
      </c>
      <c r="J27" s="1576">
        <f t="shared" si="3"/>
        <v>5.1428571428571432</v>
      </c>
      <c r="K27" s="1577">
        <f t="shared" si="4"/>
        <v>17500</v>
      </c>
      <c r="L27" s="1577">
        <f t="shared" si="5"/>
        <v>90000</v>
      </c>
      <c r="M27" s="1578">
        <v>1</v>
      </c>
      <c r="N27" s="1578"/>
      <c r="O27" s="1578"/>
      <c r="P27" s="1578"/>
      <c r="Q27" s="1578"/>
      <c r="R27" s="1578"/>
      <c r="S27" s="1578"/>
      <c r="T27" s="1578"/>
      <c r="U27" s="1516"/>
    </row>
    <row r="28" spans="1:23" s="418" customFormat="1" hidden="1" outlineLevel="1">
      <c r="A28" s="893"/>
      <c r="B28" s="424" t="s">
        <v>2008</v>
      </c>
      <c r="C28" s="424" t="s">
        <v>2009</v>
      </c>
      <c r="D28" s="504" t="s">
        <v>2010</v>
      </c>
      <c r="E28" s="1572" t="s">
        <v>97</v>
      </c>
      <c r="F28" s="1573">
        <v>7980</v>
      </c>
      <c r="G28" s="1574">
        <f>90000/F9</f>
        <v>5.1428571428571432</v>
      </c>
      <c r="H28" s="1575">
        <v>0</v>
      </c>
      <c r="I28" s="414">
        <v>1</v>
      </c>
      <c r="J28" s="1576">
        <f t="shared" si="3"/>
        <v>5.1428571428571432</v>
      </c>
      <c r="K28" s="1577">
        <f t="shared" si="4"/>
        <v>17500</v>
      </c>
      <c r="L28" s="1577">
        <f t="shared" si="5"/>
        <v>90000</v>
      </c>
      <c r="M28" s="1578">
        <v>1</v>
      </c>
      <c r="N28" s="1578"/>
      <c r="O28" s="1578"/>
      <c r="P28" s="1578"/>
      <c r="Q28" s="1578"/>
      <c r="R28" s="1578"/>
      <c r="S28" s="1578"/>
      <c r="T28" s="1578"/>
      <c r="U28" s="1516"/>
    </row>
    <row r="29" spans="1:23" s="418" customFormat="1" hidden="1" outlineLevel="1">
      <c r="A29" s="893"/>
      <c r="B29" s="1579" t="s">
        <v>2011</v>
      </c>
      <c r="C29" s="1579" t="s">
        <v>2012</v>
      </c>
      <c r="D29" s="843" t="s">
        <v>2013</v>
      </c>
      <c r="E29" s="1580" t="s">
        <v>97</v>
      </c>
      <c r="F29" s="1581">
        <v>7980</v>
      </c>
      <c r="G29" s="1582">
        <f>90000/F9</f>
        <v>5.1428571428571432</v>
      </c>
      <c r="H29" s="1583">
        <v>0</v>
      </c>
      <c r="I29" s="429">
        <v>1</v>
      </c>
      <c r="J29" s="1584">
        <f t="shared" si="3"/>
        <v>5.1428571428571432</v>
      </c>
      <c r="K29" s="1585">
        <f t="shared" si="4"/>
        <v>17500</v>
      </c>
      <c r="L29" s="1585">
        <f t="shared" si="5"/>
        <v>90000</v>
      </c>
      <c r="M29" s="1586">
        <v>1</v>
      </c>
      <c r="N29" s="1586"/>
      <c r="O29" s="1586"/>
      <c r="P29" s="1586"/>
      <c r="Q29" s="1586"/>
      <c r="R29" s="1586"/>
      <c r="S29" s="1586"/>
      <c r="T29" s="1586"/>
      <c r="U29" s="1516"/>
    </row>
    <row r="30" spans="1:23" s="418" customFormat="1" hidden="1" outlineLevel="1">
      <c r="A30" s="893"/>
      <c r="B30" s="424" t="s">
        <v>2014</v>
      </c>
      <c r="C30" s="424" t="s">
        <v>2015</v>
      </c>
      <c r="D30" s="504" t="s">
        <v>2016</v>
      </c>
      <c r="E30" s="1572" t="s">
        <v>97</v>
      </c>
      <c r="F30" s="1573">
        <v>2700</v>
      </c>
      <c r="G30" s="1574">
        <f>75000/F9</f>
        <v>4.2857142857142856</v>
      </c>
      <c r="H30" s="1575">
        <v>0</v>
      </c>
      <c r="I30" s="414">
        <v>1</v>
      </c>
      <c r="J30" s="1576">
        <f t="shared" si="3"/>
        <v>4.2857142857142856</v>
      </c>
      <c r="K30" s="1577">
        <f t="shared" si="4"/>
        <v>17500</v>
      </c>
      <c r="L30" s="1577">
        <f t="shared" si="5"/>
        <v>75000</v>
      </c>
      <c r="M30" s="1578">
        <v>1</v>
      </c>
      <c r="N30" s="1578"/>
      <c r="O30" s="1578"/>
      <c r="P30" s="1578"/>
      <c r="Q30" s="1578"/>
      <c r="R30" s="1578"/>
      <c r="S30" s="1578"/>
      <c r="T30" s="1578"/>
      <c r="U30" s="1516"/>
    </row>
    <row r="31" spans="1:23" s="418" customFormat="1" hidden="1" outlineLevel="1">
      <c r="A31" s="893"/>
      <c r="B31" s="424" t="s">
        <v>2017</v>
      </c>
      <c r="C31" s="424" t="s">
        <v>2018</v>
      </c>
      <c r="D31" s="504" t="s">
        <v>2019</v>
      </c>
      <c r="E31" s="1572" t="s">
        <v>97</v>
      </c>
      <c r="F31" s="1573">
        <v>2700</v>
      </c>
      <c r="G31" s="1574">
        <f>75000/F9</f>
        <v>4.2857142857142856</v>
      </c>
      <c r="H31" s="1575">
        <v>0</v>
      </c>
      <c r="I31" s="414">
        <v>1</v>
      </c>
      <c r="J31" s="1576">
        <f t="shared" si="3"/>
        <v>4.2857142857142856</v>
      </c>
      <c r="K31" s="1577">
        <f t="shared" si="4"/>
        <v>17500</v>
      </c>
      <c r="L31" s="1577">
        <f t="shared" si="5"/>
        <v>75000</v>
      </c>
      <c r="M31" s="1578">
        <v>1</v>
      </c>
      <c r="N31" s="1578"/>
      <c r="O31" s="1578"/>
      <c r="P31" s="1578"/>
      <c r="Q31" s="1578"/>
      <c r="R31" s="1578"/>
      <c r="S31" s="1578"/>
      <c r="T31" s="1578"/>
      <c r="U31" s="1516"/>
    </row>
    <row r="32" spans="1:23" s="418" customFormat="1" hidden="1" outlineLevel="1">
      <c r="A32" s="893"/>
      <c r="B32" s="1579" t="s">
        <v>2020</v>
      </c>
      <c r="C32" s="1579" t="s">
        <v>2021</v>
      </c>
      <c r="D32" s="843" t="s">
        <v>2022</v>
      </c>
      <c r="E32" s="1580" t="s">
        <v>97</v>
      </c>
      <c r="F32" s="1581">
        <v>2700</v>
      </c>
      <c r="G32" s="1582">
        <f>75000/F9</f>
        <v>4.2857142857142856</v>
      </c>
      <c r="H32" s="1583">
        <v>0</v>
      </c>
      <c r="I32" s="429">
        <v>1</v>
      </c>
      <c r="J32" s="1584">
        <f t="shared" si="3"/>
        <v>4.2857142857142856</v>
      </c>
      <c r="K32" s="1585">
        <f t="shared" si="4"/>
        <v>17500</v>
      </c>
      <c r="L32" s="1585">
        <f t="shared" si="5"/>
        <v>75000</v>
      </c>
      <c r="M32" s="1586">
        <v>1</v>
      </c>
      <c r="N32" s="1586"/>
      <c r="O32" s="1586"/>
      <c r="P32" s="1586"/>
      <c r="Q32" s="1586"/>
      <c r="R32" s="1586"/>
      <c r="S32" s="1586"/>
      <c r="T32" s="1586"/>
      <c r="U32" s="1516"/>
    </row>
    <row r="33" spans="1:28" s="418" customFormat="1" hidden="1" outlineLevel="1">
      <c r="A33" s="893"/>
      <c r="B33" s="424" t="s">
        <v>2023</v>
      </c>
      <c r="C33" s="424" t="s">
        <v>2024</v>
      </c>
      <c r="D33" s="504" t="s">
        <v>2025</v>
      </c>
      <c r="E33" s="1572" t="s">
        <v>97</v>
      </c>
      <c r="F33" s="1573">
        <v>8650</v>
      </c>
      <c r="G33" s="1574">
        <v>4.3874468216289539</v>
      </c>
      <c r="H33" s="1575">
        <v>0</v>
      </c>
      <c r="I33" s="414">
        <v>1</v>
      </c>
      <c r="J33" s="1576">
        <f t="shared" si="3"/>
        <v>4.3874468216289539</v>
      </c>
      <c r="K33" s="1577">
        <f t="shared" si="4"/>
        <v>17500</v>
      </c>
      <c r="L33" s="1577">
        <f t="shared" si="5"/>
        <v>76780.319378506698</v>
      </c>
      <c r="M33" s="1578">
        <v>1</v>
      </c>
      <c r="N33" s="1578"/>
      <c r="O33" s="1578"/>
      <c r="P33" s="1578"/>
      <c r="Q33" s="1578"/>
      <c r="R33" s="1578"/>
      <c r="S33" s="1578"/>
      <c r="T33" s="1578"/>
      <c r="U33" s="1516"/>
    </row>
    <row r="34" spans="1:28" s="418" customFormat="1" hidden="1" outlineLevel="1">
      <c r="A34" s="893"/>
      <c r="B34" s="424" t="s">
        <v>2026</v>
      </c>
      <c r="C34" s="424" t="s">
        <v>2027</v>
      </c>
      <c r="D34" s="504" t="s">
        <v>2028</v>
      </c>
      <c r="E34" s="1572" t="s">
        <v>97</v>
      </c>
      <c r="F34" s="1573">
        <v>8650</v>
      </c>
      <c r="G34" s="1574">
        <v>4.3874468216289539</v>
      </c>
      <c r="H34" s="1575">
        <v>0</v>
      </c>
      <c r="I34" s="414">
        <v>1</v>
      </c>
      <c r="J34" s="1576">
        <f t="shared" si="3"/>
        <v>4.3874468216289539</v>
      </c>
      <c r="K34" s="1577">
        <f t="shared" si="4"/>
        <v>17500</v>
      </c>
      <c r="L34" s="1577">
        <f t="shared" si="5"/>
        <v>76780.319378506698</v>
      </c>
      <c r="M34" s="1578">
        <v>1</v>
      </c>
      <c r="N34" s="1578"/>
      <c r="O34" s="1578"/>
      <c r="P34" s="1578"/>
      <c r="Q34" s="1578"/>
      <c r="R34" s="1578"/>
      <c r="S34" s="1578"/>
      <c r="T34" s="1578"/>
      <c r="U34" s="1516"/>
    </row>
    <row r="35" spans="1:28" s="418" customFormat="1" hidden="1" outlineLevel="1">
      <c r="A35" s="893"/>
      <c r="B35" s="1579" t="s">
        <v>2029</v>
      </c>
      <c r="C35" s="1579" t="s">
        <v>2030</v>
      </c>
      <c r="D35" s="843" t="s">
        <v>2031</v>
      </c>
      <c r="E35" s="1580" t="s">
        <v>97</v>
      </c>
      <c r="F35" s="1581">
        <v>8650</v>
      </c>
      <c r="G35" s="1582">
        <v>4.3874468216289539</v>
      </c>
      <c r="H35" s="1583">
        <v>0</v>
      </c>
      <c r="I35" s="429">
        <v>1</v>
      </c>
      <c r="J35" s="1584">
        <f t="shared" si="3"/>
        <v>4.3874468216289539</v>
      </c>
      <c r="K35" s="1585">
        <f t="shared" si="4"/>
        <v>17500</v>
      </c>
      <c r="L35" s="1585">
        <f t="shared" si="5"/>
        <v>76780.319378506698</v>
      </c>
      <c r="M35" s="1586">
        <v>1</v>
      </c>
      <c r="N35" s="1586"/>
      <c r="O35" s="1586"/>
      <c r="P35" s="1586"/>
      <c r="Q35" s="1586"/>
      <c r="R35" s="1586"/>
      <c r="S35" s="1586"/>
      <c r="T35" s="1586"/>
      <c r="U35" s="1516"/>
    </row>
    <row r="36" spans="1:28" s="1506" customFormat="1" ht="16.5" collapsed="1">
      <c r="A36" s="1495"/>
      <c r="B36" s="2249" t="s">
        <v>2032</v>
      </c>
      <c r="C36" s="2250"/>
      <c r="D36" s="1559"/>
      <c r="E36" s="1497" t="s">
        <v>1085</v>
      </c>
      <c r="F36" s="1536" t="s">
        <v>1975</v>
      </c>
      <c r="G36" s="1500" t="s">
        <v>1079</v>
      </c>
      <c r="H36" s="1536" t="s">
        <v>1976</v>
      </c>
      <c r="I36" s="1587" t="s">
        <v>33</v>
      </c>
      <c r="J36" s="1561" t="s">
        <v>1977</v>
      </c>
      <c r="K36" s="1501" t="s">
        <v>1978</v>
      </c>
      <c r="L36" s="1501" t="s">
        <v>1979</v>
      </c>
      <c r="M36" s="1534" t="s">
        <v>1980</v>
      </c>
      <c r="N36" s="1534"/>
      <c r="O36" s="1534"/>
      <c r="P36" s="1534"/>
      <c r="Q36" s="1534"/>
      <c r="R36" s="1534"/>
      <c r="S36" s="1534"/>
      <c r="T36" s="1534"/>
      <c r="U36" s="1562"/>
      <c r="V36" s="824"/>
      <c r="W36" s="1588"/>
      <c r="X36" s="1589"/>
      <c r="AA36" s="1590"/>
      <c r="AB36" s="1590"/>
    </row>
    <row r="37" spans="1:28" s="418" customFormat="1" hidden="1" outlineLevel="1">
      <c r="A37" s="893"/>
      <c r="B37" s="1564" t="s">
        <v>2033</v>
      </c>
      <c r="C37" s="1564" t="s">
        <v>2034</v>
      </c>
      <c r="D37" s="1564" t="s">
        <v>2035</v>
      </c>
      <c r="E37" s="1542" t="s">
        <v>97</v>
      </c>
      <c r="F37" s="1827">
        <v>2700</v>
      </c>
      <c r="G37" s="1567">
        <f>108000/F9</f>
        <v>6.1714285714285717</v>
      </c>
      <c r="H37" s="1568">
        <v>1</v>
      </c>
      <c r="I37" s="1591">
        <v>1</v>
      </c>
      <c r="J37" s="1592">
        <f t="shared" ref="J37:J51" si="6">(G37*H37)*I37</f>
        <v>6.1714285714285717</v>
      </c>
      <c r="K37" s="1570">
        <f t="shared" ref="K37:K51" si="7">F$9</f>
        <v>17500</v>
      </c>
      <c r="L37" s="1570">
        <f t="shared" si="5"/>
        <v>108000</v>
      </c>
      <c r="M37" s="1571">
        <v>1</v>
      </c>
      <c r="N37" s="1571"/>
      <c r="O37" s="1571"/>
      <c r="P37" s="1571"/>
      <c r="Q37" s="1571"/>
      <c r="R37" s="1571"/>
      <c r="S37" s="1571"/>
      <c r="T37" s="1571"/>
      <c r="U37" s="1516"/>
    </row>
    <row r="38" spans="1:28" s="418" customFormat="1" hidden="1" outlineLevel="1">
      <c r="A38" s="893"/>
      <c r="B38" s="424" t="s">
        <v>2036</v>
      </c>
      <c r="C38" s="424" t="s">
        <v>2037</v>
      </c>
      <c r="D38" s="424" t="s">
        <v>2038</v>
      </c>
      <c r="E38" s="1572" t="s">
        <v>97</v>
      </c>
      <c r="F38" s="1828">
        <v>2700</v>
      </c>
      <c r="G38" s="1574">
        <f>G37</f>
        <v>6.1714285714285717</v>
      </c>
      <c r="H38" s="1575">
        <v>1</v>
      </c>
      <c r="I38" s="1593">
        <v>1</v>
      </c>
      <c r="J38" s="1594">
        <f t="shared" si="6"/>
        <v>6.1714285714285717</v>
      </c>
      <c r="K38" s="1577">
        <f t="shared" si="7"/>
        <v>17500</v>
      </c>
      <c r="L38" s="1577">
        <f t="shared" si="5"/>
        <v>108000</v>
      </c>
      <c r="M38" s="1578">
        <v>1</v>
      </c>
      <c r="N38" s="1578"/>
      <c r="O38" s="1578"/>
      <c r="P38" s="1578"/>
      <c r="Q38" s="1578"/>
      <c r="R38" s="1578"/>
      <c r="S38" s="1578"/>
      <c r="T38" s="1578"/>
      <c r="U38" s="1516"/>
    </row>
    <row r="39" spans="1:28" s="418" customFormat="1" hidden="1" outlineLevel="1">
      <c r="A39" s="893"/>
      <c r="B39" s="1579" t="s">
        <v>2039</v>
      </c>
      <c r="C39" s="1579" t="s">
        <v>2040</v>
      </c>
      <c r="D39" s="1579" t="s">
        <v>2041</v>
      </c>
      <c r="E39" s="1580" t="s">
        <v>97</v>
      </c>
      <c r="F39" s="1829">
        <v>2700</v>
      </c>
      <c r="G39" s="1582">
        <f>G37</f>
        <v>6.1714285714285717</v>
      </c>
      <c r="H39" s="1583">
        <v>1</v>
      </c>
      <c r="I39" s="1595">
        <v>1</v>
      </c>
      <c r="J39" s="1584">
        <f t="shared" si="6"/>
        <v>6.1714285714285717</v>
      </c>
      <c r="K39" s="1585">
        <f t="shared" si="7"/>
        <v>17500</v>
      </c>
      <c r="L39" s="1585">
        <f t="shared" si="5"/>
        <v>108000</v>
      </c>
      <c r="M39" s="1586">
        <v>1</v>
      </c>
      <c r="N39" s="1586"/>
      <c r="O39" s="1586"/>
      <c r="P39" s="1586"/>
      <c r="Q39" s="1586"/>
      <c r="R39" s="1586"/>
      <c r="S39" s="1586"/>
      <c r="T39" s="1586"/>
      <c r="U39" s="1516"/>
    </row>
    <row r="40" spans="1:28" s="418" customFormat="1" hidden="1" outlineLevel="1">
      <c r="A40" s="893"/>
      <c r="B40" s="424" t="s">
        <v>2042</v>
      </c>
      <c r="C40" s="424" t="s">
        <v>2043</v>
      </c>
      <c r="D40" s="424" t="s">
        <v>2044</v>
      </c>
      <c r="E40" s="1572" t="s">
        <v>97</v>
      </c>
      <c r="F40" s="1573">
        <v>2700</v>
      </c>
      <c r="G40" s="1567">
        <f>G37</f>
        <v>6.1714285714285717</v>
      </c>
      <c r="H40" s="1568">
        <v>1</v>
      </c>
      <c r="I40" s="1591">
        <v>1</v>
      </c>
      <c r="J40" s="1594">
        <f t="shared" si="6"/>
        <v>6.1714285714285717</v>
      </c>
      <c r="K40" s="1570">
        <f t="shared" si="7"/>
        <v>17500</v>
      </c>
      <c r="L40" s="1570">
        <f t="shared" si="5"/>
        <v>108000</v>
      </c>
      <c r="M40" s="1571">
        <v>1</v>
      </c>
      <c r="N40" s="1571"/>
      <c r="O40" s="1571"/>
      <c r="P40" s="1571"/>
      <c r="Q40" s="1571"/>
      <c r="R40" s="1571"/>
      <c r="S40" s="1571"/>
      <c r="T40" s="1571"/>
      <c r="U40" s="1516"/>
    </row>
    <row r="41" spans="1:28" s="418" customFormat="1" hidden="1" outlineLevel="1">
      <c r="A41" s="893"/>
      <c r="B41" s="424" t="s">
        <v>2045</v>
      </c>
      <c r="C41" s="424" t="s">
        <v>2046</v>
      </c>
      <c r="D41" s="424" t="s">
        <v>2047</v>
      </c>
      <c r="E41" s="1572" t="s">
        <v>97</v>
      </c>
      <c r="F41" s="1573">
        <v>2700</v>
      </c>
      <c r="G41" s="1574">
        <f>G37</f>
        <v>6.1714285714285717</v>
      </c>
      <c r="H41" s="1575">
        <v>1</v>
      </c>
      <c r="I41" s="1593">
        <v>1</v>
      </c>
      <c r="J41" s="1594">
        <f t="shared" si="6"/>
        <v>6.1714285714285717</v>
      </c>
      <c r="K41" s="1577">
        <f t="shared" si="7"/>
        <v>17500</v>
      </c>
      <c r="L41" s="1577">
        <f t="shared" si="5"/>
        <v>108000</v>
      </c>
      <c r="M41" s="1578">
        <v>1</v>
      </c>
      <c r="N41" s="1578"/>
      <c r="O41" s="1578"/>
      <c r="P41" s="1578"/>
      <c r="Q41" s="1578"/>
      <c r="R41" s="1578"/>
      <c r="S41" s="1578"/>
      <c r="T41" s="1578"/>
      <c r="U41" s="1516"/>
    </row>
    <row r="42" spans="1:28" s="418" customFormat="1" hidden="1" outlineLevel="1">
      <c r="A42" s="893"/>
      <c r="B42" s="1579" t="s">
        <v>2048</v>
      </c>
      <c r="C42" s="1579" t="s">
        <v>2049</v>
      </c>
      <c r="D42" s="1579" t="s">
        <v>2050</v>
      </c>
      <c r="E42" s="1580" t="s">
        <v>97</v>
      </c>
      <c r="F42" s="1581">
        <v>2700</v>
      </c>
      <c r="G42" s="1582">
        <f>G37</f>
        <v>6.1714285714285717</v>
      </c>
      <c r="H42" s="1583">
        <v>1</v>
      </c>
      <c r="I42" s="1595">
        <v>1</v>
      </c>
      <c r="J42" s="1584">
        <f t="shared" si="6"/>
        <v>6.1714285714285717</v>
      </c>
      <c r="K42" s="1585">
        <f t="shared" si="7"/>
        <v>17500</v>
      </c>
      <c r="L42" s="1585">
        <f t="shared" si="5"/>
        <v>108000</v>
      </c>
      <c r="M42" s="1586">
        <v>1</v>
      </c>
      <c r="N42" s="1586"/>
      <c r="O42" s="1586"/>
      <c r="P42" s="1586"/>
      <c r="Q42" s="1586"/>
      <c r="R42" s="1586"/>
      <c r="S42" s="1586"/>
      <c r="T42" s="1586"/>
      <c r="U42" s="1516"/>
    </row>
    <row r="43" spans="1:28" s="418" customFormat="1" hidden="1" outlineLevel="1">
      <c r="A43" s="893"/>
      <c r="B43" s="1564" t="s">
        <v>2051</v>
      </c>
      <c r="C43" s="1564" t="s">
        <v>2052</v>
      </c>
      <c r="D43" s="1564" t="s">
        <v>2053</v>
      </c>
      <c r="E43" s="1572" t="s">
        <v>97</v>
      </c>
      <c r="F43" s="1573">
        <v>2700</v>
      </c>
      <c r="G43" s="1567">
        <f>110000/F9</f>
        <v>6.2857142857142856</v>
      </c>
      <c r="H43" s="1568">
        <v>1</v>
      </c>
      <c r="I43" s="1591">
        <v>1</v>
      </c>
      <c r="J43" s="1594">
        <f t="shared" si="6"/>
        <v>6.2857142857142856</v>
      </c>
      <c r="K43" s="1570">
        <f t="shared" si="7"/>
        <v>17500</v>
      </c>
      <c r="L43" s="1570">
        <f t="shared" si="5"/>
        <v>110000</v>
      </c>
      <c r="M43" s="1571">
        <v>1</v>
      </c>
      <c r="N43" s="1571"/>
      <c r="O43" s="1571"/>
      <c r="P43" s="1571"/>
      <c r="Q43" s="1571"/>
      <c r="R43" s="1571"/>
      <c r="S43" s="1571"/>
      <c r="T43" s="1571"/>
      <c r="U43" s="1516"/>
    </row>
    <row r="44" spans="1:28" s="418" customFormat="1" hidden="1" outlineLevel="1">
      <c r="A44" s="893"/>
      <c r="B44" s="424" t="s">
        <v>2054</v>
      </c>
      <c r="C44" s="424" t="s">
        <v>2055</v>
      </c>
      <c r="D44" s="424" t="s">
        <v>2056</v>
      </c>
      <c r="E44" s="1572" t="s">
        <v>97</v>
      </c>
      <c r="F44" s="1573">
        <v>2700</v>
      </c>
      <c r="G44" s="1574">
        <f>G43</f>
        <v>6.2857142857142856</v>
      </c>
      <c r="H44" s="1575">
        <v>1</v>
      </c>
      <c r="I44" s="1593">
        <v>1</v>
      </c>
      <c r="J44" s="1594">
        <f t="shared" si="6"/>
        <v>6.2857142857142856</v>
      </c>
      <c r="K44" s="1577">
        <f t="shared" si="7"/>
        <v>17500</v>
      </c>
      <c r="L44" s="1577">
        <f t="shared" si="5"/>
        <v>110000</v>
      </c>
      <c r="M44" s="1578">
        <v>1</v>
      </c>
      <c r="N44" s="1578"/>
      <c r="O44" s="1578"/>
      <c r="P44" s="1578"/>
      <c r="Q44" s="1578"/>
      <c r="R44" s="1578"/>
      <c r="S44" s="1578"/>
      <c r="T44" s="1578"/>
      <c r="U44" s="1516"/>
    </row>
    <row r="45" spans="1:28" s="418" customFormat="1" hidden="1" outlineLevel="1">
      <c r="A45" s="893"/>
      <c r="B45" s="1579" t="s">
        <v>2057</v>
      </c>
      <c r="C45" s="1579" t="s">
        <v>2058</v>
      </c>
      <c r="D45" s="1579" t="s">
        <v>2059</v>
      </c>
      <c r="E45" s="1580" t="s">
        <v>97</v>
      </c>
      <c r="F45" s="1581">
        <v>2700</v>
      </c>
      <c r="G45" s="1582">
        <f>G43</f>
        <v>6.2857142857142856</v>
      </c>
      <c r="H45" s="1583">
        <v>1</v>
      </c>
      <c r="I45" s="1595">
        <v>1</v>
      </c>
      <c r="J45" s="1584">
        <f t="shared" si="6"/>
        <v>6.2857142857142856</v>
      </c>
      <c r="K45" s="1585">
        <f t="shared" si="7"/>
        <v>17500</v>
      </c>
      <c r="L45" s="1585">
        <f t="shared" si="5"/>
        <v>110000</v>
      </c>
      <c r="M45" s="1586">
        <v>1</v>
      </c>
      <c r="N45" s="1586"/>
      <c r="O45" s="1586"/>
      <c r="P45" s="1586"/>
      <c r="Q45" s="1586"/>
      <c r="R45" s="1586"/>
      <c r="S45" s="1586"/>
      <c r="T45" s="1586"/>
      <c r="U45" s="1516"/>
    </row>
    <row r="46" spans="1:28" s="418" customFormat="1" hidden="1" outlineLevel="1">
      <c r="A46" s="893"/>
      <c r="B46" s="1564" t="s">
        <v>2060</v>
      </c>
      <c r="C46" s="1564" t="s">
        <v>2061</v>
      </c>
      <c r="D46" s="1564" t="s">
        <v>2062</v>
      </c>
      <c r="E46" s="1572" t="s">
        <v>97</v>
      </c>
      <c r="F46" s="1573">
        <v>2700</v>
      </c>
      <c r="G46" s="1567">
        <f>111000/F9</f>
        <v>6.3428571428571425</v>
      </c>
      <c r="H46" s="1568">
        <v>1</v>
      </c>
      <c r="I46" s="1591">
        <v>1</v>
      </c>
      <c r="J46" s="1594">
        <f t="shared" si="6"/>
        <v>6.3428571428571425</v>
      </c>
      <c r="K46" s="1570">
        <f t="shared" si="7"/>
        <v>17500</v>
      </c>
      <c r="L46" s="1570">
        <f t="shared" si="5"/>
        <v>111000</v>
      </c>
      <c r="M46" s="1571">
        <v>1</v>
      </c>
      <c r="N46" s="1571"/>
      <c r="O46" s="1571"/>
      <c r="P46" s="1571"/>
      <c r="Q46" s="1571"/>
      <c r="R46" s="1571"/>
      <c r="S46" s="1571"/>
      <c r="T46" s="1571"/>
      <c r="U46" s="1516"/>
    </row>
    <row r="47" spans="1:28" s="418" customFormat="1" hidden="1" outlineLevel="1">
      <c r="A47" s="893"/>
      <c r="B47" s="424" t="s">
        <v>2063</v>
      </c>
      <c r="C47" s="424" t="s">
        <v>2064</v>
      </c>
      <c r="D47" s="424" t="s">
        <v>2065</v>
      </c>
      <c r="E47" s="1572" t="s">
        <v>97</v>
      </c>
      <c r="F47" s="1573">
        <v>2700</v>
      </c>
      <c r="G47" s="1574">
        <f>G46</f>
        <v>6.3428571428571425</v>
      </c>
      <c r="H47" s="1575">
        <v>1</v>
      </c>
      <c r="I47" s="1593">
        <v>1</v>
      </c>
      <c r="J47" s="1594">
        <f t="shared" si="6"/>
        <v>6.3428571428571425</v>
      </c>
      <c r="K47" s="1577">
        <f t="shared" si="7"/>
        <v>17500</v>
      </c>
      <c r="L47" s="1577">
        <f t="shared" si="5"/>
        <v>111000</v>
      </c>
      <c r="M47" s="1578">
        <v>1</v>
      </c>
      <c r="N47" s="1578"/>
      <c r="O47" s="1578"/>
      <c r="P47" s="1578"/>
      <c r="Q47" s="1578"/>
      <c r="R47" s="1578"/>
      <c r="S47" s="1578"/>
      <c r="T47" s="1578"/>
      <c r="U47" s="1516"/>
    </row>
    <row r="48" spans="1:28" s="418" customFormat="1" hidden="1" outlineLevel="1">
      <c r="A48" s="893"/>
      <c r="B48" s="1579" t="s">
        <v>2066</v>
      </c>
      <c r="C48" s="1579" t="s">
        <v>2067</v>
      </c>
      <c r="D48" s="1579" t="s">
        <v>2068</v>
      </c>
      <c r="E48" s="1580" t="s">
        <v>97</v>
      </c>
      <c r="F48" s="1581">
        <v>2700</v>
      </c>
      <c r="G48" s="1582">
        <f>G46</f>
        <v>6.3428571428571425</v>
      </c>
      <c r="H48" s="1583">
        <v>1</v>
      </c>
      <c r="I48" s="1595">
        <v>1</v>
      </c>
      <c r="J48" s="1584">
        <f t="shared" si="6"/>
        <v>6.3428571428571425</v>
      </c>
      <c r="K48" s="1585">
        <f t="shared" si="7"/>
        <v>17500</v>
      </c>
      <c r="L48" s="1585">
        <f t="shared" si="5"/>
        <v>111000</v>
      </c>
      <c r="M48" s="1586">
        <v>1</v>
      </c>
      <c r="N48" s="1586"/>
      <c r="O48" s="1586"/>
      <c r="P48" s="1586"/>
      <c r="Q48" s="1586"/>
      <c r="R48" s="1586"/>
      <c r="S48" s="1586"/>
      <c r="T48" s="1586"/>
      <c r="U48" s="1516"/>
    </row>
    <row r="49" spans="1:28" s="418" customFormat="1" hidden="1" outlineLevel="1">
      <c r="A49" s="893"/>
      <c r="B49" s="1564" t="s">
        <v>2069</v>
      </c>
      <c r="C49" s="1564" t="s">
        <v>2070</v>
      </c>
      <c r="D49" s="1564" t="s">
        <v>2071</v>
      </c>
      <c r="E49" s="1572" t="s">
        <v>97</v>
      </c>
      <c r="F49" s="1573">
        <v>8900</v>
      </c>
      <c r="G49" s="1567">
        <f>321000/F9</f>
        <v>18.342857142857142</v>
      </c>
      <c r="H49" s="1568">
        <v>1</v>
      </c>
      <c r="I49" s="1591">
        <v>1</v>
      </c>
      <c r="J49" s="1594">
        <f t="shared" si="6"/>
        <v>18.342857142857142</v>
      </c>
      <c r="K49" s="1570">
        <f t="shared" si="7"/>
        <v>17500</v>
      </c>
      <c r="L49" s="1570">
        <f t="shared" si="5"/>
        <v>321000</v>
      </c>
      <c r="M49" s="1571">
        <v>1</v>
      </c>
      <c r="N49" s="1571"/>
      <c r="O49" s="1571"/>
      <c r="P49" s="1571"/>
      <c r="Q49" s="1571"/>
      <c r="R49" s="1571"/>
      <c r="S49" s="1571"/>
      <c r="T49" s="1571"/>
      <c r="U49" s="1516"/>
    </row>
    <row r="50" spans="1:28" s="418" customFormat="1" hidden="1" outlineLevel="1">
      <c r="A50" s="893"/>
      <c r="B50" s="424" t="s">
        <v>2072</v>
      </c>
      <c r="C50" s="424" t="s">
        <v>2073</v>
      </c>
      <c r="D50" s="424" t="s">
        <v>2074</v>
      </c>
      <c r="E50" s="1572" t="s">
        <v>97</v>
      </c>
      <c r="F50" s="1573">
        <v>8900</v>
      </c>
      <c r="G50" s="1574">
        <f>G49</f>
        <v>18.342857142857142</v>
      </c>
      <c r="H50" s="1575">
        <v>1</v>
      </c>
      <c r="I50" s="1593">
        <v>1</v>
      </c>
      <c r="J50" s="1594">
        <f t="shared" si="6"/>
        <v>18.342857142857142</v>
      </c>
      <c r="K50" s="1577">
        <f t="shared" si="7"/>
        <v>17500</v>
      </c>
      <c r="L50" s="1577">
        <f t="shared" si="5"/>
        <v>321000</v>
      </c>
      <c r="M50" s="1578">
        <v>1</v>
      </c>
      <c r="N50" s="1578"/>
      <c r="O50" s="1578"/>
      <c r="P50" s="1578"/>
      <c r="Q50" s="1578"/>
      <c r="R50" s="1578"/>
      <c r="S50" s="1578"/>
      <c r="T50" s="1578"/>
      <c r="U50" s="1516"/>
    </row>
    <row r="51" spans="1:28" s="418" customFormat="1" hidden="1" outlineLevel="1">
      <c r="A51" s="893"/>
      <c r="B51" s="1579" t="s">
        <v>2075</v>
      </c>
      <c r="C51" s="1579" t="s">
        <v>2076</v>
      </c>
      <c r="D51" s="1579" t="s">
        <v>2077</v>
      </c>
      <c r="E51" s="1580" t="s">
        <v>97</v>
      </c>
      <c r="F51" s="1581">
        <v>8900</v>
      </c>
      <c r="G51" s="1582">
        <f>G49</f>
        <v>18.342857142857142</v>
      </c>
      <c r="H51" s="1583">
        <v>1</v>
      </c>
      <c r="I51" s="1595">
        <v>1</v>
      </c>
      <c r="J51" s="1594">
        <f t="shared" si="6"/>
        <v>18.342857142857142</v>
      </c>
      <c r="K51" s="1585">
        <f t="shared" si="7"/>
        <v>17500</v>
      </c>
      <c r="L51" s="1585">
        <f t="shared" si="5"/>
        <v>321000</v>
      </c>
      <c r="M51" s="1586">
        <v>1</v>
      </c>
      <c r="N51" s="1586"/>
      <c r="O51" s="1586"/>
      <c r="P51" s="1586"/>
      <c r="Q51" s="1586"/>
      <c r="R51" s="1586"/>
      <c r="S51" s="1586"/>
      <c r="T51" s="1586"/>
      <c r="U51" s="1516"/>
    </row>
    <row r="52" spans="1:28" s="1506" customFormat="1" ht="16.5" collapsed="1">
      <c r="A52" s="1495"/>
      <c r="B52" s="2249" t="s">
        <v>2078</v>
      </c>
      <c r="C52" s="2250"/>
      <c r="D52" s="1559"/>
      <c r="E52" s="1497" t="s">
        <v>1085</v>
      </c>
      <c r="F52" s="1498" t="s">
        <v>1975</v>
      </c>
      <c r="G52" s="1497" t="s">
        <v>1079</v>
      </c>
      <c r="H52" s="1536" t="s">
        <v>1976</v>
      </c>
      <c r="I52" s="1587" t="s">
        <v>33</v>
      </c>
      <c r="J52" s="1561" t="s">
        <v>1977</v>
      </c>
      <c r="K52" s="1501" t="s">
        <v>1978</v>
      </c>
      <c r="L52" s="1501" t="s">
        <v>1979</v>
      </c>
      <c r="M52" s="1534" t="s">
        <v>1980</v>
      </c>
      <c r="N52" s="1534"/>
      <c r="O52" s="1534"/>
      <c r="P52" s="1534"/>
      <c r="Q52" s="1534"/>
      <c r="R52" s="1534"/>
      <c r="S52" s="1534"/>
      <c r="T52" s="1534"/>
      <c r="U52" s="1562"/>
      <c r="V52" s="824"/>
      <c r="W52" s="1588"/>
      <c r="X52" s="1589"/>
      <c r="AA52" s="1590"/>
      <c r="AB52" s="1590"/>
    </row>
    <row r="53" spans="1:28" s="418" customFormat="1" hidden="1" outlineLevel="1">
      <c r="A53" s="893"/>
      <c r="B53" s="1564" t="s">
        <v>2079</v>
      </c>
      <c r="C53" s="1564" t="s">
        <v>2080</v>
      </c>
      <c r="D53" s="1564" t="s">
        <v>2081</v>
      </c>
      <c r="E53" s="1542" t="s">
        <v>97</v>
      </c>
      <c r="F53" s="1566">
        <v>8900</v>
      </c>
      <c r="G53" s="1567">
        <f>325000/F9</f>
        <v>18.571428571428573</v>
      </c>
      <c r="H53" s="1568">
        <v>1</v>
      </c>
      <c r="I53" s="1513">
        <v>1</v>
      </c>
      <c r="J53" s="1569">
        <f>(G53*H53)*I53</f>
        <v>18.571428571428573</v>
      </c>
      <c r="K53" s="1577">
        <f t="shared" ref="K53:K56" si="8">F$9</f>
        <v>17500</v>
      </c>
      <c r="L53" s="1577">
        <f t="shared" ref="L53:L56" si="9">J53*K53</f>
        <v>325000</v>
      </c>
      <c r="M53" s="1571">
        <v>1</v>
      </c>
      <c r="N53" s="1571"/>
      <c r="O53" s="1571"/>
      <c r="P53" s="1571"/>
      <c r="Q53" s="1571"/>
      <c r="R53" s="1571"/>
      <c r="S53" s="1571"/>
      <c r="T53" s="1571"/>
      <c r="U53" s="1516"/>
    </row>
    <row r="54" spans="1:28" s="418" customFormat="1" hidden="1" outlineLevel="1">
      <c r="A54" s="893"/>
      <c r="B54" s="424" t="s">
        <v>2082</v>
      </c>
      <c r="C54" s="424" t="s">
        <v>2083</v>
      </c>
      <c r="D54" s="424" t="s">
        <v>2084</v>
      </c>
      <c r="E54" s="1572" t="s">
        <v>97</v>
      </c>
      <c r="F54" s="1573">
        <v>8900</v>
      </c>
      <c r="G54" s="1574">
        <f>G53</f>
        <v>18.571428571428573</v>
      </c>
      <c r="H54" s="1575">
        <v>1</v>
      </c>
      <c r="I54" s="1521">
        <v>1</v>
      </c>
      <c r="J54" s="1594">
        <f t="shared" ref="J54:J56" si="10">(G54*H54)*I54</f>
        <v>18.571428571428573</v>
      </c>
      <c r="K54" s="1577">
        <f t="shared" si="8"/>
        <v>17500</v>
      </c>
      <c r="L54" s="1577">
        <f t="shared" si="9"/>
        <v>325000</v>
      </c>
      <c r="M54" s="1578">
        <v>1</v>
      </c>
      <c r="N54" s="1578"/>
      <c r="O54" s="1578"/>
      <c r="P54" s="1578"/>
      <c r="Q54" s="1578"/>
      <c r="R54" s="1578"/>
      <c r="S54" s="1578"/>
      <c r="T54" s="1578"/>
      <c r="U54" s="1516"/>
    </row>
    <row r="55" spans="1:28" s="418" customFormat="1" hidden="1" outlineLevel="1">
      <c r="A55" s="893"/>
      <c r="B55" s="424" t="s">
        <v>2085</v>
      </c>
      <c r="C55" s="424" t="s">
        <v>2086</v>
      </c>
      <c r="D55" s="424" t="s">
        <v>2087</v>
      </c>
      <c r="E55" s="1572" t="s">
        <v>97</v>
      </c>
      <c r="F55" s="1573">
        <v>8900</v>
      </c>
      <c r="G55" s="1574">
        <f>G53</f>
        <v>18.571428571428573</v>
      </c>
      <c r="H55" s="1575">
        <v>1</v>
      </c>
      <c r="I55" s="1521">
        <v>1</v>
      </c>
      <c r="J55" s="1594">
        <f t="shared" si="10"/>
        <v>18.571428571428573</v>
      </c>
      <c r="K55" s="1577">
        <f t="shared" si="8"/>
        <v>17500</v>
      </c>
      <c r="L55" s="1577">
        <f t="shared" si="9"/>
        <v>325000</v>
      </c>
      <c r="M55" s="1578">
        <v>1</v>
      </c>
      <c r="N55" s="1578"/>
      <c r="O55" s="1578"/>
      <c r="P55" s="1578"/>
      <c r="Q55" s="1578"/>
      <c r="R55" s="1578"/>
      <c r="S55" s="1578"/>
      <c r="T55" s="1578"/>
      <c r="U55" s="1516"/>
    </row>
    <row r="56" spans="1:28" s="418" customFormat="1" hidden="1" outlineLevel="1">
      <c r="A56" s="893"/>
      <c r="B56" s="1579" t="s">
        <v>2088</v>
      </c>
      <c r="C56" s="1579" t="s">
        <v>2089</v>
      </c>
      <c r="D56" s="1579" t="s">
        <v>2090</v>
      </c>
      <c r="E56" s="1580" t="s">
        <v>97</v>
      </c>
      <c r="F56" s="1581">
        <v>8900</v>
      </c>
      <c r="G56" s="1582">
        <f>G53</f>
        <v>18.571428571428573</v>
      </c>
      <c r="H56" s="1583">
        <v>1</v>
      </c>
      <c r="I56" s="1530">
        <v>1</v>
      </c>
      <c r="J56" s="1594">
        <f t="shared" si="10"/>
        <v>18.571428571428573</v>
      </c>
      <c r="K56" s="1577">
        <f t="shared" si="8"/>
        <v>17500</v>
      </c>
      <c r="L56" s="1577">
        <f t="shared" si="9"/>
        <v>325000</v>
      </c>
      <c r="M56" s="1586">
        <v>1</v>
      </c>
      <c r="N56" s="1586"/>
      <c r="O56" s="1586"/>
      <c r="P56" s="1586"/>
      <c r="Q56" s="1586"/>
      <c r="R56" s="1586"/>
      <c r="S56" s="1586"/>
      <c r="T56" s="1586"/>
      <c r="U56" s="1516"/>
    </row>
    <row r="57" spans="1:28" s="1506" customFormat="1" ht="16.5" collapsed="1">
      <c r="A57" s="1495"/>
      <c r="B57" s="2249" t="s">
        <v>2091</v>
      </c>
      <c r="C57" s="2250"/>
      <c r="D57" s="1559"/>
      <c r="E57" s="1497" t="s">
        <v>1085</v>
      </c>
      <c r="F57" s="1498" t="s">
        <v>1975</v>
      </c>
      <c r="G57" s="1497" t="s">
        <v>1079</v>
      </c>
      <c r="H57" s="1536" t="s">
        <v>1976</v>
      </c>
      <c r="I57" s="1587" t="s">
        <v>33</v>
      </c>
      <c r="J57" s="1561" t="s">
        <v>1977</v>
      </c>
      <c r="K57" s="1536" t="s">
        <v>1978</v>
      </c>
      <c r="L57" s="1536" t="s">
        <v>1979</v>
      </c>
      <c r="M57" s="1534" t="s">
        <v>1980</v>
      </c>
      <c r="N57" s="1534"/>
      <c r="O57" s="1534"/>
      <c r="P57" s="1534"/>
      <c r="Q57" s="1534"/>
      <c r="R57" s="1534"/>
      <c r="S57" s="1534"/>
      <c r="T57" s="1534"/>
      <c r="U57" s="1562"/>
      <c r="V57" s="824"/>
      <c r="W57" s="1588"/>
      <c r="X57" s="1589"/>
      <c r="AA57" s="1590"/>
      <c r="AB57" s="1590"/>
    </row>
    <row r="58" spans="1:28" s="418" customFormat="1" hidden="1" outlineLevel="1">
      <c r="A58" s="893"/>
      <c r="B58" s="1564" t="s">
        <v>2092</v>
      </c>
      <c r="C58" s="1564" t="s">
        <v>2093</v>
      </c>
      <c r="D58" s="1564" t="s">
        <v>2094</v>
      </c>
      <c r="E58" s="1542" t="s">
        <v>100</v>
      </c>
      <c r="F58" s="1597">
        <v>1</v>
      </c>
      <c r="G58" s="1567">
        <v>0.28000000000000003</v>
      </c>
      <c r="H58" s="1568">
        <v>0</v>
      </c>
      <c r="I58" s="1591">
        <v>1</v>
      </c>
      <c r="J58" s="1569">
        <f t="shared" ref="J58:J60" si="11">(G58+H58)*I58</f>
        <v>0.28000000000000003</v>
      </c>
      <c r="K58" s="1570">
        <f t="shared" ref="K58:K87" si="12">F$9</f>
        <v>17500</v>
      </c>
      <c r="L58" s="1570">
        <f t="shared" ref="L58:L60" si="13">J58*K58</f>
        <v>4900.0000000000009</v>
      </c>
      <c r="M58" s="1571">
        <v>6.4294226632653053E-3</v>
      </c>
      <c r="N58" s="1571"/>
      <c r="O58" s="1571"/>
      <c r="P58" s="1571"/>
      <c r="Q58" s="1571"/>
      <c r="R58" s="1571"/>
      <c r="S58" s="1571"/>
      <c r="T58" s="1571"/>
      <c r="U58" s="1516"/>
    </row>
    <row r="59" spans="1:28" s="418" customFormat="1" hidden="1" outlineLevel="1">
      <c r="A59" s="893"/>
      <c r="B59" s="424" t="s">
        <v>2095</v>
      </c>
      <c r="C59" s="424" t="s">
        <v>2096</v>
      </c>
      <c r="D59" s="424" t="s">
        <v>2097</v>
      </c>
      <c r="E59" s="1572" t="s">
        <v>100</v>
      </c>
      <c r="F59" s="1598">
        <v>1</v>
      </c>
      <c r="G59" s="1574">
        <v>0.8</v>
      </c>
      <c r="H59" s="1575">
        <v>0</v>
      </c>
      <c r="I59" s="1593">
        <v>1</v>
      </c>
      <c r="J59" s="1576">
        <f t="shared" si="11"/>
        <v>0.8</v>
      </c>
      <c r="K59" s="1577">
        <f t="shared" si="12"/>
        <v>17500</v>
      </c>
      <c r="L59" s="1577">
        <f t="shared" si="13"/>
        <v>14000</v>
      </c>
      <c r="M59" s="1578">
        <v>1.3891801445028584E-2</v>
      </c>
      <c r="N59" s="1578"/>
      <c r="O59" s="1578"/>
      <c r="P59" s="1578"/>
      <c r="Q59" s="1578"/>
      <c r="R59" s="1578"/>
      <c r="S59" s="1578"/>
      <c r="T59" s="1578"/>
      <c r="U59" s="1516"/>
    </row>
    <row r="60" spans="1:28" s="418" customFormat="1" hidden="1" outlineLevel="1">
      <c r="A60" s="893"/>
      <c r="B60" s="1579" t="s">
        <v>2098</v>
      </c>
      <c r="C60" s="1579" t="s">
        <v>2099</v>
      </c>
      <c r="D60" s="1579" t="s">
        <v>2100</v>
      </c>
      <c r="E60" s="1580" t="s">
        <v>100</v>
      </c>
      <c r="F60" s="1599">
        <v>1</v>
      </c>
      <c r="G60" s="1582">
        <v>1.4</v>
      </c>
      <c r="H60" s="1583">
        <v>0</v>
      </c>
      <c r="I60" s="1595">
        <v>1</v>
      </c>
      <c r="J60" s="1584">
        <f t="shared" si="11"/>
        <v>1.4</v>
      </c>
      <c r="K60" s="1585">
        <f t="shared" si="12"/>
        <v>17500</v>
      </c>
      <c r="L60" s="1585">
        <f t="shared" si="13"/>
        <v>24500</v>
      </c>
      <c r="M60" s="1586">
        <v>2.1442082726742875E-2</v>
      </c>
      <c r="N60" s="1586"/>
      <c r="O60" s="1586"/>
      <c r="P60" s="1586"/>
      <c r="Q60" s="1586"/>
      <c r="R60" s="1586"/>
      <c r="S60" s="1586"/>
      <c r="T60" s="1586"/>
      <c r="U60" s="1516"/>
    </row>
    <row r="61" spans="1:28" s="1506" customFormat="1" ht="16.5" collapsed="1">
      <c r="A61" s="1495"/>
      <c r="B61" s="2249" t="s">
        <v>2101</v>
      </c>
      <c r="C61" s="2250"/>
      <c r="D61" s="1559"/>
      <c r="E61" s="1497" t="s">
        <v>1085</v>
      </c>
      <c r="F61" s="1498" t="s">
        <v>1975</v>
      </c>
      <c r="G61" s="1497" t="s">
        <v>1079</v>
      </c>
      <c r="H61" s="1536" t="s">
        <v>1976</v>
      </c>
      <c r="I61" s="1587" t="s">
        <v>33</v>
      </c>
      <c r="J61" s="1561" t="s">
        <v>1977</v>
      </c>
      <c r="K61" s="1536" t="s">
        <v>1978</v>
      </c>
      <c r="L61" s="1536" t="s">
        <v>1979</v>
      </c>
      <c r="M61" s="1534" t="s">
        <v>1980</v>
      </c>
      <c r="N61" s="1534"/>
      <c r="O61" s="1534"/>
      <c r="P61" s="1534"/>
      <c r="Q61" s="1534"/>
      <c r="R61" s="1534"/>
      <c r="S61" s="1534"/>
      <c r="T61" s="1534"/>
      <c r="U61" s="1562"/>
      <c r="V61" s="1563"/>
      <c r="W61" s="1588"/>
      <c r="X61" s="1589"/>
      <c r="AA61" s="1590"/>
      <c r="AB61" s="1590"/>
    </row>
    <row r="62" spans="1:28" s="418" customFormat="1" hidden="1" outlineLevel="1">
      <c r="A62" s="893"/>
      <c r="B62" s="1564" t="s">
        <v>2102</v>
      </c>
      <c r="C62" s="1564" t="s">
        <v>2103</v>
      </c>
      <c r="D62" s="1564" t="s">
        <v>2104</v>
      </c>
      <c r="E62" s="1542" t="s">
        <v>97</v>
      </c>
      <c r="F62" s="1600">
        <v>2.843192307125415E-2</v>
      </c>
      <c r="G62" s="1601">
        <v>42.541155434983658</v>
      </c>
      <c r="H62" s="1568">
        <v>0</v>
      </c>
      <c r="I62" s="1591">
        <v>1.1000000000000001</v>
      </c>
      <c r="J62" s="1569">
        <f t="shared" ref="J62:J64" si="14">(G62+H62)*I62</f>
        <v>46.79527097848203</v>
      </c>
      <c r="K62" s="1570">
        <f t="shared" ref="K62:K64" si="15">F$9</f>
        <v>17500</v>
      </c>
      <c r="L62" s="1570">
        <f t="shared" ref="L62:L80" si="16">J62*K62</f>
        <v>818917.24212343548</v>
      </c>
      <c r="M62" s="1571">
        <v>1</v>
      </c>
      <c r="N62" s="1571"/>
      <c r="O62" s="1571"/>
      <c r="P62" s="1571"/>
      <c r="Q62" s="1571"/>
      <c r="R62" s="1571"/>
      <c r="S62" s="1571"/>
      <c r="T62" s="1571"/>
      <c r="U62" s="1516"/>
    </row>
    <row r="63" spans="1:28" s="418" customFormat="1" hidden="1" outlineLevel="1">
      <c r="A63" s="893"/>
      <c r="B63" s="424" t="s">
        <v>2105</v>
      </c>
      <c r="C63" s="424" t="s">
        <v>2106</v>
      </c>
      <c r="D63" s="424" t="s">
        <v>2107</v>
      </c>
      <c r="E63" s="1572" t="s">
        <v>97</v>
      </c>
      <c r="F63" s="1602">
        <v>0.11077789370208702</v>
      </c>
      <c r="G63" s="1603">
        <v>480.91842900302117</v>
      </c>
      <c r="H63" s="1575">
        <v>0</v>
      </c>
      <c r="I63" s="1593">
        <v>1.1000000000000001</v>
      </c>
      <c r="J63" s="1576">
        <f t="shared" si="14"/>
        <v>529.01027190332331</v>
      </c>
      <c r="K63" s="1577">
        <f t="shared" si="15"/>
        <v>17500</v>
      </c>
      <c r="L63" s="1577">
        <f t="shared" si="16"/>
        <v>9257679.7583081573</v>
      </c>
      <c r="M63" s="1578">
        <v>1</v>
      </c>
      <c r="N63" s="1578"/>
      <c r="O63" s="1578"/>
      <c r="P63" s="1578"/>
      <c r="Q63" s="1578"/>
      <c r="R63" s="1578"/>
      <c r="S63" s="1578"/>
      <c r="T63" s="1578"/>
      <c r="U63" s="1516"/>
    </row>
    <row r="64" spans="1:28" s="418" customFormat="1" hidden="1" outlineLevel="1">
      <c r="A64" s="893"/>
      <c r="B64" s="1579" t="s">
        <v>2108</v>
      </c>
      <c r="C64" s="1579" t="s">
        <v>2109</v>
      </c>
      <c r="D64" s="1579" t="s">
        <v>2110</v>
      </c>
      <c r="E64" s="1580" t="s">
        <v>97</v>
      </c>
      <c r="F64" s="1599">
        <v>0.05</v>
      </c>
      <c r="G64" s="1604">
        <v>1.3810962451445836</v>
      </c>
      <c r="H64" s="1583">
        <v>0</v>
      </c>
      <c r="I64" s="1595">
        <v>1.1000000000000001</v>
      </c>
      <c r="J64" s="1584">
        <f t="shared" si="14"/>
        <v>1.519205869659042</v>
      </c>
      <c r="K64" s="1585">
        <f t="shared" si="15"/>
        <v>17500</v>
      </c>
      <c r="L64" s="1585">
        <f t="shared" si="16"/>
        <v>26586.102719033235</v>
      </c>
      <c r="M64" s="1586">
        <v>1</v>
      </c>
      <c r="N64" s="1586"/>
      <c r="O64" s="1586"/>
      <c r="P64" s="1586"/>
      <c r="Q64" s="1586"/>
      <c r="R64" s="1586"/>
      <c r="S64" s="1586"/>
      <c r="T64" s="1586"/>
      <c r="U64" s="1516"/>
    </row>
    <row r="65" spans="1:28" s="1506" customFormat="1" ht="16.5" collapsed="1">
      <c r="A65" s="1495"/>
      <c r="B65" s="2249" t="s">
        <v>2111</v>
      </c>
      <c r="C65" s="2250"/>
      <c r="D65" s="1559"/>
      <c r="E65" s="1497" t="s">
        <v>1085</v>
      </c>
      <c r="F65" s="1498" t="s">
        <v>1975</v>
      </c>
      <c r="G65" s="1497" t="s">
        <v>1079</v>
      </c>
      <c r="H65" s="1536" t="s">
        <v>1976</v>
      </c>
      <c r="I65" s="1587" t="s">
        <v>33</v>
      </c>
      <c r="J65" s="1561" t="s">
        <v>1977</v>
      </c>
      <c r="K65" s="1536" t="s">
        <v>1978</v>
      </c>
      <c r="L65" s="1536" t="s">
        <v>1979</v>
      </c>
      <c r="M65" s="1534" t="s">
        <v>1980</v>
      </c>
      <c r="N65" s="1534"/>
      <c r="O65" s="1534"/>
      <c r="P65" s="1534"/>
      <c r="Q65" s="1534"/>
      <c r="R65" s="1534"/>
      <c r="S65" s="1534"/>
      <c r="T65" s="1534"/>
      <c r="U65" s="1562"/>
      <c r="V65" s="1563"/>
      <c r="W65" s="1588"/>
      <c r="X65" s="1589"/>
      <c r="AA65" s="1590"/>
      <c r="AB65" s="1590"/>
    </row>
    <row r="66" spans="1:28" s="418" customFormat="1" hidden="1" outlineLevel="1">
      <c r="A66" s="893"/>
      <c r="B66" s="1564" t="s">
        <v>1415</v>
      </c>
      <c r="C66" s="1564" t="s">
        <v>2112</v>
      </c>
      <c r="D66" s="1564" t="s">
        <v>2113</v>
      </c>
      <c r="E66" s="1542" t="s">
        <v>2114</v>
      </c>
      <c r="F66" s="1597">
        <v>4.6713473567181002E-2</v>
      </c>
      <c r="G66" s="1601">
        <v>77.070102965657568</v>
      </c>
      <c r="H66" s="1568">
        <v>0</v>
      </c>
      <c r="I66" s="1591">
        <v>1.1000000000000001</v>
      </c>
      <c r="J66" s="1569">
        <f t="shared" ref="J66:J69" si="17">(G66+H66)*I66</f>
        <v>84.777113262223338</v>
      </c>
      <c r="K66" s="1570">
        <f>F$9</f>
        <v>17500</v>
      </c>
      <c r="L66" s="1570">
        <f t="shared" si="16"/>
        <v>1483599.4820889083</v>
      </c>
      <c r="M66" s="1571">
        <v>0</v>
      </c>
      <c r="N66" s="1571"/>
      <c r="O66" s="1571"/>
      <c r="P66" s="1571"/>
      <c r="Q66" s="1571"/>
      <c r="R66" s="1571"/>
      <c r="S66" s="1571"/>
      <c r="T66" s="1571"/>
      <c r="U66" s="1516"/>
    </row>
    <row r="67" spans="1:28" s="418" customFormat="1" hidden="1" outlineLevel="1">
      <c r="A67" s="893"/>
      <c r="B67" s="424" t="s">
        <v>1417</v>
      </c>
      <c r="C67" s="424" t="s">
        <v>2115</v>
      </c>
      <c r="D67" s="424" t="s">
        <v>2116</v>
      </c>
      <c r="E67" s="1572" t="s">
        <v>2114</v>
      </c>
      <c r="F67" s="1598">
        <v>4.6713473567181002E-2</v>
      </c>
      <c r="G67" s="1603">
        <v>69.054812257229173</v>
      </c>
      <c r="H67" s="1575">
        <v>0</v>
      </c>
      <c r="I67" s="1593">
        <v>1.1000000000000001</v>
      </c>
      <c r="J67" s="1576">
        <f t="shared" si="17"/>
        <v>75.960293482952096</v>
      </c>
      <c r="K67" s="1577">
        <f>F$9</f>
        <v>17500</v>
      </c>
      <c r="L67" s="1577">
        <f t="shared" si="16"/>
        <v>1329305.1359516617</v>
      </c>
      <c r="M67" s="1578">
        <v>0</v>
      </c>
      <c r="N67" s="1578"/>
      <c r="O67" s="1578"/>
      <c r="P67" s="1578"/>
      <c r="Q67" s="1578"/>
      <c r="R67" s="1578"/>
      <c r="S67" s="1578"/>
      <c r="T67" s="1578"/>
      <c r="U67" s="1516"/>
    </row>
    <row r="68" spans="1:28" s="418" customFormat="1" hidden="1" outlineLevel="1">
      <c r="A68" s="893"/>
      <c r="B68" s="424" t="s">
        <v>1419</v>
      </c>
      <c r="C68" s="424" t="s">
        <v>2117</v>
      </c>
      <c r="D68" s="424" t="s">
        <v>2118</v>
      </c>
      <c r="E68" s="1572" t="s">
        <v>2114</v>
      </c>
      <c r="F68" s="1598">
        <v>4.6713473567181002E-2</v>
      </c>
      <c r="G68" s="1603">
        <v>86.318515321536466</v>
      </c>
      <c r="H68" s="1575">
        <v>0</v>
      </c>
      <c r="I68" s="1593">
        <v>1.1000000000000001</v>
      </c>
      <c r="J68" s="1576">
        <f t="shared" si="17"/>
        <v>94.950366853690127</v>
      </c>
      <c r="K68" s="1577">
        <f>F$9</f>
        <v>17500</v>
      </c>
      <c r="L68" s="1577">
        <f t="shared" si="16"/>
        <v>1661631.4199395771</v>
      </c>
      <c r="M68" s="1578">
        <v>0</v>
      </c>
      <c r="N68" s="1578"/>
      <c r="O68" s="1578"/>
      <c r="P68" s="1578"/>
      <c r="Q68" s="1578"/>
      <c r="R68" s="1578"/>
      <c r="S68" s="1578"/>
      <c r="T68" s="1578"/>
      <c r="U68" s="1516"/>
    </row>
    <row r="69" spans="1:28" s="418" customFormat="1" hidden="1" outlineLevel="1">
      <c r="A69" s="893"/>
      <c r="B69" s="1579" t="s">
        <v>2119</v>
      </c>
      <c r="C69" s="1579" t="s">
        <v>2117</v>
      </c>
      <c r="D69" s="1579" t="s">
        <v>2118</v>
      </c>
      <c r="E69" s="1580" t="s">
        <v>2114</v>
      </c>
      <c r="F69" s="1599">
        <v>5</v>
      </c>
      <c r="G69" s="1604">
        <v>86.318515321536466</v>
      </c>
      <c r="H69" s="1575">
        <v>0</v>
      </c>
      <c r="I69" s="1593">
        <v>1.1000000000000001</v>
      </c>
      <c r="J69" s="1576">
        <f t="shared" si="17"/>
        <v>94.950366853690127</v>
      </c>
      <c r="K69" s="1585">
        <f>F$9</f>
        <v>17500</v>
      </c>
      <c r="L69" s="1585">
        <f t="shared" si="16"/>
        <v>1661631.4199395771</v>
      </c>
      <c r="M69" s="1586">
        <v>0</v>
      </c>
      <c r="N69" s="1586"/>
      <c r="O69" s="1586"/>
      <c r="P69" s="1586"/>
      <c r="Q69" s="1586"/>
      <c r="R69" s="1586"/>
      <c r="S69" s="1586"/>
      <c r="T69" s="1586"/>
      <c r="U69" s="1516"/>
    </row>
    <row r="70" spans="1:28" s="1506" customFormat="1" ht="16.5" collapsed="1">
      <c r="A70" s="1495"/>
      <c r="B70" s="2249" t="s">
        <v>2120</v>
      </c>
      <c r="C70" s="2250"/>
      <c r="D70" s="1559"/>
      <c r="E70" s="1497" t="s">
        <v>1085</v>
      </c>
      <c r="F70" s="1498" t="s">
        <v>1975</v>
      </c>
      <c r="G70" s="1497" t="s">
        <v>1079</v>
      </c>
      <c r="H70" s="1536" t="s">
        <v>1976</v>
      </c>
      <c r="I70" s="1587" t="s">
        <v>33</v>
      </c>
      <c r="J70" s="1561" t="s">
        <v>1977</v>
      </c>
      <c r="K70" s="1536" t="s">
        <v>1978</v>
      </c>
      <c r="L70" s="1536" t="s">
        <v>1979</v>
      </c>
      <c r="M70" s="1534" t="s">
        <v>1980</v>
      </c>
      <c r="N70" s="1534" t="s">
        <v>2121</v>
      </c>
      <c r="O70" s="1534"/>
      <c r="P70" s="1534"/>
      <c r="Q70" s="1534"/>
      <c r="R70" s="1534"/>
      <c r="S70" s="1534"/>
      <c r="T70" s="1534"/>
      <c r="U70" s="1562"/>
      <c r="V70" s="1563"/>
      <c r="W70" s="1588"/>
      <c r="X70" s="1589"/>
      <c r="AA70" s="1590"/>
      <c r="AB70" s="1590"/>
    </row>
    <row r="71" spans="1:28" s="418" customFormat="1" hidden="1" outlineLevel="1">
      <c r="A71" s="893"/>
      <c r="B71" s="1564" t="s">
        <v>83</v>
      </c>
      <c r="C71" s="1564" t="s">
        <v>2122</v>
      </c>
      <c r="D71" s="1564" t="s">
        <v>2123</v>
      </c>
      <c r="E71" s="1542" t="s">
        <v>1086</v>
      </c>
      <c r="F71" s="1605">
        <v>2.7096200000000004E-2</v>
      </c>
      <c r="G71" s="1567">
        <f>575/22</f>
        <v>26.136363636363637</v>
      </c>
      <c r="H71" s="1568">
        <v>0</v>
      </c>
      <c r="I71" s="1591">
        <v>2.7</v>
      </c>
      <c r="J71" s="1569">
        <f t="shared" ref="J71:J80" si="18">(G71+H71)*I71</f>
        <v>70.568181818181827</v>
      </c>
      <c r="K71" s="1570">
        <f t="shared" ref="K71" si="19">F$9</f>
        <v>17500</v>
      </c>
      <c r="L71" s="1570">
        <f t="shared" si="16"/>
        <v>1234943.1818181819</v>
      </c>
      <c r="M71" s="1606">
        <f>(0.59+0.67)/2</f>
        <v>0.63</v>
      </c>
      <c r="N71" s="1607">
        <f>3284816.7599379/K71</f>
        <v>187.70381485359428</v>
      </c>
      <c r="O71" s="1608"/>
      <c r="P71" s="1608"/>
      <c r="Q71" s="1608"/>
      <c r="R71" s="1608"/>
      <c r="S71" s="1608"/>
      <c r="T71" s="1608"/>
      <c r="U71" s="1516"/>
    </row>
    <row r="72" spans="1:28" s="418" customFormat="1" hidden="1" outlineLevel="1">
      <c r="A72" s="893"/>
      <c r="B72" s="1579" t="s">
        <v>84</v>
      </c>
      <c r="C72" s="1579" t="s">
        <v>2124</v>
      </c>
      <c r="D72" s="1579" t="s">
        <v>2125</v>
      </c>
      <c r="E72" s="1580" t="s">
        <v>1086</v>
      </c>
      <c r="F72" s="1599">
        <v>1.3047439999999999E-2</v>
      </c>
      <c r="G72" s="1582">
        <f>27600/(5*2.8364)/16219</f>
        <v>0.11999068350597371</v>
      </c>
      <c r="H72" s="1583">
        <v>0</v>
      </c>
      <c r="I72" s="429">
        <v>1.1000000000000001</v>
      </c>
      <c r="J72" s="1584">
        <f t="shared" si="18"/>
        <v>0.13198975185657108</v>
      </c>
      <c r="K72" s="1585">
        <f>F$9</f>
        <v>17500</v>
      </c>
      <c r="L72" s="1585">
        <f t="shared" si="16"/>
        <v>2309.8206574899941</v>
      </c>
      <c r="M72" s="1609">
        <v>0</v>
      </c>
      <c r="N72" s="1610"/>
      <c r="O72" s="470"/>
      <c r="P72" s="470"/>
      <c r="Q72" s="470"/>
      <c r="R72" s="470"/>
      <c r="S72" s="470"/>
      <c r="T72" s="470"/>
      <c r="U72" s="1516"/>
    </row>
    <row r="73" spans="1:28" s="418" customFormat="1" hidden="1" outlineLevel="1">
      <c r="A73" s="893"/>
      <c r="B73" s="424" t="s">
        <v>85</v>
      </c>
      <c r="C73" s="424" t="s">
        <v>2126</v>
      </c>
      <c r="D73" s="424" t="s">
        <v>2127</v>
      </c>
      <c r="E73" s="1542" t="s">
        <v>1086</v>
      </c>
      <c r="F73" s="1605">
        <v>2.9926247555555559E-2</v>
      </c>
      <c r="G73" s="1574">
        <f>103.17/4.442</f>
        <v>23.226024313372353</v>
      </c>
      <c r="H73" s="1575">
        <v>0</v>
      </c>
      <c r="I73" s="414">
        <v>1.95</v>
      </c>
      <c r="J73" s="1569">
        <f t="shared" si="18"/>
        <v>45.29074741107609</v>
      </c>
      <c r="K73" s="1570">
        <f>F$9</f>
        <v>17500</v>
      </c>
      <c r="L73" s="1570">
        <f t="shared" si="16"/>
        <v>792588.07969383162</v>
      </c>
      <c r="M73" s="1611">
        <v>0.61</v>
      </c>
      <c r="N73" s="1612">
        <f>5343674.35853061/K73</f>
        <v>305.35282048746342</v>
      </c>
      <c r="O73" s="452"/>
      <c r="P73" s="452"/>
      <c r="Q73" s="452"/>
      <c r="R73" s="452"/>
      <c r="S73" s="452"/>
      <c r="T73" s="452"/>
      <c r="U73" s="1516"/>
    </row>
    <row r="74" spans="1:28" s="418" customFormat="1" hidden="1" outlineLevel="1">
      <c r="A74" s="893"/>
      <c r="B74" s="1579" t="s">
        <v>86</v>
      </c>
      <c r="C74" s="1579" t="s">
        <v>2128</v>
      </c>
      <c r="D74" s="1579" t="s">
        <v>2129</v>
      </c>
      <c r="E74" s="1580" t="s">
        <v>1086</v>
      </c>
      <c r="F74" s="1599">
        <v>1.4410172622222219E-2</v>
      </c>
      <c r="G74" s="1582">
        <f>27600/(5*2.8364)/16219</f>
        <v>0.11999068350597371</v>
      </c>
      <c r="H74" s="1583">
        <v>0</v>
      </c>
      <c r="I74" s="429">
        <v>1.1000000000000001</v>
      </c>
      <c r="J74" s="1576">
        <f t="shared" si="18"/>
        <v>0.13198975185657108</v>
      </c>
      <c r="K74" s="1577">
        <f>F$9</f>
        <v>17500</v>
      </c>
      <c r="L74" s="1577">
        <f t="shared" si="16"/>
        <v>2309.8206574899941</v>
      </c>
      <c r="M74" s="1609">
        <v>0</v>
      </c>
      <c r="N74" s="1610"/>
      <c r="O74" s="470"/>
      <c r="P74" s="470"/>
      <c r="Q74" s="470"/>
      <c r="R74" s="470"/>
      <c r="S74" s="470"/>
      <c r="T74" s="470"/>
      <c r="U74" s="1516"/>
    </row>
    <row r="75" spans="1:28" s="418" customFormat="1" hidden="1" outlineLevel="1">
      <c r="A75" s="893"/>
      <c r="B75" s="1564" t="s">
        <v>2130</v>
      </c>
      <c r="C75" s="1564" t="s">
        <v>2131</v>
      </c>
      <c r="D75" s="1564" t="s">
        <v>2132</v>
      </c>
      <c r="E75" s="1542" t="s">
        <v>2133</v>
      </c>
      <c r="F75" s="1605">
        <v>2.3090940000000001E-2</v>
      </c>
      <c r="G75" s="1567">
        <f>228/5/3.7854</f>
        <v>12.04628308765256</v>
      </c>
      <c r="H75" s="1568">
        <v>0</v>
      </c>
      <c r="I75" s="414">
        <v>1.95</v>
      </c>
      <c r="J75" s="1569">
        <f t="shared" si="18"/>
        <v>23.49025202092249</v>
      </c>
      <c r="K75" s="1570">
        <f>F$9</f>
        <v>17500</v>
      </c>
      <c r="L75" s="1570">
        <f t="shared" si="16"/>
        <v>411079.41036614357</v>
      </c>
      <c r="M75" s="1606">
        <v>0.3</v>
      </c>
      <c r="N75" s="1607">
        <f>2135680.44645463/K75</f>
        <v>122.03888265455028</v>
      </c>
      <c r="O75" s="1608"/>
      <c r="P75" s="1608"/>
      <c r="Q75" s="1608"/>
      <c r="R75" s="1608"/>
      <c r="S75" s="1608"/>
      <c r="T75" s="1608"/>
      <c r="U75" s="1516"/>
    </row>
    <row r="76" spans="1:28" s="418" customFormat="1" hidden="1" outlineLevel="1">
      <c r="A76" s="893"/>
      <c r="B76" s="1579" t="s">
        <v>2134</v>
      </c>
      <c r="C76" s="1613" t="s">
        <v>72</v>
      </c>
      <c r="D76" s="1579" t="s">
        <v>2134</v>
      </c>
      <c r="E76" s="1580" t="s">
        <v>2133</v>
      </c>
      <c r="F76" s="1599">
        <v>0</v>
      </c>
      <c r="G76" s="1582">
        <v>0</v>
      </c>
      <c r="H76" s="1583">
        <v>0</v>
      </c>
      <c r="I76" s="429">
        <v>1.1000000000000001</v>
      </c>
      <c r="J76" s="1584">
        <f t="shared" si="18"/>
        <v>0</v>
      </c>
      <c r="K76" s="1585">
        <f t="shared" ref="K76:K80" si="20">F$9</f>
        <v>17500</v>
      </c>
      <c r="L76" s="1585">
        <f t="shared" si="16"/>
        <v>0</v>
      </c>
      <c r="M76" s="1609">
        <v>0</v>
      </c>
      <c r="N76" s="1610"/>
      <c r="O76" s="470"/>
      <c r="P76" s="470"/>
      <c r="Q76" s="470"/>
      <c r="R76" s="470"/>
      <c r="S76" s="470"/>
      <c r="T76" s="470"/>
      <c r="U76" s="1516"/>
    </row>
    <row r="77" spans="1:28" s="418" customFormat="1" hidden="1" outlineLevel="1">
      <c r="A77" s="893"/>
      <c r="B77" s="424" t="s">
        <v>2135</v>
      </c>
      <c r="C77" s="443" t="s">
        <v>2136</v>
      </c>
      <c r="D77" s="424" t="s">
        <v>2137</v>
      </c>
      <c r="E77" s="1542" t="s">
        <v>2133</v>
      </c>
      <c r="F77" s="1605">
        <v>0.05</v>
      </c>
      <c r="G77" s="1574">
        <f>451.52*9786/16219/5</f>
        <v>54.486401381096243</v>
      </c>
      <c r="H77" s="1575">
        <v>0</v>
      </c>
      <c r="I77" s="414">
        <v>1.5</v>
      </c>
      <c r="J77" s="1569">
        <f t="shared" si="18"/>
        <v>81.729602071644365</v>
      </c>
      <c r="K77" s="1570">
        <f t="shared" si="20"/>
        <v>17500</v>
      </c>
      <c r="L77" s="1570">
        <f t="shared" si="16"/>
        <v>1430268.0362537764</v>
      </c>
      <c r="M77" s="1606">
        <v>0.3</v>
      </c>
      <c r="N77" s="1612">
        <f>15823716.0625617/K77</f>
        <v>904.21234643209721</v>
      </c>
      <c r="O77" s="452"/>
      <c r="P77" s="452"/>
      <c r="Q77" s="452"/>
      <c r="R77" s="452"/>
      <c r="S77" s="452"/>
      <c r="T77" s="452"/>
      <c r="U77" s="1516"/>
    </row>
    <row r="78" spans="1:28" s="418" customFormat="1" hidden="1" outlineLevel="1">
      <c r="A78" s="893"/>
      <c r="B78" s="1579" t="s">
        <v>2138</v>
      </c>
      <c r="C78" s="1614" t="s">
        <v>2139</v>
      </c>
      <c r="D78" s="1579" t="s">
        <v>2140</v>
      </c>
      <c r="E78" s="1580" t="s">
        <v>2133</v>
      </c>
      <c r="F78" s="1599">
        <v>2.8999999999999998E-3</v>
      </c>
      <c r="G78" s="1582">
        <f>115.02*9786/16219/1.25</f>
        <v>55.519364695727234</v>
      </c>
      <c r="H78" s="1583">
        <v>0</v>
      </c>
      <c r="I78" s="429">
        <v>1.5</v>
      </c>
      <c r="J78" s="1576">
        <f t="shared" si="18"/>
        <v>83.27904704359085</v>
      </c>
      <c r="K78" s="1577">
        <f t="shared" si="20"/>
        <v>17500</v>
      </c>
      <c r="L78" s="1577">
        <f t="shared" si="16"/>
        <v>1457383.3232628398</v>
      </c>
      <c r="M78" s="1609">
        <v>0</v>
      </c>
      <c r="N78" s="1610"/>
      <c r="O78" s="470"/>
      <c r="P78" s="470"/>
      <c r="Q78" s="470"/>
      <c r="R78" s="470"/>
      <c r="S78" s="470"/>
      <c r="T78" s="470"/>
      <c r="U78" s="1516"/>
    </row>
    <row r="79" spans="1:28" s="418" customFormat="1" hidden="1" outlineLevel="1">
      <c r="A79" s="893"/>
      <c r="B79" s="424" t="s">
        <v>2141</v>
      </c>
      <c r="C79" s="443" t="s">
        <v>2142</v>
      </c>
      <c r="D79" s="424" t="s">
        <v>2143</v>
      </c>
      <c r="E79" s="1542" t="s">
        <v>2133</v>
      </c>
      <c r="F79" s="1605">
        <v>2.3090940000000001E-2</v>
      </c>
      <c r="G79" s="1574">
        <v>30</v>
      </c>
      <c r="H79" s="1575">
        <v>0</v>
      </c>
      <c r="I79" s="414">
        <v>2.7</v>
      </c>
      <c r="J79" s="1569">
        <f t="shared" si="18"/>
        <v>81</v>
      </c>
      <c r="K79" s="1570">
        <f t="shared" si="20"/>
        <v>17500</v>
      </c>
      <c r="L79" s="1570">
        <f t="shared" si="16"/>
        <v>1417500</v>
      </c>
      <c r="M79" s="1606">
        <v>0.3</v>
      </c>
      <c r="N79" s="1612">
        <f>4221180.43129144/K79</f>
        <v>241.21031035951083</v>
      </c>
      <c r="O79" s="452"/>
      <c r="P79" s="452"/>
      <c r="Q79" s="452"/>
      <c r="R79" s="452"/>
      <c r="S79" s="452"/>
      <c r="T79" s="452"/>
      <c r="U79" s="1516"/>
    </row>
    <row r="80" spans="1:28" s="418" customFormat="1" hidden="1" outlineLevel="1">
      <c r="A80" s="893"/>
      <c r="B80" s="1579" t="s">
        <v>2134</v>
      </c>
      <c r="C80" s="1613" t="s">
        <v>72</v>
      </c>
      <c r="D80" s="1579" t="s">
        <v>2134</v>
      </c>
      <c r="E80" s="1580" t="s">
        <v>2133</v>
      </c>
      <c r="F80" s="1599">
        <v>0</v>
      </c>
      <c r="G80" s="1582">
        <v>0</v>
      </c>
      <c r="H80" s="1583">
        <v>0</v>
      </c>
      <c r="I80" s="429">
        <v>1.1000000000000001</v>
      </c>
      <c r="J80" s="1576">
        <f t="shared" si="18"/>
        <v>0</v>
      </c>
      <c r="K80" s="1577">
        <f t="shared" si="20"/>
        <v>17500</v>
      </c>
      <c r="L80" s="1577">
        <f t="shared" si="16"/>
        <v>0</v>
      </c>
      <c r="M80" s="1609">
        <v>0</v>
      </c>
      <c r="N80" s="1610"/>
      <c r="O80" s="470"/>
      <c r="P80" s="470"/>
      <c r="Q80" s="470"/>
      <c r="R80" s="470"/>
      <c r="S80" s="470"/>
      <c r="T80" s="470"/>
      <c r="U80" s="1516"/>
    </row>
    <row r="81" spans="1:27" s="1506" customFormat="1" ht="16.5" collapsed="1">
      <c r="A81" s="1495"/>
      <c r="B81" s="2249" t="s">
        <v>2144</v>
      </c>
      <c r="C81" s="2250"/>
      <c r="D81" s="1559"/>
      <c r="E81" s="1497" t="s">
        <v>1085</v>
      </c>
      <c r="F81" s="1498" t="s">
        <v>1975</v>
      </c>
      <c r="G81" s="1497" t="s">
        <v>1079</v>
      </c>
      <c r="H81" s="1536" t="s">
        <v>1976</v>
      </c>
      <c r="I81" s="1587" t="s">
        <v>33</v>
      </c>
      <c r="J81" s="1561" t="s">
        <v>1977</v>
      </c>
      <c r="K81" s="1536" t="s">
        <v>1978</v>
      </c>
      <c r="L81" s="1536" t="s">
        <v>1979</v>
      </c>
      <c r="M81" s="1534" t="s">
        <v>1980</v>
      </c>
      <c r="N81" s="1534"/>
      <c r="O81" s="1534"/>
      <c r="P81" s="1534"/>
      <c r="Q81" s="1534"/>
      <c r="R81" s="1534"/>
      <c r="S81" s="1534"/>
      <c r="T81" s="1534"/>
      <c r="U81" s="1562"/>
      <c r="W81" s="1590"/>
    </row>
    <row r="82" spans="1:27" s="418" customFormat="1" hidden="1" outlineLevel="1">
      <c r="A82" s="893"/>
      <c r="B82" s="424" t="s">
        <v>2145</v>
      </c>
      <c r="C82" s="424" t="s">
        <v>2146</v>
      </c>
      <c r="D82" s="424" t="s">
        <v>2147</v>
      </c>
      <c r="E82" s="1572" t="s">
        <v>103</v>
      </c>
      <c r="F82" s="1598">
        <v>1</v>
      </c>
      <c r="G82" s="1574">
        <v>9.2484123558789072E-2</v>
      </c>
      <c r="H82" s="1575">
        <v>0</v>
      </c>
      <c r="I82" s="1593">
        <v>1</v>
      </c>
      <c r="J82" s="1576">
        <f>(G82+H82)*I82</f>
        <v>9.2484123558789072E-2</v>
      </c>
      <c r="K82" s="1577">
        <f t="shared" ref="K82:K84" si="21">F$9</f>
        <v>17500</v>
      </c>
      <c r="L82" s="1577">
        <f>J82*K82</f>
        <v>1618.4721622788088</v>
      </c>
      <c r="M82" s="1578">
        <v>0</v>
      </c>
      <c r="N82" s="1615"/>
      <c r="O82" s="1615"/>
      <c r="P82" s="1615"/>
      <c r="Q82" s="1615"/>
      <c r="R82" s="1615"/>
      <c r="S82" s="1615"/>
      <c r="T82" s="1615"/>
      <c r="U82" s="1516"/>
      <c r="W82" s="1524"/>
    </row>
    <row r="83" spans="1:27" s="418" customFormat="1" hidden="1" outlineLevel="1">
      <c r="A83" s="893"/>
      <c r="B83" s="1579" t="s">
        <v>2148</v>
      </c>
      <c r="C83" s="1579" t="s">
        <v>2149</v>
      </c>
      <c r="D83" s="1579" t="s">
        <v>2150</v>
      </c>
      <c r="E83" s="1580" t="s">
        <v>103</v>
      </c>
      <c r="F83" s="1599">
        <v>1</v>
      </c>
      <c r="G83" s="1582">
        <v>2.9248412355878901E-2</v>
      </c>
      <c r="H83" s="1583">
        <v>0</v>
      </c>
      <c r="I83" s="1595">
        <v>1</v>
      </c>
      <c r="J83" s="1584">
        <f t="shared" ref="J83:J84" si="22">(G83+H83)*I83</f>
        <v>2.9248412355878901E-2</v>
      </c>
      <c r="K83" s="1585">
        <f t="shared" si="21"/>
        <v>17500</v>
      </c>
      <c r="L83" s="1585">
        <f t="shared" ref="L83:L84" si="23">J83*K83</f>
        <v>511.84721622788078</v>
      </c>
      <c r="M83" s="1586">
        <v>0</v>
      </c>
      <c r="N83" s="1616"/>
      <c r="O83" s="1616"/>
      <c r="P83" s="1616"/>
      <c r="Q83" s="1616"/>
      <c r="R83" s="1616"/>
      <c r="S83" s="1616"/>
      <c r="T83" s="1616"/>
      <c r="U83" s="1516"/>
      <c r="W83" s="1524"/>
    </row>
    <row r="84" spans="1:27" s="418" customFormat="1" hidden="1" outlineLevel="1">
      <c r="A84" s="893"/>
      <c r="B84" s="424" t="s">
        <v>76</v>
      </c>
      <c r="C84" s="424" t="s">
        <v>2151</v>
      </c>
      <c r="D84" s="424" t="s">
        <v>2152</v>
      </c>
      <c r="E84" s="1572" t="s">
        <v>103</v>
      </c>
      <c r="F84" s="1598">
        <v>1</v>
      </c>
      <c r="G84" s="1574">
        <v>6.1656082372526053E-2</v>
      </c>
      <c r="H84" s="1575">
        <v>0</v>
      </c>
      <c r="I84" s="1593">
        <v>1</v>
      </c>
      <c r="J84" s="1576">
        <f t="shared" si="22"/>
        <v>6.1656082372526053E-2</v>
      </c>
      <c r="K84" s="1577">
        <f t="shared" si="21"/>
        <v>17500</v>
      </c>
      <c r="L84" s="1577">
        <f t="shared" si="23"/>
        <v>1078.9814415192059</v>
      </c>
      <c r="M84" s="1578">
        <v>0</v>
      </c>
      <c r="N84" s="1615"/>
      <c r="O84" s="1615"/>
      <c r="P84" s="1615"/>
      <c r="Q84" s="1615"/>
      <c r="R84" s="1615"/>
      <c r="S84" s="1615"/>
      <c r="T84" s="1615"/>
      <c r="U84" s="1516"/>
      <c r="W84" s="1524"/>
    </row>
    <row r="85" spans="1:27" s="418" customFormat="1" hidden="1" outlineLevel="1">
      <c r="A85" s="893"/>
      <c r="B85" s="424" t="s">
        <v>2153</v>
      </c>
      <c r="C85" s="424" t="s">
        <v>2154</v>
      </c>
      <c r="D85" s="424" t="s">
        <v>2155</v>
      </c>
      <c r="E85" s="1572" t="s">
        <v>100</v>
      </c>
      <c r="F85" s="1598">
        <v>1</v>
      </c>
      <c r="G85" s="1574">
        <v>6.8068314939268765E-2</v>
      </c>
      <c r="H85" s="1575">
        <v>0</v>
      </c>
      <c r="I85" s="1593">
        <v>1</v>
      </c>
      <c r="J85" s="1576">
        <f>(G85+H85)*I85</f>
        <v>6.8068314939268765E-2</v>
      </c>
      <c r="K85" s="1577">
        <f t="shared" si="12"/>
        <v>17500</v>
      </c>
      <c r="L85" s="1577">
        <f>J85*K85</f>
        <v>1191.1955114372033</v>
      </c>
      <c r="M85" s="1578">
        <v>8.25E-4</v>
      </c>
      <c r="N85" s="1578"/>
      <c r="O85" s="1578"/>
      <c r="P85" s="1578"/>
      <c r="Q85" s="1578"/>
      <c r="R85" s="1578"/>
      <c r="S85" s="1578"/>
      <c r="T85" s="1578"/>
      <c r="U85" s="1516"/>
    </row>
    <row r="86" spans="1:27" s="418" customFormat="1" hidden="1" outlineLevel="1">
      <c r="A86" s="893"/>
      <c r="B86" s="424" t="s">
        <v>2156</v>
      </c>
      <c r="C86" s="424" t="s">
        <v>2157</v>
      </c>
      <c r="D86" s="424" t="s">
        <v>2158</v>
      </c>
      <c r="E86" s="1572" t="s">
        <v>100</v>
      </c>
      <c r="F86" s="1598">
        <v>1</v>
      </c>
      <c r="G86" s="1574">
        <v>8.9401319440162774E-2</v>
      </c>
      <c r="H86" s="1575">
        <v>0</v>
      </c>
      <c r="I86" s="1593">
        <v>1</v>
      </c>
      <c r="J86" s="1576">
        <f>(G86+H86)*I86</f>
        <v>8.9401319440162774E-2</v>
      </c>
      <c r="K86" s="1577">
        <f t="shared" si="12"/>
        <v>17500</v>
      </c>
      <c r="L86" s="1577">
        <f>J86*K86</f>
        <v>1564.5230902028486</v>
      </c>
      <c r="M86" s="1578">
        <v>1.1999999999999999E-3</v>
      </c>
      <c r="N86" s="1578"/>
      <c r="O86" s="1578"/>
      <c r="P86" s="1578"/>
      <c r="Q86" s="1578"/>
      <c r="R86" s="1578"/>
      <c r="S86" s="1578"/>
      <c r="T86" s="1578"/>
      <c r="U86" s="1516"/>
    </row>
    <row r="87" spans="1:27" s="418" customFormat="1" hidden="1" outlineLevel="1">
      <c r="A87" s="893"/>
      <c r="B87" s="1579" t="s">
        <v>2159</v>
      </c>
      <c r="C87" s="1579" t="s">
        <v>2160</v>
      </c>
      <c r="D87" s="1579" t="s">
        <v>2161</v>
      </c>
      <c r="E87" s="1580" t="s">
        <v>100</v>
      </c>
      <c r="F87" s="1599">
        <v>1</v>
      </c>
      <c r="G87" s="1582">
        <v>0.11353967568900672</v>
      </c>
      <c r="H87" s="1583">
        <v>0</v>
      </c>
      <c r="I87" s="1595">
        <v>1</v>
      </c>
      <c r="J87" s="1584">
        <f>(G87+H87)*I87</f>
        <v>0.11353967568900672</v>
      </c>
      <c r="K87" s="1585">
        <f t="shared" si="12"/>
        <v>17500</v>
      </c>
      <c r="L87" s="1585">
        <f>J87*K87</f>
        <v>1986.9443245576176</v>
      </c>
      <c r="M87" s="1586">
        <v>1.745454545454545E-3</v>
      </c>
      <c r="N87" s="1586"/>
      <c r="O87" s="1586"/>
      <c r="P87" s="1586"/>
      <c r="Q87" s="1586"/>
      <c r="R87" s="1586"/>
      <c r="S87" s="1586"/>
      <c r="T87" s="1586"/>
      <c r="U87" s="1516"/>
    </row>
    <row r="88" spans="1:27" s="1506" customFormat="1" ht="16.5" collapsed="1">
      <c r="A88" s="1495"/>
      <c r="B88" s="2249" t="s">
        <v>2162</v>
      </c>
      <c r="C88" s="2250"/>
      <c r="D88" s="1559"/>
      <c r="E88" s="1497" t="s">
        <v>1085</v>
      </c>
      <c r="F88" s="1498" t="s">
        <v>1975</v>
      </c>
      <c r="G88" s="1497" t="s">
        <v>1079</v>
      </c>
      <c r="H88" s="1536" t="s">
        <v>1976</v>
      </c>
      <c r="I88" s="1587" t="s">
        <v>33</v>
      </c>
      <c r="J88" s="1560" t="s">
        <v>1977</v>
      </c>
      <c r="K88" s="1536" t="s">
        <v>1978</v>
      </c>
      <c r="L88" s="1536" t="s">
        <v>1979</v>
      </c>
      <c r="M88" s="1534" t="s">
        <v>1980</v>
      </c>
      <c r="N88" s="1534" t="s">
        <v>2163</v>
      </c>
      <c r="O88" s="1534"/>
      <c r="P88" s="1534"/>
      <c r="Q88" s="1534"/>
      <c r="R88" s="1534"/>
      <c r="S88" s="1534"/>
      <c r="T88" s="1534"/>
      <c r="U88" s="1562"/>
      <c r="V88" s="1588"/>
      <c r="W88" s="824"/>
      <c r="Z88" s="1590"/>
      <c r="AA88" s="1590"/>
    </row>
    <row r="89" spans="1:27" s="418" customFormat="1" hidden="1" outlineLevel="1">
      <c r="A89" s="893"/>
      <c r="B89" s="1617" t="s">
        <v>2164</v>
      </c>
      <c r="C89" s="1564" t="s">
        <v>2165</v>
      </c>
      <c r="D89" s="1564" t="s">
        <v>2166</v>
      </c>
      <c r="E89" s="1542" t="s">
        <v>1080</v>
      </c>
      <c r="F89" s="1598">
        <v>1</v>
      </c>
      <c r="G89" s="1567">
        <v>4.3924039706517046</v>
      </c>
      <c r="H89" s="1568">
        <v>0</v>
      </c>
      <c r="I89" s="1591">
        <v>1.1000000000000001</v>
      </c>
      <c r="J89" s="1592">
        <f t="shared" ref="J89:J146" si="24">(G89+H89)*I89</f>
        <v>4.8316443677168754</v>
      </c>
      <c r="K89" s="1570">
        <f t="shared" ref="K89:K146" si="25">F$9</f>
        <v>17500</v>
      </c>
      <c r="L89" s="1570">
        <f t="shared" ref="L89:L146" si="26">J89*K89</f>
        <v>84553.776435045322</v>
      </c>
      <c r="M89" s="1571">
        <v>1.68</v>
      </c>
      <c r="N89" s="1618">
        <v>2.8702000000000001</v>
      </c>
      <c r="O89" s="1619"/>
      <c r="P89" s="1619"/>
      <c r="Q89" s="1619"/>
      <c r="R89" s="1619"/>
      <c r="S89" s="1619"/>
      <c r="T89" s="1619"/>
      <c r="U89" s="1516"/>
      <c r="W89" s="1524"/>
    </row>
    <row r="90" spans="1:27" s="418" customFormat="1" hidden="1" outlineLevel="1">
      <c r="A90" s="893"/>
      <c r="B90" s="443" t="s">
        <v>2167</v>
      </c>
      <c r="C90" s="424" t="s">
        <v>2168</v>
      </c>
      <c r="D90" s="424" t="s">
        <v>2169</v>
      </c>
      <c r="E90" s="1572" t="s">
        <v>1080</v>
      </c>
      <c r="F90" s="1598">
        <v>1</v>
      </c>
      <c r="G90" s="1574">
        <v>6.3814045255564453</v>
      </c>
      <c r="H90" s="1575">
        <v>0</v>
      </c>
      <c r="I90" s="1593">
        <v>1.1000000000000001</v>
      </c>
      <c r="J90" s="1594">
        <f t="shared" si="24"/>
        <v>7.0195449781120907</v>
      </c>
      <c r="K90" s="1577">
        <f t="shared" si="25"/>
        <v>17500</v>
      </c>
      <c r="L90" s="1577">
        <f t="shared" si="26"/>
        <v>122842.03711696158</v>
      </c>
      <c r="M90" s="1578">
        <v>2.5</v>
      </c>
      <c r="N90" s="1620">
        <v>3.3782000000000001</v>
      </c>
      <c r="O90" s="1615"/>
      <c r="P90" s="1615"/>
      <c r="Q90" s="1615"/>
      <c r="R90" s="1615"/>
      <c r="S90" s="1615"/>
      <c r="T90" s="1615"/>
      <c r="U90" s="1516"/>
      <c r="W90" s="1524"/>
    </row>
    <row r="91" spans="1:27" s="418" customFormat="1" hidden="1" outlineLevel="1">
      <c r="A91" s="893"/>
      <c r="B91" s="443" t="s">
        <v>2170</v>
      </c>
      <c r="C91" s="424" t="s">
        <v>2171</v>
      </c>
      <c r="D91" s="424" t="s">
        <v>2172</v>
      </c>
      <c r="E91" s="1572" t="s">
        <v>1080</v>
      </c>
      <c r="F91" s="1598">
        <v>1</v>
      </c>
      <c r="G91" s="1574">
        <v>7.3473498160593751</v>
      </c>
      <c r="H91" s="1575">
        <v>0</v>
      </c>
      <c r="I91" s="1593">
        <v>1.1000000000000001</v>
      </c>
      <c r="J91" s="1594">
        <f t="shared" si="24"/>
        <v>8.0820847976653134</v>
      </c>
      <c r="K91" s="1577">
        <f t="shared" si="25"/>
        <v>17500</v>
      </c>
      <c r="L91" s="1577">
        <f t="shared" si="26"/>
        <v>141436.48395914299</v>
      </c>
      <c r="M91" s="1578">
        <v>3.3800000000000003</v>
      </c>
      <c r="N91" s="1620">
        <v>3.556</v>
      </c>
      <c r="O91" s="1615"/>
      <c r="P91" s="1615"/>
      <c r="Q91" s="1615"/>
      <c r="R91" s="1615"/>
      <c r="S91" s="1615"/>
      <c r="T91" s="1615"/>
      <c r="U91" s="1516"/>
      <c r="W91" s="1524"/>
    </row>
    <row r="92" spans="1:27" s="418" customFormat="1" hidden="1" outlineLevel="1">
      <c r="A92" s="893"/>
      <c r="B92" s="443" t="s">
        <v>2173</v>
      </c>
      <c r="C92" s="424" t="s">
        <v>2174</v>
      </c>
      <c r="D92" s="424" t="s">
        <v>2175</v>
      </c>
      <c r="E92" s="1572" t="s">
        <v>1080</v>
      </c>
      <c r="F92" s="1598">
        <v>1</v>
      </c>
      <c r="G92" s="1574">
        <v>7.4090058984319027</v>
      </c>
      <c r="H92" s="1575">
        <v>0</v>
      </c>
      <c r="I92" s="1593">
        <v>1.1000000000000001</v>
      </c>
      <c r="J92" s="1594">
        <f t="shared" si="24"/>
        <v>8.1499064882750929</v>
      </c>
      <c r="K92" s="1577">
        <f t="shared" si="25"/>
        <v>17500</v>
      </c>
      <c r="L92" s="1577">
        <f t="shared" si="26"/>
        <v>142623.36354481411</v>
      </c>
      <c r="M92" s="1578">
        <v>4.04</v>
      </c>
      <c r="N92" s="1620">
        <v>3.6829999999999994</v>
      </c>
      <c r="O92" s="1615"/>
      <c r="P92" s="1615"/>
      <c r="Q92" s="1615"/>
      <c r="R92" s="1615"/>
      <c r="S92" s="1615"/>
      <c r="T92" s="1615"/>
      <c r="U92" s="1516"/>
      <c r="W92" s="1524"/>
    </row>
    <row r="93" spans="1:27" s="418" customFormat="1" hidden="1" outlineLevel="1">
      <c r="A93" s="893"/>
      <c r="B93" s="443" t="s">
        <v>2176</v>
      </c>
      <c r="C93" s="424" t="s">
        <v>2177</v>
      </c>
      <c r="D93" s="424" t="s">
        <v>2178</v>
      </c>
      <c r="E93" s="1572" t="s">
        <v>1080</v>
      </c>
      <c r="F93" s="1598">
        <v>1</v>
      </c>
      <c r="G93" s="1574">
        <v>14.63304354974616</v>
      </c>
      <c r="H93" s="1575">
        <v>0</v>
      </c>
      <c r="I93" s="1593">
        <v>1.1000000000000001</v>
      </c>
      <c r="J93" s="1594">
        <f t="shared" si="24"/>
        <v>16.096347904720776</v>
      </c>
      <c r="K93" s="1577">
        <f t="shared" si="25"/>
        <v>17500</v>
      </c>
      <c r="L93" s="1577">
        <f t="shared" si="26"/>
        <v>281686.08833261358</v>
      </c>
      <c r="M93" s="1578">
        <v>5.43</v>
      </c>
      <c r="N93" s="1620">
        <v>3.9115999999999995</v>
      </c>
      <c r="O93" s="1615"/>
      <c r="P93" s="1615"/>
      <c r="Q93" s="1615"/>
      <c r="R93" s="1615"/>
      <c r="S93" s="1615"/>
      <c r="T93" s="1615"/>
      <c r="U93" s="1516"/>
      <c r="W93" s="1524"/>
    </row>
    <row r="94" spans="1:27" s="418" customFormat="1" hidden="1" outlineLevel="1">
      <c r="A94" s="893"/>
      <c r="B94" s="443" t="s">
        <v>2179</v>
      </c>
      <c r="C94" s="424" t="s">
        <v>2180</v>
      </c>
      <c r="D94" s="424" t="s">
        <v>2181</v>
      </c>
      <c r="E94" s="1572" t="s">
        <v>1080</v>
      </c>
      <c r="F94" s="1598">
        <v>1</v>
      </c>
      <c r="G94" s="1574">
        <v>17.726123682101239</v>
      </c>
      <c r="H94" s="1575">
        <v>0</v>
      </c>
      <c r="I94" s="1593">
        <v>1.1000000000000001</v>
      </c>
      <c r="J94" s="1594">
        <f t="shared" si="24"/>
        <v>19.498736050311365</v>
      </c>
      <c r="K94" s="1577">
        <f t="shared" si="25"/>
        <v>17500</v>
      </c>
      <c r="L94" s="1577">
        <f t="shared" si="26"/>
        <v>341227.88088044891</v>
      </c>
      <c r="M94" s="1578">
        <v>8.6199999999999992</v>
      </c>
      <c r="N94" s="1620">
        <v>5.1562000000000001</v>
      </c>
      <c r="O94" s="1615"/>
      <c r="P94" s="1615"/>
      <c r="Q94" s="1615"/>
      <c r="R94" s="1615"/>
      <c r="S94" s="1615"/>
      <c r="T94" s="1615"/>
      <c r="U94" s="1516"/>
      <c r="W94" s="1524"/>
    </row>
    <row r="95" spans="1:27" s="418" customFormat="1" hidden="1" outlineLevel="1">
      <c r="A95" s="893"/>
      <c r="B95" s="443" t="s">
        <v>2182</v>
      </c>
      <c r="C95" s="424" t="s">
        <v>2183</v>
      </c>
      <c r="D95" s="424" t="s">
        <v>2184</v>
      </c>
      <c r="E95" s="1572" t="s">
        <v>1080</v>
      </c>
      <c r="F95" s="1598">
        <v>1</v>
      </c>
      <c r="G95" s="1574">
        <v>18.25</v>
      </c>
      <c r="H95" s="1575">
        <v>0</v>
      </c>
      <c r="I95" s="1593">
        <v>1.1000000000000001</v>
      </c>
      <c r="J95" s="1594">
        <f t="shared" si="24"/>
        <v>20.075000000000003</v>
      </c>
      <c r="K95" s="1577">
        <f t="shared" si="25"/>
        <v>17500</v>
      </c>
      <c r="L95" s="1577">
        <f t="shared" si="26"/>
        <v>351312.50000000006</v>
      </c>
      <c r="M95" s="1578">
        <v>11.270000000000001</v>
      </c>
      <c r="N95" s="1620">
        <v>5.4863999999999997</v>
      </c>
      <c r="O95" s="1615"/>
      <c r="P95" s="1615"/>
      <c r="Q95" s="1615"/>
      <c r="R95" s="1615"/>
      <c r="S95" s="1615"/>
      <c r="T95" s="1615"/>
      <c r="U95" s="1516"/>
      <c r="W95" s="1524"/>
    </row>
    <row r="96" spans="1:27" s="418" customFormat="1" hidden="1" outlineLevel="1">
      <c r="A96" s="893"/>
      <c r="B96" s="443" t="s">
        <v>2185</v>
      </c>
      <c r="C96" s="424" t="s">
        <v>2186</v>
      </c>
      <c r="D96" s="424" t="s">
        <v>2187</v>
      </c>
      <c r="E96" s="1572" t="s">
        <v>1080</v>
      </c>
      <c r="F96" s="1598">
        <v>1</v>
      </c>
      <c r="G96" s="1574">
        <v>39.305752512485356</v>
      </c>
      <c r="H96" s="1575">
        <v>0</v>
      </c>
      <c r="I96" s="1593">
        <v>1.1000000000000001</v>
      </c>
      <c r="J96" s="1594">
        <f t="shared" si="24"/>
        <v>43.236327763733897</v>
      </c>
      <c r="K96" s="1577">
        <f t="shared" si="25"/>
        <v>17500</v>
      </c>
      <c r="L96" s="1577">
        <f t="shared" si="26"/>
        <v>756635.73586534325</v>
      </c>
      <c r="M96" s="1578">
        <v>13.56</v>
      </c>
      <c r="N96" s="1620">
        <v>5.7404000000000002</v>
      </c>
      <c r="O96" s="1615"/>
      <c r="P96" s="1615"/>
      <c r="Q96" s="1615"/>
      <c r="R96" s="1615"/>
      <c r="S96" s="1615"/>
      <c r="T96" s="1615"/>
      <c r="U96" s="1516"/>
      <c r="W96" s="1524"/>
    </row>
    <row r="97" spans="1:23" s="418" customFormat="1" hidden="1" outlineLevel="1">
      <c r="A97" s="893"/>
      <c r="B97" s="443" t="s">
        <v>2188</v>
      </c>
      <c r="C97" s="424" t="s">
        <v>2186</v>
      </c>
      <c r="D97" s="424" t="s">
        <v>2189</v>
      </c>
      <c r="E97" s="1572" t="s">
        <v>1080</v>
      </c>
      <c r="F97" s="1598">
        <v>1</v>
      </c>
      <c r="G97" s="1574">
        <v>20.13</v>
      </c>
      <c r="H97" s="1575">
        <v>0</v>
      </c>
      <c r="I97" s="1593">
        <v>1.1000000000000001</v>
      </c>
      <c r="J97" s="1594">
        <f t="shared" si="24"/>
        <v>22.143000000000001</v>
      </c>
      <c r="K97" s="1577">
        <f t="shared" si="25"/>
        <v>17500</v>
      </c>
      <c r="L97" s="1577">
        <f t="shared" si="26"/>
        <v>387502.5</v>
      </c>
      <c r="M97" s="1578">
        <v>16.059999999999999</v>
      </c>
      <c r="N97" s="1620">
        <v>6.0197999999999992</v>
      </c>
      <c r="O97" s="1615"/>
      <c r="P97" s="1615"/>
      <c r="Q97" s="1615"/>
      <c r="R97" s="1615"/>
      <c r="S97" s="1615"/>
      <c r="T97" s="1615"/>
      <c r="U97" s="1516"/>
      <c r="W97" s="1524"/>
    </row>
    <row r="98" spans="1:23" s="418" customFormat="1" hidden="1" outlineLevel="1">
      <c r="A98" s="893"/>
      <c r="B98" s="461" t="s">
        <v>2190</v>
      </c>
      <c r="C98" s="1579" t="s">
        <v>2191</v>
      </c>
      <c r="D98" s="1579" t="s">
        <v>2192</v>
      </c>
      <c r="E98" s="1580" t="s">
        <v>1080</v>
      </c>
      <c r="F98" s="1599">
        <v>1</v>
      </c>
      <c r="G98" s="1582">
        <v>22.5</v>
      </c>
      <c r="H98" s="1583">
        <v>0</v>
      </c>
      <c r="I98" s="1595">
        <v>1.1000000000000001</v>
      </c>
      <c r="J98" s="1596">
        <f t="shared" si="24"/>
        <v>24.750000000000004</v>
      </c>
      <c r="K98" s="1585">
        <f t="shared" si="25"/>
        <v>17500</v>
      </c>
      <c r="L98" s="1585">
        <f t="shared" si="26"/>
        <v>433125.00000000006</v>
      </c>
      <c r="M98" s="1586">
        <v>21.74</v>
      </c>
      <c r="N98" s="1621">
        <v>6.5531999999999995</v>
      </c>
      <c r="O98" s="1616"/>
      <c r="P98" s="1616"/>
      <c r="Q98" s="1616"/>
      <c r="R98" s="1616"/>
      <c r="S98" s="1616"/>
      <c r="T98" s="1616"/>
      <c r="U98" s="1516"/>
      <c r="W98" s="1524"/>
    </row>
    <row r="99" spans="1:23" s="418" customFormat="1" hidden="1" outlineLevel="1">
      <c r="A99" s="893"/>
      <c r="B99" s="1617" t="s">
        <v>2193</v>
      </c>
      <c r="C99" s="1564" t="s">
        <v>2194</v>
      </c>
      <c r="D99" s="1564" t="s">
        <v>2195</v>
      </c>
      <c r="E99" s="1542" t="s">
        <v>1080</v>
      </c>
      <c r="F99" s="1598">
        <v>1</v>
      </c>
      <c r="G99" s="1567">
        <v>8.5500000000000007</v>
      </c>
      <c r="H99" s="1575">
        <v>0</v>
      </c>
      <c r="I99" s="1593">
        <v>1.1000000000000001</v>
      </c>
      <c r="J99" s="1594">
        <f t="shared" si="24"/>
        <v>9.4050000000000011</v>
      </c>
      <c r="K99" s="1577">
        <f t="shared" si="25"/>
        <v>17500</v>
      </c>
      <c r="L99" s="1577">
        <f t="shared" si="26"/>
        <v>164587.50000000003</v>
      </c>
      <c r="M99" s="1571">
        <v>0.53100000000000003</v>
      </c>
      <c r="N99" s="1618">
        <v>0.9</v>
      </c>
      <c r="O99" s="1619"/>
      <c r="P99" s="1619"/>
      <c r="Q99" s="1619"/>
      <c r="R99" s="1619"/>
      <c r="S99" s="1619"/>
      <c r="T99" s="1619"/>
      <c r="U99" s="1516"/>
      <c r="W99" s="1524"/>
    </row>
    <row r="100" spans="1:23" s="418" customFormat="1" hidden="1" outlineLevel="1">
      <c r="A100" s="893"/>
      <c r="B100" s="443" t="s">
        <v>2196</v>
      </c>
      <c r="C100" s="424" t="s">
        <v>2197</v>
      </c>
      <c r="D100" s="424" t="s">
        <v>2198</v>
      </c>
      <c r="E100" s="1572" t="s">
        <v>1080</v>
      </c>
      <c r="F100" s="1598">
        <v>1</v>
      </c>
      <c r="G100" s="1574">
        <v>6.5176644675997295</v>
      </c>
      <c r="H100" s="1575">
        <v>0</v>
      </c>
      <c r="I100" s="1593">
        <v>1.1000000000000001</v>
      </c>
      <c r="J100" s="1594">
        <f t="shared" si="24"/>
        <v>7.1694309143597028</v>
      </c>
      <c r="K100" s="1577">
        <f t="shared" si="25"/>
        <v>17500</v>
      </c>
      <c r="L100" s="1577">
        <f t="shared" si="26"/>
        <v>125465.0410012948</v>
      </c>
      <c r="M100" s="1578">
        <v>0.68200000000000005</v>
      </c>
      <c r="N100" s="1620">
        <v>0.9</v>
      </c>
      <c r="O100" s="1615"/>
      <c r="P100" s="1615"/>
      <c r="Q100" s="1615"/>
      <c r="R100" s="1615"/>
      <c r="S100" s="1615"/>
      <c r="T100" s="1615"/>
      <c r="U100" s="1516"/>
      <c r="W100" s="1524"/>
    </row>
    <row r="101" spans="1:23" s="418" customFormat="1" hidden="1" outlineLevel="1">
      <c r="A101" s="893"/>
      <c r="B101" s="443" t="s">
        <v>2199</v>
      </c>
      <c r="C101" s="424" t="s">
        <v>2200</v>
      </c>
      <c r="D101" s="424" t="s">
        <v>2201</v>
      </c>
      <c r="E101" s="1572" t="s">
        <v>1080</v>
      </c>
      <c r="F101" s="1598">
        <v>1</v>
      </c>
      <c r="G101" s="1574">
        <v>16.228571428571428</v>
      </c>
      <c r="H101" s="1575">
        <v>0</v>
      </c>
      <c r="I101" s="1593">
        <v>1.1000000000000001</v>
      </c>
      <c r="J101" s="1594">
        <f t="shared" si="24"/>
        <v>17.851428571428571</v>
      </c>
      <c r="K101" s="1577">
        <f t="shared" si="25"/>
        <v>17500</v>
      </c>
      <c r="L101" s="1577">
        <f t="shared" si="26"/>
        <v>312400</v>
      </c>
      <c r="M101" s="1578">
        <v>1.1339999999999999</v>
      </c>
      <c r="N101" s="1620">
        <v>1.2</v>
      </c>
      <c r="O101" s="1615"/>
      <c r="P101" s="1615"/>
      <c r="Q101" s="1615"/>
      <c r="R101" s="1615"/>
      <c r="S101" s="1615"/>
      <c r="T101" s="1615"/>
      <c r="U101" s="1516"/>
      <c r="W101" s="1524"/>
    </row>
    <row r="102" spans="1:23" s="418" customFormat="1" hidden="1" outlineLevel="1">
      <c r="A102" s="893"/>
      <c r="B102" s="443" t="s">
        <v>2202</v>
      </c>
      <c r="C102" s="424" t="s">
        <v>2203</v>
      </c>
      <c r="D102" s="424" t="s">
        <v>2204</v>
      </c>
      <c r="E102" s="1572" t="s">
        <v>1080</v>
      </c>
      <c r="F102" s="1598">
        <v>1</v>
      </c>
      <c r="G102" s="1574">
        <f>300000/17500</f>
        <v>17.142857142857142</v>
      </c>
      <c r="H102" s="1575">
        <v>0</v>
      </c>
      <c r="I102" s="1593">
        <v>1.1000000000000001</v>
      </c>
      <c r="J102" s="1594">
        <f t="shared" si="24"/>
        <v>18.857142857142858</v>
      </c>
      <c r="K102" s="1577">
        <f t="shared" si="25"/>
        <v>17500</v>
      </c>
      <c r="L102" s="1577">
        <f t="shared" si="26"/>
        <v>330000</v>
      </c>
      <c r="M102" s="1578">
        <v>1.369</v>
      </c>
      <c r="N102" s="1620">
        <v>1.2</v>
      </c>
      <c r="O102" s="1615"/>
      <c r="P102" s="1615"/>
      <c r="Q102" s="1615"/>
      <c r="R102" s="1615"/>
      <c r="S102" s="1615"/>
      <c r="T102" s="1615"/>
      <c r="U102" s="1516"/>
      <c r="W102" s="1524"/>
    </row>
    <row r="103" spans="1:23" s="418" customFormat="1" hidden="1" outlineLevel="1">
      <c r="A103" s="893"/>
      <c r="B103" s="443" t="s">
        <v>2205</v>
      </c>
      <c r="C103" s="424" t="s">
        <v>2206</v>
      </c>
      <c r="D103" s="424" t="s">
        <v>2207</v>
      </c>
      <c r="E103" s="1572" t="s">
        <v>1080</v>
      </c>
      <c r="F103" s="1598">
        <v>1</v>
      </c>
      <c r="G103" s="1574">
        <v>16.934459584438006</v>
      </c>
      <c r="H103" s="1575">
        <v>0</v>
      </c>
      <c r="I103" s="1593">
        <v>1.1000000000000001</v>
      </c>
      <c r="J103" s="1594">
        <f t="shared" si="24"/>
        <v>18.627905542881809</v>
      </c>
      <c r="K103" s="1577">
        <f t="shared" si="25"/>
        <v>17500</v>
      </c>
      <c r="L103" s="1577">
        <f t="shared" si="26"/>
        <v>325988.34700043168</v>
      </c>
      <c r="M103" s="1578">
        <v>1.772</v>
      </c>
      <c r="N103" s="1620">
        <v>1.2</v>
      </c>
      <c r="O103" s="1615"/>
      <c r="P103" s="1615"/>
      <c r="Q103" s="1615"/>
      <c r="R103" s="1615"/>
      <c r="S103" s="1615"/>
      <c r="T103" s="1615"/>
      <c r="U103" s="1516"/>
      <c r="W103" s="1524"/>
    </row>
    <row r="104" spans="1:23" s="418" customFormat="1" hidden="1" outlineLevel="1">
      <c r="A104" s="893"/>
      <c r="B104" s="443" t="s">
        <v>2208</v>
      </c>
      <c r="C104" s="424" t="s">
        <v>2209</v>
      </c>
      <c r="D104" s="424" t="s">
        <v>2210</v>
      </c>
      <c r="E104" s="1572" t="s">
        <v>1080</v>
      </c>
      <c r="F104" s="1598">
        <v>1</v>
      </c>
      <c r="G104" s="1574">
        <v>26.252235032986004</v>
      </c>
      <c r="H104" s="1575">
        <v>0</v>
      </c>
      <c r="I104" s="1593">
        <v>1.1000000000000001</v>
      </c>
      <c r="J104" s="1594">
        <f t="shared" si="24"/>
        <v>28.877458536284607</v>
      </c>
      <c r="K104" s="1577">
        <f t="shared" si="25"/>
        <v>17500</v>
      </c>
      <c r="L104" s="1577">
        <f t="shared" si="26"/>
        <v>505355.52438498061</v>
      </c>
      <c r="M104" s="1578">
        <v>2.7469999999999999</v>
      </c>
      <c r="N104" s="1620">
        <v>1.5</v>
      </c>
      <c r="O104" s="1615"/>
      <c r="P104" s="1615"/>
      <c r="Q104" s="1615"/>
      <c r="R104" s="1615"/>
      <c r="S104" s="1615"/>
      <c r="T104" s="1615"/>
      <c r="U104" s="1516"/>
      <c r="W104" s="1524"/>
    </row>
    <row r="105" spans="1:23" s="418" customFormat="1" hidden="1" outlineLevel="1">
      <c r="A105" s="893"/>
      <c r="B105" s="443" t="s">
        <v>2211</v>
      </c>
      <c r="C105" s="424" t="s">
        <v>2212</v>
      </c>
      <c r="D105" s="424" t="s">
        <v>2213</v>
      </c>
      <c r="E105" s="1572" t="s">
        <v>1080</v>
      </c>
      <c r="F105" s="1598">
        <v>1</v>
      </c>
      <c r="G105" s="1574">
        <v>29.864664899192306</v>
      </c>
      <c r="H105" s="1575">
        <v>0</v>
      </c>
      <c r="I105" s="1593">
        <v>1.1000000000000001</v>
      </c>
      <c r="J105" s="1594">
        <f t="shared" si="24"/>
        <v>32.851131389111536</v>
      </c>
      <c r="K105" s="1577">
        <f t="shared" si="25"/>
        <v>17500</v>
      </c>
      <c r="L105" s="1577">
        <f t="shared" si="26"/>
        <v>574894.79930945183</v>
      </c>
      <c r="M105" s="1578">
        <v>3.125</v>
      </c>
      <c r="N105" s="1620">
        <v>1.5</v>
      </c>
      <c r="O105" s="1615"/>
      <c r="P105" s="1615"/>
      <c r="Q105" s="1615"/>
      <c r="R105" s="1615"/>
      <c r="S105" s="1615"/>
      <c r="T105" s="1615"/>
      <c r="U105" s="1516"/>
      <c r="W105" s="1524"/>
    </row>
    <row r="106" spans="1:23" s="418" customFormat="1" hidden="1" outlineLevel="1">
      <c r="A106" s="893"/>
      <c r="B106" s="443" t="s">
        <v>2214</v>
      </c>
      <c r="C106" s="424" t="s">
        <v>2215</v>
      </c>
      <c r="D106" s="424" t="s">
        <v>2216</v>
      </c>
      <c r="E106" s="1572" t="s">
        <v>1080</v>
      </c>
      <c r="F106" s="1598">
        <v>1</v>
      </c>
      <c r="G106" s="1574">
        <v>42.689746593501447</v>
      </c>
      <c r="H106" s="1575">
        <v>0</v>
      </c>
      <c r="I106" s="1593">
        <v>1.1000000000000001</v>
      </c>
      <c r="J106" s="1594">
        <f t="shared" si="24"/>
        <v>46.958721252851596</v>
      </c>
      <c r="K106" s="1577">
        <f t="shared" si="25"/>
        <v>17500</v>
      </c>
      <c r="L106" s="1577">
        <f t="shared" si="26"/>
        <v>821777.62192490289</v>
      </c>
      <c r="M106" s="1578">
        <v>4.4669999999999996</v>
      </c>
      <c r="N106" s="1620">
        <v>1.5</v>
      </c>
      <c r="O106" s="1615"/>
      <c r="P106" s="1615"/>
      <c r="Q106" s="1615"/>
      <c r="R106" s="1615"/>
      <c r="S106" s="1615"/>
      <c r="T106" s="1615"/>
      <c r="U106" s="1516"/>
      <c r="W106" s="1524"/>
    </row>
    <row r="107" spans="1:23" s="418" customFormat="1" hidden="1" outlineLevel="1">
      <c r="A107" s="893"/>
      <c r="B107" s="461" t="s">
        <v>2217</v>
      </c>
      <c r="C107" s="1579" t="s">
        <v>2218</v>
      </c>
      <c r="D107" s="1579" t="s">
        <v>2219</v>
      </c>
      <c r="E107" s="1580" t="s">
        <v>1080</v>
      </c>
      <c r="F107" s="1599">
        <v>1</v>
      </c>
      <c r="G107" s="1582">
        <v>52.705160614094581</v>
      </c>
      <c r="H107" s="1583">
        <v>0</v>
      </c>
      <c r="I107" s="1595">
        <v>1.1000000000000001</v>
      </c>
      <c r="J107" s="1596">
        <f t="shared" si="24"/>
        <v>57.97567667550404</v>
      </c>
      <c r="K107" s="1585">
        <f t="shared" si="25"/>
        <v>17500</v>
      </c>
      <c r="L107" s="1585">
        <f t="shared" si="26"/>
        <v>1014574.3418213207</v>
      </c>
      <c r="M107" s="1586">
        <v>5.5149999999999997</v>
      </c>
      <c r="N107" s="1621">
        <v>1.5</v>
      </c>
      <c r="O107" s="1616"/>
      <c r="P107" s="1616"/>
      <c r="Q107" s="1616"/>
      <c r="R107" s="1616"/>
      <c r="S107" s="1616"/>
      <c r="T107" s="1616"/>
      <c r="U107" s="1516"/>
      <c r="W107" s="1524"/>
    </row>
    <row r="108" spans="1:23" s="418" customFormat="1" hidden="1" outlineLevel="1">
      <c r="A108" s="893"/>
      <c r="B108" s="443" t="s">
        <v>2220</v>
      </c>
      <c r="C108" s="424" t="s">
        <v>2221</v>
      </c>
      <c r="D108" s="424" t="s">
        <v>2222</v>
      </c>
      <c r="E108" s="1542" t="s">
        <v>1080</v>
      </c>
      <c r="F108" s="1598">
        <v>1</v>
      </c>
      <c r="G108" s="1567">
        <v>6.7446359208335904</v>
      </c>
      <c r="H108" s="1575">
        <v>0</v>
      </c>
      <c r="I108" s="1593">
        <v>1.1000000000000001</v>
      </c>
      <c r="J108" s="1594">
        <f t="shared" si="24"/>
        <v>7.4190995129169499</v>
      </c>
      <c r="K108" s="1577">
        <f t="shared" si="25"/>
        <v>17500</v>
      </c>
      <c r="L108" s="1577">
        <f t="shared" si="26"/>
        <v>129834.24147604662</v>
      </c>
      <c r="M108" s="1571">
        <v>0.70574999999999999</v>
      </c>
      <c r="N108" s="1620">
        <v>1.2</v>
      </c>
      <c r="O108" s="1619"/>
      <c r="P108" s="1619"/>
      <c r="Q108" s="1619"/>
      <c r="R108" s="1619"/>
      <c r="S108" s="1619"/>
      <c r="T108" s="1619"/>
      <c r="U108" s="1516"/>
      <c r="W108" s="1524"/>
    </row>
    <row r="109" spans="1:23" s="418" customFormat="1" hidden="1" outlineLevel="1">
      <c r="A109" s="893"/>
      <c r="B109" s="443" t="s">
        <v>2223</v>
      </c>
      <c r="C109" s="424" t="s">
        <v>2224</v>
      </c>
      <c r="D109" s="424" t="s">
        <v>2225</v>
      </c>
      <c r="E109" s="1572" t="s">
        <v>1080</v>
      </c>
      <c r="F109" s="1598">
        <v>1</v>
      </c>
      <c r="G109" s="1574">
        <v>7.7624237005980641</v>
      </c>
      <c r="H109" s="1575">
        <v>0</v>
      </c>
      <c r="I109" s="1593">
        <v>1.1000000000000001</v>
      </c>
      <c r="J109" s="1594">
        <f t="shared" si="24"/>
        <v>8.5386660706578716</v>
      </c>
      <c r="K109" s="1577">
        <f t="shared" si="25"/>
        <v>17500</v>
      </c>
      <c r="L109" s="1577">
        <f t="shared" si="26"/>
        <v>149426.65623651276</v>
      </c>
      <c r="M109" s="1578">
        <v>0.81225000000000003</v>
      </c>
      <c r="N109" s="1620">
        <v>1.2</v>
      </c>
      <c r="O109" s="1615"/>
      <c r="P109" s="1615"/>
      <c r="Q109" s="1615"/>
      <c r="R109" s="1615"/>
      <c r="S109" s="1615"/>
      <c r="T109" s="1615"/>
      <c r="U109" s="1516"/>
      <c r="W109" s="1524"/>
    </row>
    <row r="110" spans="1:23" s="418" customFormat="1" hidden="1" outlineLevel="1">
      <c r="A110" s="893"/>
      <c r="B110" s="443" t="s">
        <v>2226</v>
      </c>
      <c r="C110" s="424" t="s">
        <v>2227</v>
      </c>
      <c r="D110" s="424" t="s">
        <v>2228</v>
      </c>
      <c r="E110" s="1572" t="s">
        <v>1080</v>
      </c>
      <c r="F110" s="1598">
        <v>1</v>
      </c>
      <c r="G110" s="1574">
        <v>15.170710278068899</v>
      </c>
      <c r="H110" s="1575">
        <v>0</v>
      </c>
      <c r="I110" s="1593">
        <v>1.1000000000000001</v>
      </c>
      <c r="J110" s="1594">
        <f t="shared" si="24"/>
        <v>16.687781305875792</v>
      </c>
      <c r="K110" s="1577">
        <f t="shared" si="25"/>
        <v>17500</v>
      </c>
      <c r="L110" s="1577">
        <f t="shared" si="26"/>
        <v>292036.17285282636</v>
      </c>
      <c r="M110" s="1578">
        <v>1.0642499999999999</v>
      </c>
      <c r="N110" s="1620">
        <v>1.4</v>
      </c>
      <c r="O110" s="1615"/>
      <c r="P110" s="1615"/>
      <c r="Q110" s="1615"/>
      <c r="R110" s="1615"/>
      <c r="S110" s="1615"/>
      <c r="T110" s="1615"/>
      <c r="U110" s="1516"/>
      <c r="W110" s="1524"/>
    </row>
    <row r="111" spans="1:23" s="418" customFormat="1" hidden="1" outlineLevel="1">
      <c r="A111" s="893"/>
      <c r="B111" s="443" t="s">
        <v>2229</v>
      </c>
      <c r="C111" s="424" t="s">
        <v>2230</v>
      </c>
      <c r="D111" s="424" t="s">
        <v>2231</v>
      </c>
      <c r="E111" s="1572" t="s">
        <v>1080</v>
      </c>
      <c r="F111" s="1598">
        <v>1</v>
      </c>
      <c r="G111" s="1574">
        <v>17.228571428571399</v>
      </c>
      <c r="H111" s="1575">
        <v>0</v>
      </c>
      <c r="I111" s="1593">
        <v>1.1000000000000001</v>
      </c>
      <c r="J111" s="1594">
        <f t="shared" si="24"/>
        <v>18.95142857142854</v>
      </c>
      <c r="K111" s="1577">
        <f t="shared" si="25"/>
        <v>17500</v>
      </c>
      <c r="L111" s="1577">
        <f t="shared" si="26"/>
        <v>331649.99999999948</v>
      </c>
      <c r="M111" s="1578">
        <v>1.3127500000000001</v>
      </c>
      <c r="N111" s="1620">
        <v>1.4</v>
      </c>
      <c r="O111" s="1615"/>
      <c r="P111" s="1615"/>
      <c r="Q111" s="1615"/>
      <c r="R111" s="1615"/>
      <c r="S111" s="1615"/>
      <c r="T111" s="1615"/>
      <c r="U111" s="1516"/>
      <c r="W111" s="1524"/>
    </row>
    <row r="112" spans="1:23" s="418" customFormat="1" hidden="1" outlineLevel="1">
      <c r="A112" s="893"/>
      <c r="B112" s="443" t="s">
        <v>2232</v>
      </c>
      <c r="C112" s="424" t="s">
        <v>2233</v>
      </c>
      <c r="D112" s="424" t="s">
        <v>2234</v>
      </c>
      <c r="E112" s="1572" t="s">
        <v>1080</v>
      </c>
      <c r="F112" s="1598">
        <v>1</v>
      </c>
      <c r="G112" s="1574">
        <f>320000/17500</f>
        <v>18.285714285714285</v>
      </c>
      <c r="H112" s="1575">
        <v>0</v>
      </c>
      <c r="I112" s="1593">
        <v>1.1000000000000001</v>
      </c>
      <c r="J112" s="1594">
        <f t="shared" si="24"/>
        <v>20.114285714285714</v>
      </c>
      <c r="K112" s="1577">
        <f t="shared" si="25"/>
        <v>17500</v>
      </c>
      <c r="L112" s="1577">
        <f t="shared" si="26"/>
        <v>352000</v>
      </c>
      <c r="M112" s="1578">
        <v>1.5615000000000001</v>
      </c>
      <c r="N112" s="1620">
        <v>1.4</v>
      </c>
      <c r="O112" s="1615"/>
      <c r="P112" s="1615"/>
      <c r="Q112" s="1615"/>
      <c r="R112" s="1615"/>
      <c r="S112" s="1615"/>
      <c r="T112" s="1615"/>
      <c r="U112" s="1516"/>
      <c r="W112" s="1524"/>
    </row>
    <row r="113" spans="1:23" s="418" customFormat="1" hidden="1" outlineLevel="1">
      <c r="A113" s="893"/>
      <c r="B113" s="443" t="s">
        <v>2235</v>
      </c>
      <c r="C113" s="424" t="s">
        <v>2236</v>
      </c>
      <c r="D113" s="424" t="s">
        <v>2237</v>
      </c>
      <c r="E113" s="1572" t="s">
        <v>1080</v>
      </c>
      <c r="F113" s="1598">
        <v>1</v>
      </c>
      <c r="G113" s="1574">
        <v>17.300003082804118</v>
      </c>
      <c r="H113" s="1575">
        <v>0</v>
      </c>
      <c r="I113" s="1593">
        <v>1.1000000000000001</v>
      </c>
      <c r="J113" s="1594">
        <f t="shared" si="24"/>
        <v>19.030003391084531</v>
      </c>
      <c r="K113" s="1577">
        <f t="shared" si="25"/>
        <v>17500</v>
      </c>
      <c r="L113" s="1577">
        <f t="shared" si="26"/>
        <v>333025.05934397929</v>
      </c>
      <c r="M113" s="1578">
        <v>1.8102499999999999</v>
      </c>
      <c r="N113" s="1620">
        <v>1.4</v>
      </c>
      <c r="O113" s="1615"/>
      <c r="P113" s="1615"/>
      <c r="Q113" s="1615"/>
      <c r="R113" s="1615"/>
      <c r="S113" s="1615"/>
      <c r="T113" s="1615"/>
      <c r="U113" s="1516"/>
      <c r="W113" s="1524"/>
    </row>
    <row r="114" spans="1:23" s="418" customFormat="1" hidden="1" outlineLevel="1">
      <c r="A114" s="893"/>
      <c r="B114" s="443" t="s">
        <v>2238</v>
      </c>
      <c r="C114" s="424" t="s">
        <v>2239</v>
      </c>
      <c r="D114" s="424" t="s">
        <v>2240</v>
      </c>
      <c r="E114" s="1572" t="s">
        <v>1080</v>
      </c>
      <c r="F114" s="1598">
        <v>1</v>
      </c>
      <c r="G114" s="1574">
        <v>18.487422159196004</v>
      </c>
      <c r="H114" s="1575">
        <v>0</v>
      </c>
      <c r="I114" s="1593">
        <v>1.1000000000000001</v>
      </c>
      <c r="J114" s="1594">
        <f t="shared" si="24"/>
        <v>20.336164375115608</v>
      </c>
      <c r="K114" s="1577">
        <f t="shared" si="25"/>
        <v>17500</v>
      </c>
      <c r="L114" s="1577">
        <f t="shared" si="26"/>
        <v>355882.87656452315</v>
      </c>
      <c r="M114" s="1578">
        <v>1.9345000000000001</v>
      </c>
      <c r="N114" s="1620">
        <v>1.4</v>
      </c>
      <c r="O114" s="1615"/>
      <c r="P114" s="1615"/>
      <c r="Q114" s="1615"/>
      <c r="R114" s="1615"/>
      <c r="S114" s="1615"/>
      <c r="T114" s="1615"/>
      <c r="U114" s="1516"/>
      <c r="W114" s="1524"/>
    </row>
    <row r="115" spans="1:23" s="418" customFormat="1" hidden="1" outlineLevel="1">
      <c r="A115" s="893"/>
      <c r="B115" s="461" t="s">
        <v>2241</v>
      </c>
      <c r="C115" s="1579" t="s">
        <v>2242</v>
      </c>
      <c r="D115" s="1579" t="s">
        <v>2243</v>
      </c>
      <c r="E115" s="1580" t="s">
        <v>1080</v>
      </c>
      <c r="F115" s="1599">
        <v>1</v>
      </c>
      <c r="G115" s="1582">
        <v>19.674841235587891</v>
      </c>
      <c r="H115" s="1583">
        <v>0</v>
      </c>
      <c r="I115" s="1595">
        <v>1.1000000000000001</v>
      </c>
      <c r="J115" s="1596">
        <f t="shared" si="24"/>
        <v>21.642325359146682</v>
      </c>
      <c r="K115" s="1585">
        <f t="shared" si="25"/>
        <v>17500</v>
      </c>
      <c r="L115" s="1585">
        <f t="shared" si="26"/>
        <v>378740.69378506695</v>
      </c>
      <c r="M115" s="1586">
        <v>2.0587499999999999</v>
      </c>
      <c r="N115" s="1621">
        <v>1.4</v>
      </c>
      <c r="O115" s="1616"/>
      <c r="P115" s="1616"/>
      <c r="Q115" s="1616"/>
      <c r="R115" s="1616"/>
      <c r="S115" s="1616"/>
      <c r="T115" s="1616"/>
      <c r="U115" s="1516"/>
      <c r="W115" s="1524"/>
    </row>
    <row r="116" spans="1:23" s="418" customFormat="1" hidden="1" outlineLevel="1">
      <c r="A116" s="893"/>
      <c r="B116" s="443" t="s">
        <v>2244</v>
      </c>
      <c r="C116" s="424" t="s">
        <v>2245</v>
      </c>
      <c r="D116" s="424" t="s">
        <v>2246</v>
      </c>
      <c r="E116" s="1542" t="s">
        <v>1080</v>
      </c>
      <c r="F116" s="1598">
        <v>1</v>
      </c>
      <c r="G116" s="1567">
        <v>0.51860986086277405</v>
      </c>
      <c r="H116" s="1575">
        <v>0</v>
      </c>
      <c r="I116" s="1593">
        <v>1.1000000000000001</v>
      </c>
      <c r="J116" s="1594">
        <f t="shared" si="24"/>
        <v>0.57047084694905148</v>
      </c>
      <c r="K116" s="1577">
        <f t="shared" si="25"/>
        <v>17500</v>
      </c>
      <c r="L116" s="1577">
        <f t="shared" si="26"/>
        <v>9983.2398216084002</v>
      </c>
      <c r="M116" s="1578">
        <v>5.4266666666666664E-2</v>
      </c>
      <c r="N116" s="1620">
        <v>0.45</v>
      </c>
      <c r="O116" s="1615"/>
      <c r="P116" s="1615"/>
      <c r="Q116" s="1615"/>
      <c r="R116" s="1615"/>
      <c r="S116" s="1615"/>
      <c r="T116" s="1615"/>
      <c r="U116" s="1516"/>
      <c r="W116" s="1524"/>
    </row>
    <row r="117" spans="1:23" s="418" customFormat="1" hidden="1" outlineLevel="1">
      <c r="A117" s="893"/>
      <c r="B117" s="443" t="s">
        <v>2247</v>
      </c>
      <c r="C117" s="424" t="s">
        <v>2248</v>
      </c>
      <c r="D117" s="424" t="s">
        <v>2249</v>
      </c>
      <c r="E117" s="1572" t="s">
        <v>1080</v>
      </c>
      <c r="F117" s="1598">
        <v>1</v>
      </c>
      <c r="G117" s="1574">
        <v>1.33</v>
      </c>
      <c r="H117" s="1575">
        <v>0</v>
      </c>
      <c r="I117" s="1593">
        <v>1.1000000000000001</v>
      </c>
      <c r="J117" s="1594">
        <f t="shared" si="24"/>
        <v>1.4630000000000003</v>
      </c>
      <c r="K117" s="1577">
        <f t="shared" si="25"/>
        <v>17500</v>
      </c>
      <c r="L117" s="1577">
        <f t="shared" si="26"/>
        <v>25602.500000000004</v>
      </c>
      <c r="M117" s="1578">
        <v>0.112</v>
      </c>
      <c r="N117" s="1620">
        <v>0.71</v>
      </c>
      <c r="O117" s="1615"/>
      <c r="P117" s="1615"/>
      <c r="Q117" s="1615"/>
      <c r="R117" s="1615"/>
      <c r="S117" s="1615"/>
      <c r="T117" s="1615"/>
      <c r="U117" s="1516"/>
      <c r="W117" s="1524"/>
    </row>
    <row r="118" spans="1:23" s="418" customFormat="1" hidden="1" outlineLevel="1">
      <c r="A118" s="893"/>
      <c r="B118" s="443" t="s">
        <v>2250</v>
      </c>
      <c r="C118" s="424" t="s">
        <v>2251</v>
      </c>
      <c r="D118" s="424" t="s">
        <v>2252</v>
      </c>
      <c r="E118" s="1572" t="s">
        <v>1080</v>
      </c>
      <c r="F118" s="1598">
        <v>1</v>
      </c>
      <c r="G118" s="1574">
        <v>1.371703968596502</v>
      </c>
      <c r="H118" s="1575">
        <v>0</v>
      </c>
      <c r="I118" s="1593">
        <v>1.1000000000000001</v>
      </c>
      <c r="J118" s="1594">
        <f t="shared" si="24"/>
        <v>1.5088743654561523</v>
      </c>
      <c r="K118" s="1577">
        <f t="shared" si="25"/>
        <v>17500</v>
      </c>
      <c r="L118" s="1577">
        <f t="shared" si="26"/>
        <v>26405.301395482664</v>
      </c>
      <c r="M118" s="1578">
        <v>0.14353333333333335</v>
      </c>
      <c r="N118" s="1620">
        <v>0.71</v>
      </c>
      <c r="O118" s="1615"/>
      <c r="P118" s="1615"/>
      <c r="Q118" s="1615"/>
      <c r="R118" s="1615"/>
      <c r="S118" s="1615"/>
      <c r="T118" s="1615"/>
      <c r="U118" s="1516"/>
      <c r="W118" s="1524"/>
    </row>
    <row r="119" spans="1:23" s="418" customFormat="1" hidden="1" outlineLevel="1">
      <c r="A119" s="893"/>
      <c r="B119" s="443" t="s">
        <v>2253</v>
      </c>
      <c r="C119" s="424" t="s">
        <v>2254</v>
      </c>
      <c r="D119" s="424" t="s">
        <v>2255</v>
      </c>
      <c r="E119" s="1572" t="s">
        <v>1080</v>
      </c>
      <c r="F119" s="1598">
        <v>1</v>
      </c>
      <c r="G119" s="1574">
        <v>1.8871282652033625</v>
      </c>
      <c r="H119" s="1575">
        <v>0</v>
      </c>
      <c r="I119" s="1593">
        <v>1.1000000000000001</v>
      </c>
      <c r="J119" s="1594">
        <f t="shared" si="24"/>
        <v>2.0758410917236989</v>
      </c>
      <c r="K119" s="1577">
        <f t="shared" si="25"/>
        <v>17500</v>
      </c>
      <c r="L119" s="1577">
        <f t="shared" si="26"/>
        <v>36327.219105164731</v>
      </c>
      <c r="M119" s="1578">
        <v>0.19746666666666668</v>
      </c>
      <c r="N119" s="1620">
        <v>0.81</v>
      </c>
      <c r="O119" s="1615"/>
      <c r="P119" s="1615"/>
      <c r="Q119" s="1615"/>
      <c r="R119" s="1615"/>
      <c r="S119" s="1615"/>
      <c r="T119" s="1615"/>
      <c r="U119" s="1516"/>
      <c r="W119" s="1524"/>
    </row>
    <row r="120" spans="1:23" s="418" customFormat="1" hidden="1" outlineLevel="1">
      <c r="A120" s="893"/>
      <c r="B120" s="443" t="s">
        <v>2256</v>
      </c>
      <c r="C120" s="424" t="s">
        <v>2257</v>
      </c>
      <c r="D120" s="424" t="s">
        <v>2258</v>
      </c>
      <c r="E120" s="1572" t="s">
        <v>1080</v>
      </c>
      <c r="F120" s="1598">
        <v>1</v>
      </c>
      <c r="G120" s="1574">
        <v>2.5745730316295705</v>
      </c>
      <c r="H120" s="1575">
        <v>0</v>
      </c>
      <c r="I120" s="1593">
        <v>1.1000000000000001</v>
      </c>
      <c r="J120" s="1594">
        <f t="shared" si="24"/>
        <v>2.832030334792528</v>
      </c>
      <c r="K120" s="1577">
        <f t="shared" si="25"/>
        <v>17500</v>
      </c>
      <c r="L120" s="1577">
        <f t="shared" si="26"/>
        <v>49560.530858869242</v>
      </c>
      <c r="M120" s="1578">
        <v>0.26940000000000003</v>
      </c>
      <c r="N120" s="1620">
        <v>0.81</v>
      </c>
      <c r="O120" s="1615"/>
      <c r="P120" s="1615"/>
      <c r="Q120" s="1615"/>
      <c r="R120" s="1615"/>
      <c r="S120" s="1615"/>
      <c r="T120" s="1615"/>
      <c r="U120" s="1516"/>
      <c r="W120" s="1524"/>
    </row>
    <row r="121" spans="1:23" s="418" customFormat="1" hidden="1" outlineLevel="1">
      <c r="A121" s="893"/>
      <c r="B121" s="443" t="s">
        <v>2259</v>
      </c>
      <c r="C121" s="424" t="s">
        <v>2260</v>
      </c>
      <c r="D121" s="424" t="s">
        <v>2261</v>
      </c>
      <c r="E121" s="1572" t="s">
        <v>1080</v>
      </c>
      <c r="F121" s="1598">
        <v>1</v>
      </c>
      <c r="G121" s="1574">
        <f>(530000/5.8)/17000</f>
        <v>5.3752535496957412</v>
      </c>
      <c r="H121" s="1575">
        <v>0</v>
      </c>
      <c r="I121" s="1593">
        <v>1.1000000000000001</v>
      </c>
      <c r="J121" s="1594">
        <f t="shared" si="24"/>
        <v>5.9127789046653154</v>
      </c>
      <c r="K121" s="1577">
        <f t="shared" si="25"/>
        <v>17500</v>
      </c>
      <c r="L121" s="1577">
        <f t="shared" si="26"/>
        <v>103473.63083164302</v>
      </c>
      <c r="M121" s="1578">
        <v>0.34133333333333332</v>
      </c>
      <c r="N121" s="1620">
        <v>0.81</v>
      </c>
      <c r="O121" s="1615"/>
      <c r="P121" s="1615"/>
      <c r="Q121" s="1615"/>
      <c r="R121" s="1615"/>
      <c r="S121" s="1615"/>
      <c r="T121" s="1615"/>
      <c r="U121" s="1516"/>
      <c r="W121" s="1524"/>
    </row>
    <row r="122" spans="1:23" s="418" customFormat="1" hidden="1" outlineLevel="1">
      <c r="A122" s="893"/>
      <c r="B122" s="461" t="s">
        <v>2262</v>
      </c>
      <c r="C122" s="1579" t="s">
        <v>2263</v>
      </c>
      <c r="D122" s="1579" t="s">
        <v>2264</v>
      </c>
      <c r="E122" s="1580" t="s">
        <v>1080</v>
      </c>
      <c r="F122" s="1599">
        <v>1</v>
      </c>
      <c r="G122" s="1582">
        <f>(850000/5.8)/17000</f>
        <v>8.6206896551724146</v>
      </c>
      <c r="H122" s="1583">
        <v>0</v>
      </c>
      <c r="I122" s="1595">
        <v>1.1000000000000001</v>
      </c>
      <c r="J122" s="1596">
        <f t="shared" si="24"/>
        <v>9.4827586206896566</v>
      </c>
      <c r="K122" s="1585">
        <f t="shared" si="25"/>
        <v>17500</v>
      </c>
      <c r="L122" s="1585">
        <f t="shared" si="26"/>
        <v>165948.27586206899</v>
      </c>
      <c r="M122" s="1586">
        <v>0.5991333333333333</v>
      </c>
      <c r="N122" s="1621">
        <v>1.2</v>
      </c>
      <c r="O122" s="1616"/>
      <c r="P122" s="1616"/>
      <c r="Q122" s="1616"/>
      <c r="R122" s="1616"/>
      <c r="S122" s="1616"/>
      <c r="T122" s="1616"/>
      <c r="U122" s="1516"/>
      <c r="W122" s="1524"/>
    </row>
    <row r="123" spans="1:23" s="418" customFormat="1" hidden="1" outlineLevel="1">
      <c r="A123" s="893"/>
      <c r="B123" s="1617" t="s">
        <v>2265</v>
      </c>
      <c r="C123" s="1564" t="s">
        <v>2266</v>
      </c>
      <c r="D123" s="1564" t="s">
        <v>2267</v>
      </c>
      <c r="E123" s="1542" t="s">
        <v>100</v>
      </c>
      <c r="F123" s="1598">
        <v>1</v>
      </c>
      <c r="G123" s="1567">
        <v>2.0340034856693005E-2</v>
      </c>
      <c r="H123" s="1575">
        <v>0</v>
      </c>
      <c r="I123" s="1593">
        <v>1.1000000000000001</v>
      </c>
      <c r="J123" s="1594">
        <f t="shared" si="24"/>
        <v>2.2374038342362308E-2</v>
      </c>
      <c r="K123" s="1577">
        <f t="shared" si="25"/>
        <v>17500</v>
      </c>
      <c r="L123" s="1577">
        <f t="shared" si="26"/>
        <v>391.54567099134039</v>
      </c>
      <c r="M123" s="1571">
        <v>1.0040283379934463E-2</v>
      </c>
      <c r="N123" s="1619"/>
      <c r="O123" s="1619"/>
      <c r="P123" s="1619"/>
      <c r="Q123" s="1619"/>
      <c r="R123" s="1619"/>
      <c r="S123" s="1619"/>
      <c r="T123" s="1619"/>
      <c r="U123" s="1516"/>
      <c r="W123" s="1524"/>
    </row>
    <row r="124" spans="1:23" s="418" customFormat="1" hidden="1" outlineLevel="1">
      <c r="A124" s="893"/>
      <c r="B124" s="443" t="s">
        <v>2268</v>
      </c>
      <c r="C124" s="424" t="s">
        <v>2269</v>
      </c>
      <c r="D124" s="424" t="s">
        <v>2270</v>
      </c>
      <c r="E124" s="1572" t="s">
        <v>100</v>
      </c>
      <c r="F124" s="1598">
        <v>1</v>
      </c>
      <c r="G124" s="1574">
        <v>3.8096112594449269E-2</v>
      </c>
      <c r="H124" s="1575">
        <v>0</v>
      </c>
      <c r="I124" s="1593">
        <v>1.1000000000000001</v>
      </c>
      <c r="J124" s="1594">
        <f t="shared" si="24"/>
        <v>4.1905723853894197E-2</v>
      </c>
      <c r="K124" s="1577">
        <f t="shared" si="25"/>
        <v>17500</v>
      </c>
      <c r="L124" s="1577">
        <f t="shared" si="26"/>
        <v>733.35016744314851</v>
      </c>
      <c r="M124" s="1578">
        <v>1.8805069352980906E-2</v>
      </c>
      <c r="N124" s="1615"/>
      <c r="O124" s="1615"/>
      <c r="P124" s="1615"/>
      <c r="Q124" s="1615"/>
      <c r="R124" s="1615"/>
      <c r="S124" s="1615"/>
      <c r="T124" s="1615"/>
      <c r="U124" s="1516"/>
      <c r="W124" s="1524"/>
    </row>
    <row r="125" spans="1:23" s="418" customFormat="1" hidden="1" outlineLevel="1">
      <c r="A125" s="893"/>
      <c r="B125" s="443" t="s">
        <v>2271</v>
      </c>
      <c r="C125" s="424" t="s">
        <v>2272</v>
      </c>
      <c r="D125" s="424" t="s">
        <v>2273</v>
      </c>
      <c r="E125" s="1572" t="s">
        <v>100</v>
      </c>
      <c r="F125" s="1598">
        <v>1</v>
      </c>
      <c r="G125" s="1574">
        <v>6.6314619052926321E-2</v>
      </c>
      <c r="H125" s="1575">
        <v>0</v>
      </c>
      <c r="I125" s="1593">
        <v>1.1000000000000001</v>
      </c>
      <c r="J125" s="1594">
        <f t="shared" si="24"/>
        <v>7.2946080958218959E-2</v>
      </c>
      <c r="K125" s="1577">
        <f t="shared" si="25"/>
        <v>17500</v>
      </c>
      <c r="L125" s="1577">
        <f t="shared" si="26"/>
        <v>1276.5564167688317</v>
      </c>
      <c r="M125" s="1578">
        <v>3.273433758667775E-2</v>
      </c>
      <c r="N125" s="1615"/>
      <c r="O125" s="1615"/>
      <c r="P125" s="1615"/>
      <c r="Q125" s="1615"/>
      <c r="R125" s="1615"/>
      <c r="S125" s="1615"/>
      <c r="T125" s="1615"/>
      <c r="U125" s="1516"/>
      <c r="W125" s="1524"/>
    </row>
    <row r="126" spans="1:23" s="418" customFormat="1" hidden="1" outlineLevel="1">
      <c r="A126" s="893"/>
      <c r="B126" s="423" t="s">
        <v>2274</v>
      </c>
      <c r="C126" s="504" t="s">
        <v>2275</v>
      </c>
      <c r="D126" s="504" t="s">
        <v>2276</v>
      </c>
      <c r="E126" s="1572" t="s">
        <v>100</v>
      </c>
      <c r="F126" s="1598">
        <v>1</v>
      </c>
      <c r="G126" s="1574">
        <v>9.1562219465803563E-2</v>
      </c>
      <c r="H126" s="1575">
        <v>0</v>
      </c>
      <c r="I126" s="1593">
        <v>1.1000000000000001</v>
      </c>
      <c r="J126" s="1594">
        <f t="shared" si="24"/>
        <v>0.10071844141238392</v>
      </c>
      <c r="K126" s="1577">
        <f t="shared" si="25"/>
        <v>17500</v>
      </c>
      <c r="L126" s="1577">
        <f t="shared" si="26"/>
        <v>1762.5727247167188</v>
      </c>
      <c r="M126" s="1578">
        <v>4.5197102011352498E-2</v>
      </c>
      <c r="N126" s="1615"/>
      <c r="O126" s="1615"/>
      <c r="P126" s="1615"/>
      <c r="Q126" s="1615"/>
      <c r="R126" s="1615"/>
      <c r="S126" s="1615"/>
      <c r="T126" s="1615"/>
      <c r="U126" s="1516"/>
      <c r="W126" s="1524"/>
    </row>
    <row r="127" spans="1:23" s="418" customFormat="1" hidden="1" outlineLevel="1">
      <c r="A127" s="893"/>
      <c r="B127" s="443" t="s">
        <v>2277</v>
      </c>
      <c r="C127" s="424" t="s">
        <v>2278</v>
      </c>
      <c r="D127" s="424" t="s">
        <v>2279</v>
      </c>
      <c r="E127" s="1572" t="s">
        <v>100</v>
      </c>
      <c r="F127" s="1598">
        <v>1</v>
      </c>
      <c r="G127" s="1574">
        <v>0.15574420833622823</v>
      </c>
      <c r="H127" s="1575">
        <v>0</v>
      </c>
      <c r="I127" s="1593">
        <v>1.1000000000000001</v>
      </c>
      <c r="J127" s="1594">
        <f t="shared" si="24"/>
        <v>0.17131862916985108</v>
      </c>
      <c r="K127" s="1577">
        <f t="shared" si="25"/>
        <v>17500</v>
      </c>
      <c r="L127" s="1577">
        <f t="shared" si="26"/>
        <v>2998.076010472394</v>
      </c>
      <c r="M127" s="1578">
        <v>7.6878726978421727E-2</v>
      </c>
      <c r="N127" s="1615"/>
      <c r="O127" s="1615"/>
      <c r="P127" s="1615"/>
      <c r="Q127" s="1615"/>
      <c r="R127" s="1615"/>
      <c r="S127" s="1615"/>
      <c r="T127" s="1615"/>
      <c r="U127" s="1516"/>
      <c r="W127" s="1524"/>
    </row>
    <row r="128" spans="1:23" s="418" customFormat="1" hidden="1" outlineLevel="1">
      <c r="A128" s="893"/>
      <c r="B128" s="443" t="s">
        <v>2280</v>
      </c>
      <c r="C128" s="504" t="s">
        <v>2281</v>
      </c>
      <c r="D128" s="504" t="s">
        <v>2282</v>
      </c>
      <c r="E128" s="1572" t="s">
        <v>100</v>
      </c>
      <c r="F128" s="1598">
        <v>1</v>
      </c>
      <c r="G128" s="1574">
        <v>0.28794915679361344</v>
      </c>
      <c r="H128" s="1575">
        <v>0</v>
      </c>
      <c r="I128" s="1593">
        <v>1.1000000000000001</v>
      </c>
      <c r="J128" s="1594">
        <f t="shared" si="24"/>
        <v>0.31674407247297481</v>
      </c>
      <c r="K128" s="1577">
        <f t="shared" si="25"/>
        <v>17500</v>
      </c>
      <c r="L128" s="1577">
        <f t="shared" si="26"/>
        <v>5543.0212682770589</v>
      </c>
      <c r="M128" s="1578">
        <v>0.14213796355760569</v>
      </c>
      <c r="N128" s="1615"/>
      <c r="O128" s="1615"/>
      <c r="P128" s="1615"/>
      <c r="Q128" s="1615"/>
      <c r="R128" s="1615"/>
      <c r="S128" s="1615"/>
      <c r="T128" s="1615"/>
      <c r="U128" s="1516"/>
      <c r="W128" s="1524"/>
    </row>
    <row r="129" spans="1:23" s="418" customFormat="1" hidden="1" outlineLevel="1">
      <c r="A129" s="893"/>
      <c r="B129" s="443" t="s">
        <v>2283</v>
      </c>
      <c r="C129" s="504" t="s">
        <v>2284</v>
      </c>
      <c r="D129" s="504" t="s">
        <v>2285</v>
      </c>
      <c r="E129" s="1572" t="s">
        <v>100</v>
      </c>
      <c r="F129" s="1598">
        <v>1</v>
      </c>
      <c r="G129" s="1574">
        <v>0.47758878029617918</v>
      </c>
      <c r="H129" s="1575">
        <v>0</v>
      </c>
      <c r="I129" s="1593">
        <v>1.1000000000000001</v>
      </c>
      <c r="J129" s="1594">
        <f t="shared" si="24"/>
        <v>0.52534765832579711</v>
      </c>
      <c r="K129" s="1577">
        <f t="shared" si="25"/>
        <v>17500</v>
      </c>
      <c r="L129" s="1577">
        <f t="shared" si="26"/>
        <v>9193.5840207014498</v>
      </c>
      <c r="M129" s="1578">
        <v>0.23574820431898305</v>
      </c>
      <c r="N129" s="1615"/>
      <c r="O129" s="1615"/>
      <c r="P129" s="1615"/>
      <c r="Q129" s="1615"/>
      <c r="R129" s="1615"/>
      <c r="S129" s="1615"/>
      <c r="T129" s="1615"/>
      <c r="U129" s="1516"/>
      <c r="W129" s="1524"/>
    </row>
    <row r="130" spans="1:23" s="418" customFormat="1" hidden="1" outlineLevel="1">
      <c r="A130" s="893"/>
      <c r="B130" s="443" t="s">
        <v>2286</v>
      </c>
      <c r="C130" s="504" t="s">
        <v>2287</v>
      </c>
      <c r="D130" s="504" t="s">
        <v>2288</v>
      </c>
      <c r="E130" s="1572" t="s">
        <v>100</v>
      </c>
      <c r="F130" s="1598">
        <v>1</v>
      </c>
      <c r="G130" s="1574">
        <v>0.65994280505696101</v>
      </c>
      <c r="H130" s="1575">
        <v>0</v>
      </c>
      <c r="I130" s="1593">
        <v>1.1000000000000001</v>
      </c>
      <c r="J130" s="1594">
        <f t="shared" si="24"/>
        <v>0.72593708556265713</v>
      </c>
      <c r="K130" s="1577">
        <f t="shared" si="25"/>
        <v>17500</v>
      </c>
      <c r="L130" s="1577">
        <f t="shared" si="26"/>
        <v>12703.8989973465</v>
      </c>
      <c r="M130" s="1578">
        <v>0.32576211515883452</v>
      </c>
      <c r="N130" s="1615"/>
      <c r="O130" s="1615"/>
      <c r="P130" s="1615"/>
      <c r="Q130" s="1615"/>
      <c r="R130" s="1615"/>
      <c r="S130" s="1615"/>
      <c r="T130" s="1615"/>
      <c r="U130" s="1516"/>
      <c r="W130" s="1524"/>
    </row>
    <row r="131" spans="1:23" s="418" customFormat="1" hidden="1" outlineLevel="1">
      <c r="A131" s="893"/>
      <c r="B131" s="423" t="s">
        <v>2289</v>
      </c>
      <c r="C131" s="504" t="s">
        <v>2290</v>
      </c>
      <c r="D131" s="504" t="s">
        <v>2291</v>
      </c>
      <c r="E131" s="1572" t="s">
        <v>100</v>
      </c>
      <c r="F131" s="1598">
        <v>1</v>
      </c>
      <c r="G131" s="1574">
        <v>0.88302516161397449</v>
      </c>
      <c r="H131" s="1575">
        <v>0</v>
      </c>
      <c r="I131" s="1593">
        <v>1.1000000000000001</v>
      </c>
      <c r="J131" s="1594">
        <f t="shared" si="24"/>
        <v>0.97132767777537199</v>
      </c>
      <c r="K131" s="1577">
        <f t="shared" si="25"/>
        <v>17500</v>
      </c>
      <c r="L131" s="1577">
        <f t="shared" si="26"/>
        <v>16998.234361069011</v>
      </c>
      <c r="M131" s="1578">
        <v>0.43588041597182325</v>
      </c>
      <c r="N131" s="1615"/>
      <c r="O131" s="1615"/>
      <c r="P131" s="1615"/>
      <c r="Q131" s="1615"/>
      <c r="R131" s="1615"/>
      <c r="S131" s="1615"/>
      <c r="T131" s="1615"/>
      <c r="U131" s="1516"/>
      <c r="W131" s="1524"/>
    </row>
    <row r="132" spans="1:23" s="418" customFormat="1" hidden="1" outlineLevel="1">
      <c r="A132" s="893"/>
      <c r="B132" s="1533" t="s">
        <v>2292</v>
      </c>
      <c r="C132" s="843" t="s">
        <v>2293</v>
      </c>
      <c r="D132" s="843" t="s">
        <v>2294</v>
      </c>
      <c r="E132" s="1580" t="s">
        <v>100</v>
      </c>
      <c r="F132" s="1599">
        <v>1</v>
      </c>
      <c r="G132" s="1582">
        <v>1.4886224009539819</v>
      </c>
      <c r="H132" s="1583">
        <v>0</v>
      </c>
      <c r="I132" s="1595">
        <v>1.1000000000000001</v>
      </c>
      <c r="J132" s="1596">
        <f t="shared" si="24"/>
        <v>1.6374846410493802</v>
      </c>
      <c r="K132" s="1585">
        <f t="shared" si="25"/>
        <v>17500</v>
      </c>
      <c r="L132" s="1585">
        <f t="shared" si="26"/>
        <v>28655.981218364152</v>
      </c>
      <c r="M132" s="1586">
        <v>0.73481637846742787</v>
      </c>
      <c r="N132" s="1616"/>
      <c r="O132" s="1616"/>
      <c r="P132" s="1616"/>
      <c r="Q132" s="1616"/>
      <c r="R132" s="1616"/>
      <c r="S132" s="1616"/>
      <c r="T132" s="1616"/>
      <c r="U132" s="1516"/>
      <c r="W132" s="1524"/>
    </row>
    <row r="133" spans="1:23" s="418" customFormat="1" hidden="1" outlineLevel="1">
      <c r="A133" s="893"/>
      <c r="B133" s="443" t="s">
        <v>2295</v>
      </c>
      <c r="C133" s="424" t="s">
        <v>2296</v>
      </c>
      <c r="D133" s="424" t="s">
        <v>2297</v>
      </c>
      <c r="E133" s="1542" t="s">
        <v>100</v>
      </c>
      <c r="F133" s="1598">
        <v>1</v>
      </c>
      <c r="G133" s="1567">
        <v>9.6467175432106381E-2</v>
      </c>
      <c r="H133" s="1575">
        <v>0</v>
      </c>
      <c r="I133" s="1593">
        <v>1.1000000000000001</v>
      </c>
      <c r="J133" s="1594">
        <f t="shared" si="24"/>
        <v>0.10611389297531702</v>
      </c>
      <c r="K133" s="1577">
        <f t="shared" si="25"/>
        <v>17500</v>
      </c>
      <c r="L133" s="1577">
        <f t="shared" si="26"/>
        <v>1856.9931270680479</v>
      </c>
      <c r="M133" s="1571">
        <v>9.5604333999999985E-3</v>
      </c>
      <c r="N133" s="1619"/>
      <c r="O133" s="1619"/>
      <c r="P133" s="1619"/>
      <c r="Q133" s="1619"/>
      <c r="R133" s="1619"/>
      <c r="S133" s="1619"/>
      <c r="T133" s="1619"/>
      <c r="U133" s="1516"/>
      <c r="W133" s="1524"/>
    </row>
    <row r="134" spans="1:23" s="418" customFormat="1" hidden="1" outlineLevel="1">
      <c r="A134" s="893"/>
      <c r="B134" s="443" t="s">
        <v>2298</v>
      </c>
      <c r="C134" s="424" t="s">
        <v>2299</v>
      </c>
      <c r="D134" s="424" t="s">
        <v>2300</v>
      </c>
      <c r="E134" s="1572" t="s">
        <v>100</v>
      </c>
      <c r="F134" s="1598">
        <v>1</v>
      </c>
      <c r="G134" s="1574">
        <v>0.11672279794659556</v>
      </c>
      <c r="H134" s="1575">
        <v>0</v>
      </c>
      <c r="I134" s="1593">
        <v>1.1000000000000001</v>
      </c>
      <c r="J134" s="1594">
        <f t="shared" si="24"/>
        <v>0.12839507774125511</v>
      </c>
      <c r="K134" s="1577">
        <f t="shared" si="25"/>
        <v>17500</v>
      </c>
      <c r="L134" s="1577">
        <f t="shared" si="26"/>
        <v>2246.9138604719642</v>
      </c>
      <c r="M134" s="1578">
        <v>1.1877689687499998E-2</v>
      </c>
      <c r="N134" s="1615"/>
      <c r="O134" s="1615"/>
      <c r="P134" s="1615"/>
      <c r="Q134" s="1615"/>
      <c r="R134" s="1615"/>
      <c r="S134" s="1615"/>
      <c r="T134" s="1615"/>
      <c r="U134" s="1516"/>
      <c r="W134" s="1524"/>
    </row>
    <row r="135" spans="1:23" s="418" customFormat="1" hidden="1" outlineLevel="1">
      <c r="A135" s="893"/>
      <c r="B135" s="443" t="s">
        <v>2301</v>
      </c>
      <c r="C135" s="424" t="s">
        <v>2302</v>
      </c>
      <c r="D135" s="424" t="s">
        <v>2303</v>
      </c>
      <c r="E135" s="1572" t="s">
        <v>100</v>
      </c>
      <c r="F135" s="1598">
        <v>1</v>
      </c>
      <c r="G135" s="1574">
        <v>0.13917429247076474</v>
      </c>
      <c r="H135" s="1575">
        <v>0</v>
      </c>
      <c r="I135" s="1593">
        <v>1.1000000000000001</v>
      </c>
      <c r="J135" s="1594">
        <f t="shared" si="24"/>
        <v>0.15309172171784122</v>
      </c>
      <c r="K135" s="1577">
        <f t="shared" si="25"/>
        <v>17500</v>
      </c>
      <c r="L135" s="1577">
        <f t="shared" si="26"/>
        <v>2679.1051300622212</v>
      </c>
      <c r="M135" s="1578">
        <v>1.4446155149999997E-2</v>
      </c>
      <c r="N135" s="1615"/>
      <c r="O135" s="1615"/>
      <c r="P135" s="1615"/>
      <c r="Q135" s="1615"/>
      <c r="R135" s="1615"/>
      <c r="S135" s="1615"/>
      <c r="T135" s="1615"/>
      <c r="U135" s="1516"/>
      <c r="W135" s="1524"/>
    </row>
    <row r="136" spans="1:23" s="418" customFormat="1" hidden="1" outlineLevel="1">
      <c r="A136" s="893"/>
      <c r="B136" s="443" t="s">
        <v>2304</v>
      </c>
      <c r="C136" s="424" t="s">
        <v>2305</v>
      </c>
      <c r="D136" s="424" t="s">
        <v>2306</v>
      </c>
      <c r="E136" s="1572" t="s">
        <v>100</v>
      </c>
      <c r="F136" s="1598">
        <v>1</v>
      </c>
      <c r="G136" s="1574">
        <v>0.16382165900461387</v>
      </c>
      <c r="H136" s="1575">
        <v>0</v>
      </c>
      <c r="I136" s="1593">
        <v>1.1000000000000001</v>
      </c>
      <c r="J136" s="1594">
        <f t="shared" si="24"/>
        <v>0.18020382490507528</v>
      </c>
      <c r="K136" s="1577">
        <f t="shared" si="25"/>
        <v>17500</v>
      </c>
      <c r="L136" s="1577">
        <f t="shared" si="26"/>
        <v>3153.5669358388172</v>
      </c>
      <c r="M136" s="1578">
        <v>1.7265829787499996E-2</v>
      </c>
      <c r="N136" s="1615"/>
      <c r="O136" s="1615"/>
      <c r="P136" s="1615"/>
      <c r="Q136" s="1615"/>
      <c r="R136" s="1615"/>
      <c r="S136" s="1615"/>
      <c r="T136" s="1615"/>
      <c r="U136" s="1516"/>
      <c r="W136" s="1524"/>
    </row>
    <row r="137" spans="1:23" s="418" customFormat="1" hidden="1" outlineLevel="1">
      <c r="A137" s="893"/>
      <c r="B137" s="443" t="s">
        <v>2307</v>
      </c>
      <c r="C137" s="424" t="s">
        <v>2308</v>
      </c>
      <c r="D137" s="424" t="s">
        <v>2309</v>
      </c>
      <c r="E137" s="1572" t="s">
        <v>100</v>
      </c>
      <c r="F137" s="1598">
        <v>1</v>
      </c>
      <c r="G137" s="1574">
        <v>0.19066489754814309</v>
      </c>
      <c r="H137" s="1575">
        <v>0</v>
      </c>
      <c r="I137" s="1593">
        <v>1.1000000000000001</v>
      </c>
      <c r="J137" s="1594">
        <f t="shared" si="24"/>
        <v>0.2097313873029574</v>
      </c>
      <c r="K137" s="1577">
        <f t="shared" si="25"/>
        <v>17500</v>
      </c>
      <c r="L137" s="1577">
        <f t="shared" si="26"/>
        <v>3670.2992778017547</v>
      </c>
      <c r="M137" s="1578">
        <v>2.0336713599999997E-2</v>
      </c>
      <c r="N137" s="1615"/>
      <c r="O137" s="1615"/>
      <c r="P137" s="1615"/>
      <c r="Q137" s="1615"/>
      <c r="R137" s="1615"/>
      <c r="S137" s="1615"/>
      <c r="T137" s="1615"/>
      <c r="U137" s="1516"/>
      <c r="W137" s="1524"/>
    </row>
    <row r="138" spans="1:23" s="418" customFormat="1" hidden="1" outlineLevel="1">
      <c r="A138" s="893"/>
      <c r="B138" s="443" t="s">
        <v>2310</v>
      </c>
      <c r="C138" s="424" t="s">
        <v>2311</v>
      </c>
      <c r="D138" s="424" t="s">
        <v>2312</v>
      </c>
      <c r="E138" s="1572" t="s">
        <v>100</v>
      </c>
      <c r="F138" s="1598">
        <v>1</v>
      </c>
      <c r="G138" s="1574">
        <v>0.23260143293231192</v>
      </c>
      <c r="H138" s="1575">
        <v>0</v>
      </c>
      <c r="I138" s="1593">
        <v>1.1000000000000001</v>
      </c>
      <c r="J138" s="1594">
        <f t="shared" si="24"/>
        <v>0.25586157622554312</v>
      </c>
      <c r="K138" s="1577">
        <f t="shared" si="25"/>
        <v>17500</v>
      </c>
      <c r="L138" s="1577">
        <f t="shared" si="26"/>
        <v>4477.5775839470043</v>
      </c>
      <c r="M138" s="1578">
        <v>2.3658806587500004E-2</v>
      </c>
      <c r="N138" s="1615"/>
      <c r="O138" s="1615"/>
      <c r="P138" s="1615"/>
      <c r="Q138" s="1615"/>
      <c r="R138" s="1615"/>
      <c r="S138" s="1615"/>
      <c r="T138" s="1615"/>
      <c r="U138" s="1516"/>
      <c r="W138" s="1524"/>
    </row>
    <row r="139" spans="1:23" s="418" customFormat="1" hidden="1" outlineLevel="1">
      <c r="A139" s="893"/>
      <c r="B139" s="443" t="s">
        <v>2313</v>
      </c>
      <c r="C139" s="424" t="s">
        <v>2314</v>
      </c>
      <c r="D139" s="424" t="s">
        <v>2315</v>
      </c>
      <c r="E139" s="1572" t="s">
        <v>100</v>
      </c>
      <c r="F139" s="1598">
        <v>1</v>
      </c>
      <c r="G139" s="1574">
        <v>0.26493435150004108</v>
      </c>
      <c r="H139" s="1575">
        <v>0</v>
      </c>
      <c r="I139" s="1593">
        <v>1.1000000000000001</v>
      </c>
      <c r="J139" s="1594">
        <f t="shared" si="24"/>
        <v>0.29142778665004521</v>
      </c>
      <c r="K139" s="1577">
        <f t="shared" si="25"/>
        <v>17500</v>
      </c>
      <c r="L139" s="1577">
        <f t="shared" si="26"/>
        <v>5099.9862663757913</v>
      </c>
      <c r="M139" s="1578">
        <v>2.7357713337499999E-2</v>
      </c>
      <c r="N139" s="1615"/>
      <c r="O139" s="1615"/>
      <c r="P139" s="1615"/>
      <c r="Q139" s="1615"/>
      <c r="R139" s="1615"/>
      <c r="S139" s="1615"/>
      <c r="T139" s="1615"/>
      <c r="U139" s="1516"/>
      <c r="W139" s="1524"/>
    </row>
    <row r="140" spans="1:23" s="418" customFormat="1" hidden="1" outlineLevel="1">
      <c r="A140" s="893"/>
      <c r="B140" s="443" t="s">
        <v>2316</v>
      </c>
      <c r="C140" s="424" t="s">
        <v>2317</v>
      </c>
      <c r="D140" s="424" t="s">
        <v>2318</v>
      </c>
      <c r="E140" s="1572" t="s">
        <v>100</v>
      </c>
      <c r="F140" s="1598">
        <v>1</v>
      </c>
      <c r="G140" s="1574">
        <v>0.29726727006777026</v>
      </c>
      <c r="H140" s="1575">
        <v>0</v>
      </c>
      <c r="I140" s="1593">
        <v>1.1000000000000001</v>
      </c>
      <c r="J140" s="1594">
        <f t="shared" si="24"/>
        <v>0.32699399707454729</v>
      </c>
      <c r="K140" s="1577">
        <f t="shared" si="25"/>
        <v>17500</v>
      </c>
      <c r="L140" s="1577">
        <f t="shared" si="26"/>
        <v>5722.3949488045773</v>
      </c>
      <c r="M140" s="1578">
        <v>3.1056620087499993E-2</v>
      </c>
      <c r="N140" s="1615"/>
      <c r="O140" s="1615"/>
      <c r="P140" s="1615"/>
      <c r="Q140" s="1615"/>
      <c r="R140" s="1615"/>
      <c r="S140" s="1615"/>
      <c r="T140" s="1615"/>
      <c r="U140" s="1516"/>
      <c r="W140" s="1524"/>
    </row>
    <row r="141" spans="1:23" s="418" customFormat="1" hidden="1" outlineLevel="1">
      <c r="A141" s="893"/>
      <c r="B141" s="443" t="s">
        <v>2319</v>
      </c>
      <c r="C141" s="424" t="s">
        <v>2320</v>
      </c>
      <c r="D141" s="424" t="s">
        <v>2321</v>
      </c>
      <c r="E141" s="1572" t="s">
        <v>100</v>
      </c>
      <c r="F141" s="1598">
        <v>1</v>
      </c>
      <c r="G141" s="1574">
        <v>0.33290988264631755</v>
      </c>
      <c r="H141" s="1575">
        <v>0</v>
      </c>
      <c r="I141" s="1593">
        <v>1.1000000000000001</v>
      </c>
      <c r="J141" s="1594">
        <f t="shared" si="24"/>
        <v>0.36620087091094933</v>
      </c>
      <c r="K141" s="1577">
        <f t="shared" si="25"/>
        <v>17500</v>
      </c>
      <c r="L141" s="1577">
        <f t="shared" si="26"/>
        <v>6408.5152409416132</v>
      </c>
      <c r="M141" s="1578">
        <v>3.5257945187499994E-2</v>
      </c>
      <c r="N141" s="1615"/>
      <c r="O141" s="1615"/>
      <c r="P141" s="1615"/>
      <c r="Q141" s="1615"/>
      <c r="R141" s="1615"/>
      <c r="S141" s="1615"/>
      <c r="T141" s="1615"/>
      <c r="U141" s="1516"/>
      <c r="W141" s="1524"/>
    </row>
    <row r="142" spans="1:23" s="418" customFormat="1" hidden="1" outlineLevel="1">
      <c r="A142" s="893"/>
      <c r="B142" s="443" t="s">
        <v>2322</v>
      </c>
      <c r="C142" s="424" t="s">
        <v>2323</v>
      </c>
      <c r="D142" s="424" t="s">
        <v>2324</v>
      </c>
      <c r="E142" s="1572" t="s">
        <v>100</v>
      </c>
      <c r="F142" s="1598">
        <v>1</v>
      </c>
      <c r="G142" s="1574">
        <v>0.36855249522486483</v>
      </c>
      <c r="H142" s="1575">
        <v>0</v>
      </c>
      <c r="I142" s="1593">
        <v>1.1000000000000001</v>
      </c>
      <c r="J142" s="1594">
        <f t="shared" si="24"/>
        <v>0.40540774474735136</v>
      </c>
      <c r="K142" s="1577">
        <f t="shared" si="25"/>
        <v>17500</v>
      </c>
      <c r="L142" s="1577">
        <f t="shared" si="26"/>
        <v>7094.6355330786491</v>
      </c>
      <c r="M142" s="1578">
        <v>3.9459270287499994E-2</v>
      </c>
      <c r="N142" s="1615"/>
      <c r="O142" s="1615"/>
      <c r="P142" s="1615"/>
      <c r="Q142" s="1615"/>
      <c r="R142" s="1615"/>
      <c r="S142" s="1615"/>
      <c r="T142" s="1615"/>
      <c r="U142" s="1516"/>
      <c r="W142" s="1524"/>
    </row>
    <row r="143" spans="1:23" s="418" customFormat="1" hidden="1" outlineLevel="1">
      <c r="A143" s="893"/>
      <c r="B143" s="461" t="s">
        <v>2325</v>
      </c>
      <c r="C143" s="1579" t="s">
        <v>2326</v>
      </c>
      <c r="D143" s="1579" t="s">
        <v>2327</v>
      </c>
      <c r="E143" s="1580" t="s">
        <v>100</v>
      </c>
      <c r="F143" s="1599">
        <v>1</v>
      </c>
      <c r="G143" s="1582">
        <v>0.56650946377512468</v>
      </c>
      <c r="H143" s="1583">
        <v>0</v>
      </c>
      <c r="I143" s="1595">
        <v>1.1000000000000001</v>
      </c>
      <c r="J143" s="1596">
        <f t="shared" si="24"/>
        <v>0.62316041015263723</v>
      </c>
      <c r="K143" s="1585">
        <f t="shared" si="25"/>
        <v>17500</v>
      </c>
      <c r="L143" s="1585">
        <f t="shared" si="26"/>
        <v>10905.307177671151</v>
      </c>
      <c r="M143" s="1586">
        <v>5.927908078749998E-2</v>
      </c>
      <c r="N143" s="1616"/>
      <c r="O143" s="1616"/>
      <c r="P143" s="1616"/>
      <c r="Q143" s="1616"/>
      <c r="R143" s="1616"/>
      <c r="S143" s="1616"/>
      <c r="T143" s="1616"/>
      <c r="U143" s="1516"/>
      <c r="W143" s="1524"/>
    </row>
    <row r="144" spans="1:23" s="418" customFormat="1" hidden="1" outlineLevel="1">
      <c r="A144" s="893"/>
      <c r="B144" s="443" t="s">
        <v>2328</v>
      </c>
      <c r="C144" s="424" t="s">
        <v>2329</v>
      </c>
      <c r="D144" s="424" t="s">
        <v>2330</v>
      </c>
      <c r="E144" s="1542" t="s">
        <v>100</v>
      </c>
      <c r="F144" s="1598">
        <v>1</v>
      </c>
      <c r="G144" s="1567">
        <v>0.45512820512820512</v>
      </c>
      <c r="H144" s="1575">
        <v>0</v>
      </c>
      <c r="I144" s="1593">
        <v>1.1000000000000001</v>
      </c>
      <c r="J144" s="1594">
        <f t="shared" si="24"/>
        <v>0.50064102564102564</v>
      </c>
      <c r="K144" s="1577">
        <f t="shared" si="25"/>
        <v>17500</v>
      </c>
      <c r="L144" s="1577">
        <f t="shared" si="26"/>
        <v>8761.2179487179492</v>
      </c>
      <c r="M144" s="1571">
        <v>0</v>
      </c>
      <c r="N144" s="1619"/>
      <c r="O144" s="1619"/>
      <c r="P144" s="1619"/>
      <c r="Q144" s="1619"/>
      <c r="R144" s="1619"/>
      <c r="S144" s="1619"/>
      <c r="T144" s="1619"/>
      <c r="U144" s="1516"/>
      <c r="W144" s="1524"/>
    </row>
    <row r="145" spans="1:27" s="418" customFormat="1" hidden="1" outlineLevel="1">
      <c r="A145" s="893"/>
      <c r="B145" s="443" t="s">
        <v>2331</v>
      </c>
      <c r="C145" s="424" t="s">
        <v>2332</v>
      </c>
      <c r="D145" s="424" t="s">
        <v>2333</v>
      </c>
      <c r="E145" s="1572" t="s">
        <v>100</v>
      </c>
      <c r="F145" s="1598">
        <v>1</v>
      </c>
      <c r="G145" s="1574">
        <v>1.5897435897435899</v>
      </c>
      <c r="H145" s="1575">
        <v>0</v>
      </c>
      <c r="I145" s="1593">
        <v>1.1000000000000001</v>
      </c>
      <c r="J145" s="1594">
        <f t="shared" si="24"/>
        <v>1.7487179487179489</v>
      </c>
      <c r="K145" s="1577">
        <f t="shared" si="25"/>
        <v>17500</v>
      </c>
      <c r="L145" s="1577">
        <f t="shared" si="26"/>
        <v>30602.564102564105</v>
      </c>
      <c r="M145" s="1578">
        <v>0.03</v>
      </c>
      <c r="N145" s="1615"/>
      <c r="O145" s="1615"/>
      <c r="P145" s="1615"/>
      <c r="Q145" s="1615"/>
      <c r="R145" s="1615"/>
      <c r="S145" s="1615"/>
      <c r="T145" s="1615"/>
      <c r="U145" s="1516"/>
      <c r="W145" s="1524"/>
    </row>
    <row r="146" spans="1:27" s="418" customFormat="1" hidden="1" outlineLevel="1">
      <c r="A146" s="893"/>
      <c r="B146" s="461" t="s">
        <v>2334</v>
      </c>
      <c r="C146" s="1579" t="s">
        <v>2335</v>
      </c>
      <c r="D146" s="843" t="s">
        <v>2336</v>
      </c>
      <c r="E146" s="1580" t="s">
        <v>100</v>
      </c>
      <c r="F146" s="1598">
        <v>1</v>
      </c>
      <c r="G146" s="1582">
        <v>1.3183760683760684</v>
      </c>
      <c r="H146" s="1575">
        <v>0</v>
      </c>
      <c r="I146" s="1593">
        <v>1.1000000000000001</v>
      </c>
      <c r="J146" s="1594">
        <f t="shared" si="24"/>
        <v>1.4502136752136754</v>
      </c>
      <c r="K146" s="1577">
        <f t="shared" si="25"/>
        <v>17500</v>
      </c>
      <c r="L146" s="1577">
        <f t="shared" si="26"/>
        <v>25378.73931623932</v>
      </c>
      <c r="M146" s="1586">
        <v>0.02</v>
      </c>
      <c r="N146" s="1616"/>
      <c r="O146" s="1616"/>
      <c r="P146" s="1616"/>
      <c r="Q146" s="1616"/>
      <c r="R146" s="1616"/>
      <c r="S146" s="1616"/>
      <c r="T146" s="1616"/>
      <c r="U146" s="1516"/>
      <c r="W146" s="1524"/>
    </row>
    <row r="147" spans="1:27" ht="16.5" collapsed="1">
      <c r="B147" s="2252" t="s">
        <v>79</v>
      </c>
      <c r="C147" s="2252"/>
      <c r="D147" s="1496"/>
      <c r="E147" s="1497" t="s">
        <v>1085</v>
      </c>
      <c r="F147" s="1534" t="s">
        <v>1975</v>
      </c>
      <c r="G147" s="1497" t="s">
        <v>1079</v>
      </c>
      <c r="H147" s="1536" t="s">
        <v>1976</v>
      </c>
      <c r="I147" s="1587" t="s">
        <v>33</v>
      </c>
      <c r="J147" s="1560" t="s">
        <v>1977</v>
      </c>
      <c r="K147" s="1536" t="s">
        <v>1978</v>
      </c>
      <c r="L147" s="1536" t="s">
        <v>1979</v>
      </c>
      <c r="M147" s="1534" t="s">
        <v>1980</v>
      </c>
      <c r="N147" s="1534"/>
      <c r="O147" s="1534"/>
      <c r="P147" s="1534"/>
      <c r="Q147" s="1534"/>
      <c r="R147" s="1534"/>
      <c r="S147" s="1534"/>
      <c r="T147" s="1534"/>
      <c r="U147" s="1623"/>
      <c r="V147" s="1624"/>
      <c r="W147" s="1625"/>
      <c r="Z147" s="1624"/>
      <c r="AA147" s="1624"/>
    </row>
    <row r="148" spans="1:27" s="418" customFormat="1" hidden="1" outlineLevel="1">
      <c r="A148" s="893"/>
      <c r="B148" s="1515" t="s">
        <v>2337</v>
      </c>
      <c r="C148" s="1508" t="s">
        <v>2338</v>
      </c>
      <c r="D148" s="1515" t="s">
        <v>2339</v>
      </c>
      <c r="E148" s="1542" t="s">
        <v>100</v>
      </c>
      <c r="F148" s="1598">
        <v>1</v>
      </c>
      <c r="G148" s="1567">
        <v>80</v>
      </c>
      <c r="H148" s="1575">
        <v>0</v>
      </c>
      <c r="I148" s="1593">
        <v>1</v>
      </c>
      <c r="J148" s="1594">
        <f t="shared" ref="J148:J175" si="27">(G148+H148)*I148</f>
        <v>80</v>
      </c>
      <c r="K148" s="1577">
        <f t="shared" ref="K148:K175" si="28">F$9</f>
        <v>17500</v>
      </c>
      <c r="L148" s="1577">
        <f t="shared" ref="L148:L175" si="29">J148*K148</f>
        <v>1400000</v>
      </c>
      <c r="M148" s="1571">
        <v>0.38</v>
      </c>
      <c r="N148" s="1619"/>
      <c r="O148" s="1619"/>
      <c r="P148" s="1619"/>
      <c r="Q148" s="1619"/>
      <c r="R148" s="1619"/>
      <c r="S148" s="1619"/>
      <c r="T148" s="1619"/>
      <c r="U148" s="1516"/>
    </row>
    <row r="149" spans="1:27" s="418" customFormat="1" hidden="1" outlineLevel="1">
      <c r="A149" s="893"/>
      <c r="B149" s="423" t="s">
        <v>2340</v>
      </c>
      <c r="C149" s="418" t="s">
        <v>2341</v>
      </c>
      <c r="D149" s="423" t="s">
        <v>2342</v>
      </c>
      <c r="E149" s="1572" t="s">
        <v>100</v>
      </c>
      <c r="F149" s="1598">
        <v>1</v>
      </c>
      <c r="G149" s="1574">
        <f>15.81*1.15</f>
        <v>18.1815</v>
      </c>
      <c r="H149" s="1575">
        <v>0</v>
      </c>
      <c r="I149" s="1593">
        <v>1</v>
      </c>
      <c r="J149" s="1594">
        <f t="shared" si="27"/>
        <v>18.1815</v>
      </c>
      <c r="K149" s="1577">
        <f t="shared" si="28"/>
        <v>17500</v>
      </c>
      <c r="L149" s="1577">
        <f t="shared" si="29"/>
        <v>318176.25</v>
      </c>
      <c r="M149" s="1578">
        <v>0.38</v>
      </c>
      <c r="N149" s="1615"/>
      <c r="O149" s="1615"/>
      <c r="P149" s="1615"/>
      <c r="Q149" s="1615"/>
      <c r="R149" s="1615"/>
      <c r="S149" s="1615"/>
      <c r="T149" s="1615"/>
      <c r="U149" s="1516"/>
    </row>
    <row r="150" spans="1:27" s="418" customFormat="1" hidden="1" outlineLevel="1">
      <c r="A150" s="893"/>
      <c r="B150" s="423" t="s">
        <v>2343</v>
      </c>
      <c r="C150" s="418" t="s">
        <v>2344</v>
      </c>
      <c r="D150" s="423" t="s">
        <v>2345</v>
      </c>
      <c r="E150" s="1572" t="s">
        <v>100</v>
      </c>
      <c r="F150" s="1598">
        <v>1</v>
      </c>
      <c r="G150" s="1574">
        <f t="shared" ref="G150:G151" si="30">15.81*1.15</f>
        <v>18.1815</v>
      </c>
      <c r="H150" s="1575">
        <v>0</v>
      </c>
      <c r="I150" s="1593">
        <v>1</v>
      </c>
      <c r="J150" s="1594">
        <f t="shared" si="27"/>
        <v>18.1815</v>
      </c>
      <c r="K150" s="1577">
        <f t="shared" si="28"/>
        <v>17500</v>
      </c>
      <c r="L150" s="1577">
        <f t="shared" si="29"/>
        <v>318176.25</v>
      </c>
      <c r="M150" s="1578">
        <v>0.38</v>
      </c>
      <c r="N150" s="1615"/>
      <c r="O150" s="1615"/>
      <c r="P150" s="1615"/>
      <c r="Q150" s="1615"/>
      <c r="R150" s="1615"/>
      <c r="S150" s="1615"/>
      <c r="T150" s="1615"/>
      <c r="U150" s="1516"/>
    </row>
    <row r="151" spans="1:27" s="418" customFormat="1" hidden="1" outlineLevel="1">
      <c r="A151" s="893"/>
      <c r="B151" s="423" t="s">
        <v>2346</v>
      </c>
      <c r="C151" s="418" t="s">
        <v>2347</v>
      </c>
      <c r="D151" s="423" t="s">
        <v>2348</v>
      </c>
      <c r="E151" s="1572" t="s">
        <v>100</v>
      </c>
      <c r="F151" s="1598">
        <v>1</v>
      </c>
      <c r="G151" s="1574">
        <f t="shared" si="30"/>
        <v>18.1815</v>
      </c>
      <c r="H151" s="1575">
        <v>0</v>
      </c>
      <c r="I151" s="1593">
        <v>1</v>
      </c>
      <c r="J151" s="1594">
        <f t="shared" si="27"/>
        <v>18.1815</v>
      </c>
      <c r="K151" s="1577">
        <f t="shared" si="28"/>
        <v>17500</v>
      </c>
      <c r="L151" s="1577">
        <f t="shared" si="29"/>
        <v>318176.25</v>
      </c>
      <c r="M151" s="1578">
        <v>0.38</v>
      </c>
      <c r="N151" s="1615"/>
      <c r="O151" s="1615"/>
      <c r="P151" s="1615"/>
      <c r="Q151" s="1615"/>
      <c r="R151" s="1615"/>
      <c r="S151" s="1615"/>
      <c r="T151" s="1615"/>
      <c r="U151" s="1516"/>
    </row>
    <row r="152" spans="1:27" s="418" customFormat="1" hidden="1" outlineLevel="1">
      <c r="A152" s="893"/>
      <c r="B152" s="423" t="s">
        <v>2349</v>
      </c>
      <c r="C152" s="418" t="s">
        <v>2350</v>
      </c>
      <c r="D152" s="423" t="s">
        <v>2351</v>
      </c>
      <c r="E152" s="1572" t="s">
        <v>100</v>
      </c>
      <c r="F152" s="1598">
        <v>1</v>
      </c>
      <c r="G152" s="1574">
        <f>19.4736842105263*1.15</f>
        <v>22.394736842105246</v>
      </c>
      <c r="H152" s="1575">
        <v>0</v>
      </c>
      <c r="I152" s="1593">
        <v>1</v>
      </c>
      <c r="J152" s="1594">
        <f t="shared" si="27"/>
        <v>22.394736842105246</v>
      </c>
      <c r="K152" s="1577">
        <f t="shared" si="28"/>
        <v>17500</v>
      </c>
      <c r="L152" s="1577">
        <f t="shared" si="29"/>
        <v>391907.89473684179</v>
      </c>
      <c r="M152" s="1578">
        <v>0.4</v>
      </c>
      <c r="N152" s="1615"/>
      <c r="O152" s="1615"/>
      <c r="P152" s="1615"/>
      <c r="Q152" s="1615"/>
      <c r="R152" s="1615"/>
      <c r="S152" s="1615"/>
      <c r="T152" s="1615"/>
      <c r="U152" s="1516"/>
    </row>
    <row r="153" spans="1:27" s="418" customFormat="1" hidden="1" outlineLevel="1">
      <c r="A153" s="893"/>
      <c r="B153" s="423" t="s">
        <v>2352</v>
      </c>
      <c r="C153" s="418" t="s">
        <v>2353</v>
      </c>
      <c r="D153" s="423" t="s">
        <v>2354</v>
      </c>
      <c r="E153" s="1572" t="s">
        <v>100</v>
      </c>
      <c r="F153" s="1598">
        <v>1</v>
      </c>
      <c r="G153" s="1574">
        <f>22.66*1.15</f>
        <v>26.058999999999997</v>
      </c>
      <c r="H153" s="1575">
        <v>0</v>
      </c>
      <c r="I153" s="1593">
        <v>1</v>
      </c>
      <c r="J153" s="1594">
        <f t="shared" si="27"/>
        <v>26.058999999999997</v>
      </c>
      <c r="K153" s="1577">
        <f t="shared" si="28"/>
        <v>17500</v>
      </c>
      <c r="L153" s="1577">
        <f t="shared" si="29"/>
        <v>456032.49999999994</v>
      </c>
      <c r="M153" s="1578">
        <v>0.30649999999999999</v>
      </c>
      <c r="N153" s="1615"/>
      <c r="O153" s="1615"/>
      <c r="P153" s="1615"/>
      <c r="Q153" s="1615"/>
      <c r="R153" s="1615"/>
      <c r="S153" s="1615"/>
      <c r="T153" s="1615"/>
      <c r="U153" s="1516"/>
    </row>
    <row r="154" spans="1:27" s="418" customFormat="1" hidden="1" outlineLevel="1">
      <c r="A154" s="893"/>
      <c r="B154" s="423" t="s">
        <v>2355</v>
      </c>
      <c r="C154" s="418" t="s">
        <v>2356</v>
      </c>
      <c r="D154" s="423" t="s">
        <v>2357</v>
      </c>
      <c r="E154" s="1572" t="s">
        <v>100</v>
      </c>
      <c r="F154" s="1598">
        <v>1</v>
      </c>
      <c r="G154" s="1574">
        <f>26.78*1.15</f>
        <v>30.797000000000001</v>
      </c>
      <c r="H154" s="1575">
        <v>0</v>
      </c>
      <c r="I154" s="1593">
        <v>1</v>
      </c>
      <c r="J154" s="1594">
        <f t="shared" si="27"/>
        <v>30.797000000000001</v>
      </c>
      <c r="K154" s="1577">
        <f t="shared" si="28"/>
        <v>17500</v>
      </c>
      <c r="L154" s="1577">
        <f t="shared" si="29"/>
        <v>538947.5</v>
      </c>
      <c r="M154" s="1578">
        <v>0.30649999999999999</v>
      </c>
      <c r="N154" s="1615"/>
      <c r="O154" s="1615"/>
      <c r="P154" s="1615"/>
      <c r="Q154" s="1615"/>
      <c r="R154" s="1615"/>
      <c r="S154" s="1615"/>
      <c r="T154" s="1615"/>
      <c r="U154" s="1516"/>
    </row>
    <row r="155" spans="1:27" s="418" customFormat="1" hidden="1" outlineLevel="1">
      <c r="A155" s="893"/>
      <c r="B155" s="423" t="s">
        <v>2358</v>
      </c>
      <c r="C155" s="418" t="s">
        <v>2359</v>
      </c>
      <c r="D155" s="423" t="s">
        <v>2360</v>
      </c>
      <c r="E155" s="1572" t="s">
        <v>100</v>
      </c>
      <c r="F155" s="1598">
        <v>1</v>
      </c>
      <c r="G155" s="1574">
        <f t="shared" ref="G155:G157" si="31">26.78*1.15</f>
        <v>30.797000000000001</v>
      </c>
      <c r="H155" s="1575">
        <v>0</v>
      </c>
      <c r="I155" s="1593">
        <v>1</v>
      </c>
      <c r="J155" s="1594">
        <f t="shared" si="27"/>
        <v>30.797000000000001</v>
      </c>
      <c r="K155" s="1577">
        <f t="shared" si="28"/>
        <v>17500</v>
      </c>
      <c r="L155" s="1577">
        <f t="shared" si="29"/>
        <v>538947.5</v>
      </c>
      <c r="M155" s="1578">
        <v>0.30649999999999999</v>
      </c>
      <c r="N155" s="1615"/>
      <c r="O155" s="1615"/>
      <c r="P155" s="1615"/>
      <c r="Q155" s="1615"/>
      <c r="R155" s="1615"/>
      <c r="S155" s="1615"/>
      <c r="T155" s="1615"/>
      <c r="U155" s="1516"/>
    </row>
    <row r="156" spans="1:27" s="418" customFormat="1" hidden="1" outlineLevel="1">
      <c r="A156" s="893"/>
      <c r="B156" s="423" t="s">
        <v>2361</v>
      </c>
      <c r="C156" s="418" t="s">
        <v>2362</v>
      </c>
      <c r="D156" s="423" t="s">
        <v>2363</v>
      </c>
      <c r="E156" s="1572" t="s">
        <v>100</v>
      </c>
      <c r="F156" s="1598">
        <v>1</v>
      </c>
      <c r="G156" s="1574">
        <f t="shared" si="31"/>
        <v>30.797000000000001</v>
      </c>
      <c r="H156" s="1575">
        <v>0</v>
      </c>
      <c r="I156" s="1593">
        <v>1</v>
      </c>
      <c r="J156" s="1594">
        <f t="shared" si="27"/>
        <v>30.797000000000001</v>
      </c>
      <c r="K156" s="1577">
        <f t="shared" si="28"/>
        <v>17500</v>
      </c>
      <c r="L156" s="1577">
        <f t="shared" si="29"/>
        <v>538947.5</v>
      </c>
      <c r="M156" s="1578">
        <v>0.30649999999999999</v>
      </c>
      <c r="N156" s="1615"/>
      <c r="O156" s="1615"/>
      <c r="P156" s="1615"/>
      <c r="Q156" s="1615"/>
      <c r="R156" s="1615"/>
      <c r="S156" s="1615"/>
      <c r="T156" s="1615"/>
      <c r="U156" s="1516"/>
    </row>
    <row r="157" spans="1:27" s="418" customFormat="1" hidden="1" outlineLevel="1">
      <c r="A157" s="893"/>
      <c r="B157" s="423" t="s">
        <v>2364</v>
      </c>
      <c r="C157" s="418" t="s">
        <v>2365</v>
      </c>
      <c r="D157" s="423" t="s">
        <v>2366</v>
      </c>
      <c r="E157" s="1572" t="s">
        <v>100</v>
      </c>
      <c r="F157" s="1598">
        <v>1</v>
      </c>
      <c r="G157" s="1574">
        <f t="shared" si="31"/>
        <v>30.797000000000001</v>
      </c>
      <c r="H157" s="1575">
        <v>0</v>
      </c>
      <c r="I157" s="1593">
        <v>1</v>
      </c>
      <c r="J157" s="1594">
        <f t="shared" si="27"/>
        <v>30.797000000000001</v>
      </c>
      <c r="K157" s="1577">
        <f t="shared" si="28"/>
        <v>17500</v>
      </c>
      <c r="L157" s="1577">
        <f t="shared" si="29"/>
        <v>538947.5</v>
      </c>
      <c r="M157" s="1578">
        <v>0.311</v>
      </c>
      <c r="N157" s="1615"/>
      <c r="O157" s="1615"/>
      <c r="P157" s="1615"/>
      <c r="Q157" s="1615"/>
      <c r="R157" s="1615"/>
      <c r="S157" s="1615"/>
      <c r="T157" s="1615"/>
      <c r="U157" s="1516"/>
    </row>
    <row r="158" spans="1:27" s="418" customFormat="1" hidden="1" outlineLevel="1">
      <c r="A158" s="893"/>
      <c r="B158" s="423" t="s">
        <v>2367</v>
      </c>
      <c r="C158" s="418" t="s">
        <v>2368</v>
      </c>
      <c r="D158" s="423" t="s">
        <v>2369</v>
      </c>
      <c r="E158" s="1572" t="s">
        <v>100</v>
      </c>
      <c r="F158" s="1598">
        <v>1</v>
      </c>
      <c r="G158" s="1574"/>
      <c r="H158" s="1575">
        <v>0</v>
      </c>
      <c r="I158" s="1593">
        <v>1</v>
      </c>
      <c r="J158" s="1594">
        <f t="shared" si="27"/>
        <v>0</v>
      </c>
      <c r="K158" s="1577">
        <f t="shared" si="28"/>
        <v>17500</v>
      </c>
      <c r="L158" s="1577">
        <f t="shared" si="29"/>
        <v>0</v>
      </c>
      <c r="M158" s="1578">
        <v>0.57999999999999996</v>
      </c>
      <c r="N158" s="1615"/>
      <c r="O158" s="1615"/>
      <c r="P158" s="1615"/>
      <c r="Q158" s="1615"/>
      <c r="R158" s="1615"/>
      <c r="S158" s="1615"/>
      <c r="T158" s="1615"/>
      <c r="U158" s="1516"/>
    </row>
    <row r="159" spans="1:27" s="418" customFormat="1" hidden="1" outlineLevel="1">
      <c r="A159" s="893"/>
      <c r="B159" s="423" t="s">
        <v>2370</v>
      </c>
      <c r="C159" s="418" t="s">
        <v>2371</v>
      </c>
      <c r="D159" s="423" t="s">
        <v>2372</v>
      </c>
      <c r="E159" s="1572" t="s">
        <v>100</v>
      </c>
      <c r="F159" s="1598">
        <v>1</v>
      </c>
      <c r="G159" s="1574"/>
      <c r="H159" s="1575">
        <v>0</v>
      </c>
      <c r="I159" s="1593">
        <v>1</v>
      </c>
      <c r="J159" s="1594">
        <f t="shared" si="27"/>
        <v>0</v>
      </c>
      <c r="K159" s="1577">
        <f t="shared" si="28"/>
        <v>17500</v>
      </c>
      <c r="L159" s="1577">
        <f t="shared" si="29"/>
        <v>0</v>
      </c>
      <c r="M159" s="1578">
        <v>0.57999999999999996</v>
      </c>
      <c r="N159" s="1615"/>
      <c r="O159" s="1615"/>
      <c r="P159" s="1615"/>
      <c r="Q159" s="1615"/>
      <c r="R159" s="1615"/>
      <c r="S159" s="1615"/>
      <c r="T159" s="1615"/>
      <c r="U159" s="1516"/>
    </row>
    <row r="160" spans="1:27" s="418" customFormat="1" hidden="1" outlineLevel="1">
      <c r="A160" s="893"/>
      <c r="B160" s="423" t="s">
        <v>2373</v>
      </c>
      <c r="C160" s="418" t="s">
        <v>2374</v>
      </c>
      <c r="D160" s="423" t="s">
        <v>2375</v>
      </c>
      <c r="E160" s="1572" t="s">
        <v>100</v>
      </c>
      <c r="F160" s="1598">
        <v>1</v>
      </c>
      <c r="G160" s="1574"/>
      <c r="H160" s="1575">
        <v>0</v>
      </c>
      <c r="I160" s="1593">
        <v>1</v>
      </c>
      <c r="J160" s="1594">
        <f t="shared" si="27"/>
        <v>0</v>
      </c>
      <c r="K160" s="1577">
        <f t="shared" si="28"/>
        <v>17500</v>
      </c>
      <c r="L160" s="1577">
        <f t="shared" si="29"/>
        <v>0</v>
      </c>
      <c r="M160" s="1578">
        <v>0.57999999999999996</v>
      </c>
      <c r="N160" s="1615"/>
      <c r="O160" s="1615"/>
      <c r="P160" s="1615"/>
      <c r="Q160" s="1615"/>
      <c r="R160" s="1615"/>
      <c r="S160" s="1615"/>
      <c r="T160" s="1615"/>
      <c r="U160" s="1516"/>
    </row>
    <row r="161" spans="1:27" s="418" customFormat="1" hidden="1" outlineLevel="1">
      <c r="A161" s="893"/>
      <c r="B161" s="1533" t="s">
        <v>2376</v>
      </c>
      <c r="C161" s="842" t="s">
        <v>2377</v>
      </c>
      <c r="D161" s="1533" t="s">
        <v>2378</v>
      </c>
      <c r="E161" s="1580" t="s">
        <v>100</v>
      </c>
      <c r="F161" s="1599">
        <v>1</v>
      </c>
      <c r="G161" s="1582"/>
      <c r="H161" s="1583">
        <v>0</v>
      </c>
      <c r="I161" s="1595">
        <v>1</v>
      </c>
      <c r="J161" s="1596">
        <f t="shared" si="27"/>
        <v>0</v>
      </c>
      <c r="K161" s="1585">
        <f t="shared" si="28"/>
        <v>17500</v>
      </c>
      <c r="L161" s="1585">
        <f t="shared" si="29"/>
        <v>0</v>
      </c>
      <c r="M161" s="1586">
        <v>0.57999999999999996</v>
      </c>
      <c r="N161" s="1616"/>
      <c r="O161" s="1616"/>
      <c r="P161" s="1616"/>
      <c r="Q161" s="1616"/>
      <c r="R161" s="1616"/>
      <c r="S161" s="1616"/>
      <c r="T161" s="1616"/>
      <c r="U161" s="1516"/>
    </row>
    <row r="162" spans="1:27" s="418" customFormat="1" hidden="1" outlineLevel="1">
      <c r="A162" s="893"/>
      <c r="B162" s="1515" t="s">
        <v>2379</v>
      </c>
      <c r="C162" s="1508" t="s">
        <v>2380</v>
      </c>
      <c r="D162" s="1515" t="s">
        <v>2381</v>
      </c>
      <c r="E162" s="1542" t="s">
        <v>100</v>
      </c>
      <c r="F162" s="1598">
        <v>1</v>
      </c>
      <c r="G162" s="1567">
        <f>15.81*1.15</f>
        <v>18.1815</v>
      </c>
      <c r="H162" s="1575">
        <v>0</v>
      </c>
      <c r="I162" s="1593">
        <v>1</v>
      </c>
      <c r="J162" s="1594">
        <f t="shared" si="27"/>
        <v>18.1815</v>
      </c>
      <c r="K162" s="1577">
        <f t="shared" si="28"/>
        <v>17500</v>
      </c>
      <c r="L162" s="1577">
        <f t="shared" si="29"/>
        <v>318176.25</v>
      </c>
      <c r="M162" s="1571">
        <v>0.38</v>
      </c>
      <c r="N162" s="1619"/>
      <c r="O162" s="1619"/>
      <c r="P162" s="1619"/>
      <c r="Q162" s="1619"/>
      <c r="R162" s="1619"/>
      <c r="S162" s="1619"/>
      <c r="T162" s="1619"/>
      <c r="U162" s="1516"/>
    </row>
    <row r="163" spans="1:27" s="418" customFormat="1" hidden="1" outlineLevel="1">
      <c r="A163" s="893"/>
      <c r="B163" s="423" t="s">
        <v>2382</v>
      </c>
      <c r="C163" s="418" t="s">
        <v>2383</v>
      </c>
      <c r="D163" s="423" t="s">
        <v>2384</v>
      </c>
      <c r="E163" s="1572" t="s">
        <v>100</v>
      </c>
      <c r="F163" s="1598">
        <v>1</v>
      </c>
      <c r="G163" s="1574">
        <f>15.81*1.15</f>
        <v>18.1815</v>
      </c>
      <c r="H163" s="1575">
        <v>0</v>
      </c>
      <c r="I163" s="1593">
        <v>1</v>
      </c>
      <c r="J163" s="1594">
        <f t="shared" si="27"/>
        <v>18.1815</v>
      </c>
      <c r="K163" s="1577">
        <f t="shared" si="28"/>
        <v>17500</v>
      </c>
      <c r="L163" s="1577">
        <f t="shared" si="29"/>
        <v>318176.25</v>
      </c>
      <c r="M163" s="1578">
        <v>0.38</v>
      </c>
      <c r="N163" s="1615"/>
      <c r="O163" s="1615"/>
      <c r="P163" s="1615"/>
      <c r="Q163" s="1615"/>
      <c r="R163" s="1615"/>
      <c r="S163" s="1615"/>
      <c r="T163" s="1615"/>
      <c r="U163" s="1516"/>
    </row>
    <row r="164" spans="1:27" s="418" customFormat="1" hidden="1" outlineLevel="1">
      <c r="A164" s="893"/>
      <c r="B164" s="423" t="s">
        <v>2385</v>
      </c>
      <c r="C164" s="418" t="s">
        <v>2386</v>
      </c>
      <c r="D164" s="423" t="s">
        <v>2387</v>
      </c>
      <c r="E164" s="1572" t="s">
        <v>100</v>
      </c>
      <c r="F164" s="1598">
        <v>1</v>
      </c>
      <c r="G164" s="1574">
        <f t="shared" ref="G164:G165" si="32">15.81*1.15</f>
        <v>18.1815</v>
      </c>
      <c r="H164" s="1575">
        <v>0</v>
      </c>
      <c r="I164" s="1593">
        <v>1</v>
      </c>
      <c r="J164" s="1594">
        <f t="shared" si="27"/>
        <v>18.1815</v>
      </c>
      <c r="K164" s="1577">
        <f t="shared" si="28"/>
        <v>17500</v>
      </c>
      <c r="L164" s="1577">
        <f t="shared" si="29"/>
        <v>318176.25</v>
      </c>
      <c r="M164" s="1578">
        <v>0.38</v>
      </c>
      <c r="N164" s="1615"/>
      <c r="O164" s="1615"/>
      <c r="P164" s="1615"/>
      <c r="Q164" s="1615"/>
      <c r="R164" s="1615"/>
      <c r="S164" s="1615"/>
      <c r="T164" s="1615"/>
      <c r="U164" s="1516"/>
    </row>
    <row r="165" spans="1:27" s="418" customFormat="1" hidden="1" outlineLevel="1">
      <c r="A165" s="893"/>
      <c r="B165" s="423" t="s">
        <v>2388</v>
      </c>
      <c r="C165" s="418" t="s">
        <v>2389</v>
      </c>
      <c r="D165" s="423" t="s">
        <v>2390</v>
      </c>
      <c r="E165" s="1572" t="s">
        <v>100</v>
      </c>
      <c r="F165" s="1598">
        <v>1</v>
      </c>
      <c r="G165" s="1574">
        <f t="shared" si="32"/>
        <v>18.1815</v>
      </c>
      <c r="H165" s="1575">
        <v>0</v>
      </c>
      <c r="I165" s="1593">
        <v>1</v>
      </c>
      <c r="J165" s="1594">
        <f t="shared" si="27"/>
        <v>18.1815</v>
      </c>
      <c r="K165" s="1577">
        <f t="shared" si="28"/>
        <v>17500</v>
      </c>
      <c r="L165" s="1577">
        <f t="shared" si="29"/>
        <v>318176.25</v>
      </c>
      <c r="M165" s="1578">
        <v>0.38</v>
      </c>
      <c r="N165" s="1615"/>
      <c r="O165" s="1615"/>
      <c r="P165" s="1615"/>
      <c r="Q165" s="1615"/>
      <c r="R165" s="1615"/>
      <c r="S165" s="1615"/>
      <c r="T165" s="1615"/>
      <c r="U165" s="1516"/>
    </row>
    <row r="166" spans="1:27" s="418" customFormat="1" hidden="1" outlineLevel="1">
      <c r="A166" s="893"/>
      <c r="B166" s="423" t="s">
        <v>2391</v>
      </c>
      <c r="C166" s="418" t="s">
        <v>2392</v>
      </c>
      <c r="D166" s="423" t="s">
        <v>2393</v>
      </c>
      <c r="E166" s="1572" t="s">
        <v>100</v>
      </c>
      <c r="F166" s="1598">
        <v>1</v>
      </c>
      <c r="G166" s="1574">
        <f>19.4736842105263*1.15</f>
        <v>22.394736842105246</v>
      </c>
      <c r="H166" s="1575">
        <v>0</v>
      </c>
      <c r="I166" s="1593">
        <v>1</v>
      </c>
      <c r="J166" s="1594">
        <f t="shared" si="27"/>
        <v>22.394736842105246</v>
      </c>
      <c r="K166" s="1577">
        <f t="shared" si="28"/>
        <v>17500</v>
      </c>
      <c r="L166" s="1577">
        <f t="shared" si="29"/>
        <v>391907.89473684179</v>
      </c>
      <c r="M166" s="1578">
        <v>0.4</v>
      </c>
      <c r="N166" s="1615"/>
      <c r="O166" s="1615"/>
      <c r="P166" s="1615"/>
      <c r="Q166" s="1615"/>
      <c r="R166" s="1615"/>
      <c r="S166" s="1615"/>
      <c r="T166" s="1615"/>
      <c r="U166" s="1516"/>
    </row>
    <row r="167" spans="1:27" s="418" customFormat="1" hidden="1" outlineLevel="1">
      <c r="A167" s="893"/>
      <c r="B167" s="423" t="s">
        <v>2394</v>
      </c>
      <c r="C167" s="418" t="s">
        <v>2395</v>
      </c>
      <c r="D167" s="423" t="s">
        <v>2396</v>
      </c>
      <c r="E167" s="1572" t="s">
        <v>100</v>
      </c>
      <c r="F167" s="1598">
        <v>1</v>
      </c>
      <c r="G167" s="1574">
        <f>22.66*1.15</f>
        <v>26.058999999999997</v>
      </c>
      <c r="H167" s="1575">
        <v>0</v>
      </c>
      <c r="I167" s="1593">
        <v>1</v>
      </c>
      <c r="J167" s="1594">
        <f t="shared" si="27"/>
        <v>26.058999999999997</v>
      </c>
      <c r="K167" s="1577">
        <f t="shared" si="28"/>
        <v>17500</v>
      </c>
      <c r="L167" s="1577">
        <f t="shared" si="29"/>
        <v>456032.49999999994</v>
      </c>
      <c r="M167" s="1578">
        <v>0.30649999999999999</v>
      </c>
      <c r="N167" s="1615"/>
      <c r="O167" s="1615"/>
      <c r="P167" s="1615"/>
      <c r="Q167" s="1615"/>
      <c r="R167" s="1615"/>
      <c r="S167" s="1615"/>
      <c r="T167" s="1615"/>
      <c r="U167" s="1516"/>
    </row>
    <row r="168" spans="1:27" s="418" customFormat="1" hidden="1" outlineLevel="1">
      <c r="A168" s="893"/>
      <c r="B168" s="423" t="s">
        <v>2397</v>
      </c>
      <c r="C168" s="418" t="s">
        <v>2398</v>
      </c>
      <c r="D168" s="423" t="s">
        <v>2399</v>
      </c>
      <c r="E168" s="1572" t="s">
        <v>100</v>
      </c>
      <c r="F168" s="1598">
        <v>1</v>
      </c>
      <c r="G168" s="1574">
        <f>26.78*1.15</f>
        <v>30.797000000000001</v>
      </c>
      <c r="H168" s="1575">
        <v>0</v>
      </c>
      <c r="I168" s="1593">
        <v>1</v>
      </c>
      <c r="J168" s="1594">
        <f t="shared" si="27"/>
        <v>30.797000000000001</v>
      </c>
      <c r="K168" s="1577">
        <f t="shared" si="28"/>
        <v>17500</v>
      </c>
      <c r="L168" s="1577">
        <f t="shared" si="29"/>
        <v>538947.5</v>
      </c>
      <c r="M168" s="1578">
        <v>0.30649999999999999</v>
      </c>
      <c r="N168" s="1615"/>
      <c r="O168" s="1615"/>
      <c r="P168" s="1615"/>
      <c r="Q168" s="1615"/>
      <c r="R168" s="1615"/>
      <c r="S168" s="1615"/>
      <c r="T168" s="1615"/>
      <c r="U168" s="1516"/>
    </row>
    <row r="169" spans="1:27" s="418" customFormat="1" hidden="1" outlineLevel="1">
      <c r="A169" s="893"/>
      <c r="B169" s="423" t="s">
        <v>2400</v>
      </c>
      <c r="C169" s="418" t="s">
        <v>2401</v>
      </c>
      <c r="D169" s="423" t="s">
        <v>2402</v>
      </c>
      <c r="E169" s="1572" t="s">
        <v>100</v>
      </c>
      <c r="F169" s="1598">
        <v>1</v>
      </c>
      <c r="G169" s="1574">
        <f t="shared" ref="G169:G171" si="33">26.78*1.15</f>
        <v>30.797000000000001</v>
      </c>
      <c r="H169" s="1575">
        <v>0</v>
      </c>
      <c r="I169" s="1593">
        <v>1</v>
      </c>
      <c r="J169" s="1594">
        <f t="shared" si="27"/>
        <v>30.797000000000001</v>
      </c>
      <c r="K169" s="1577">
        <f t="shared" si="28"/>
        <v>17500</v>
      </c>
      <c r="L169" s="1577">
        <f t="shared" si="29"/>
        <v>538947.5</v>
      </c>
      <c r="M169" s="1578">
        <v>0.30649999999999999</v>
      </c>
      <c r="N169" s="1615"/>
      <c r="O169" s="1615"/>
      <c r="P169" s="1615"/>
      <c r="Q169" s="1615"/>
      <c r="R169" s="1615"/>
      <c r="S169" s="1615"/>
      <c r="T169" s="1615"/>
      <c r="U169" s="1516"/>
    </row>
    <row r="170" spans="1:27" s="418" customFormat="1" hidden="1" outlineLevel="1">
      <c r="A170" s="893"/>
      <c r="B170" s="423" t="s">
        <v>2403</v>
      </c>
      <c r="C170" s="418" t="s">
        <v>2404</v>
      </c>
      <c r="D170" s="423" t="s">
        <v>2405</v>
      </c>
      <c r="E170" s="1572" t="s">
        <v>100</v>
      </c>
      <c r="F170" s="1598">
        <v>1</v>
      </c>
      <c r="G170" s="1574">
        <f t="shared" si="33"/>
        <v>30.797000000000001</v>
      </c>
      <c r="H170" s="1575">
        <v>0</v>
      </c>
      <c r="I170" s="1593">
        <v>1</v>
      </c>
      <c r="J170" s="1594">
        <f t="shared" si="27"/>
        <v>30.797000000000001</v>
      </c>
      <c r="K170" s="1577">
        <f t="shared" si="28"/>
        <v>17500</v>
      </c>
      <c r="L170" s="1577">
        <f t="shared" si="29"/>
        <v>538947.5</v>
      </c>
      <c r="M170" s="1578">
        <v>0.30649999999999999</v>
      </c>
      <c r="N170" s="1615"/>
      <c r="O170" s="1615"/>
      <c r="P170" s="1615"/>
      <c r="Q170" s="1615"/>
      <c r="R170" s="1615"/>
      <c r="S170" s="1615"/>
      <c r="T170" s="1615"/>
      <c r="U170" s="1516"/>
    </row>
    <row r="171" spans="1:27" s="418" customFormat="1" hidden="1" outlineLevel="1">
      <c r="A171" s="893"/>
      <c r="B171" s="423" t="s">
        <v>2406</v>
      </c>
      <c r="C171" s="418" t="s">
        <v>2407</v>
      </c>
      <c r="D171" s="423" t="s">
        <v>2408</v>
      </c>
      <c r="E171" s="1572" t="s">
        <v>100</v>
      </c>
      <c r="F171" s="1598">
        <v>1</v>
      </c>
      <c r="G171" s="1574">
        <f t="shared" si="33"/>
        <v>30.797000000000001</v>
      </c>
      <c r="H171" s="1575">
        <v>0</v>
      </c>
      <c r="I171" s="1593">
        <v>1</v>
      </c>
      <c r="J171" s="1594">
        <f t="shared" si="27"/>
        <v>30.797000000000001</v>
      </c>
      <c r="K171" s="1577">
        <f t="shared" si="28"/>
        <v>17500</v>
      </c>
      <c r="L171" s="1577">
        <f t="shared" si="29"/>
        <v>538947.5</v>
      </c>
      <c r="M171" s="1578">
        <v>0.311</v>
      </c>
      <c r="N171" s="1615"/>
      <c r="O171" s="1615"/>
      <c r="P171" s="1615"/>
      <c r="Q171" s="1615"/>
      <c r="R171" s="1615"/>
      <c r="S171" s="1615"/>
      <c r="T171" s="1615"/>
      <c r="U171" s="1516"/>
    </row>
    <row r="172" spans="1:27" s="418" customFormat="1" hidden="1" outlineLevel="1">
      <c r="A172" s="893"/>
      <c r="B172" s="423" t="s">
        <v>2409</v>
      </c>
      <c r="C172" s="418" t="s">
        <v>2410</v>
      </c>
      <c r="D172" s="423" t="s">
        <v>2411</v>
      </c>
      <c r="E172" s="1572" t="s">
        <v>100</v>
      </c>
      <c r="F172" s="1598">
        <v>1</v>
      </c>
      <c r="G172" s="1574"/>
      <c r="H172" s="1575">
        <v>0</v>
      </c>
      <c r="I172" s="1593">
        <v>1</v>
      </c>
      <c r="J172" s="1594">
        <f t="shared" si="27"/>
        <v>0</v>
      </c>
      <c r="K172" s="1577">
        <f t="shared" si="28"/>
        <v>17500</v>
      </c>
      <c r="L172" s="1577">
        <f t="shared" si="29"/>
        <v>0</v>
      </c>
      <c r="M172" s="1578">
        <v>0.57999999999999996</v>
      </c>
      <c r="N172" s="1615"/>
      <c r="O172" s="1615"/>
      <c r="P172" s="1615"/>
      <c r="Q172" s="1615"/>
      <c r="R172" s="1615"/>
      <c r="S172" s="1615"/>
      <c r="T172" s="1615"/>
      <c r="U172" s="1516"/>
    </row>
    <row r="173" spans="1:27" s="418" customFormat="1" hidden="1" outlineLevel="1">
      <c r="A173" s="893"/>
      <c r="B173" s="423" t="s">
        <v>2412</v>
      </c>
      <c r="C173" s="418" t="s">
        <v>2413</v>
      </c>
      <c r="D173" s="423" t="s">
        <v>2414</v>
      </c>
      <c r="E173" s="1572" t="s">
        <v>100</v>
      </c>
      <c r="F173" s="1598">
        <v>1</v>
      </c>
      <c r="G173" s="1574"/>
      <c r="H173" s="1575">
        <v>0</v>
      </c>
      <c r="I173" s="1593">
        <v>1</v>
      </c>
      <c r="J173" s="1594">
        <f t="shared" si="27"/>
        <v>0</v>
      </c>
      <c r="K173" s="1577">
        <f t="shared" si="28"/>
        <v>17500</v>
      </c>
      <c r="L173" s="1577">
        <f t="shared" si="29"/>
        <v>0</v>
      </c>
      <c r="M173" s="1578">
        <v>0.57999999999999996</v>
      </c>
      <c r="N173" s="1615"/>
      <c r="O173" s="1615"/>
      <c r="P173" s="1615"/>
      <c r="Q173" s="1615"/>
      <c r="R173" s="1615"/>
      <c r="S173" s="1615"/>
      <c r="T173" s="1615"/>
      <c r="U173" s="1516"/>
    </row>
    <row r="174" spans="1:27" s="418" customFormat="1" hidden="1" outlineLevel="1">
      <c r="A174" s="893"/>
      <c r="B174" s="423" t="s">
        <v>2415</v>
      </c>
      <c r="C174" s="418" t="s">
        <v>2416</v>
      </c>
      <c r="D174" s="423" t="s">
        <v>2417</v>
      </c>
      <c r="E174" s="1572" t="s">
        <v>100</v>
      </c>
      <c r="F174" s="1598">
        <v>1</v>
      </c>
      <c r="G174" s="1574"/>
      <c r="H174" s="1575">
        <v>0</v>
      </c>
      <c r="I174" s="1593">
        <v>1</v>
      </c>
      <c r="J174" s="1594">
        <f t="shared" si="27"/>
        <v>0</v>
      </c>
      <c r="K174" s="1577">
        <f t="shared" si="28"/>
        <v>17500</v>
      </c>
      <c r="L174" s="1577">
        <f t="shared" si="29"/>
        <v>0</v>
      </c>
      <c r="M174" s="1578">
        <v>0.57999999999999996</v>
      </c>
      <c r="N174" s="1615"/>
      <c r="O174" s="1615"/>
      <c r="P174" s="1615"/>
      <c r="Q174" s="1615"/>
      <c r="R174" s="1615"/>
      <c r="S174" s="1615"/>
      <c r="T174" s="1615"/>
      <c r="U174" s="1516"/>
    </row>
    <row r="175" spans="1:27" s="418" customFormat="1" hidden="1" outlineLevel="1">
      <c r="A175" s="893"/>
      <c r="B175" s="1533" t="s">
        <v>2418</v>
      </c>
      <c r="C175" s="842" t="s">
        <v>2419</v>
      </c>
      <c r="D175" s="1533" t="s">
        <v>2420</v>
      </c>
      <c r="E175" s="1580" t="s">
        <v>100</v>
      </c>
      <c r="F175" s="1598">
        <v>1</v>
      </c>
      <c r="G175" s="1582"/>
      <c r="H175" s="1575">
        <v>0</v>
      </c>
      <c r="I175" s="1593">
        <v>1</v>
      </c>
      <c r="J175" s="1594">
        <f t="shared" si="27"/>
        <v>0</v>
      </c>
      <c r="K175" s="1577">
        <f t="shared" si="28"/>
        <v>17500</v>
      </c>
      <c r="L175" s="1577">
        <f t="shared" si="29"/>
        <v>0</v>
      </c>
      <c r="M175" s="1586">
        <v>0.57999999999999996</v>
      </c>
      <c r="N175" s="1616"/>
      <c r="O175" s="1616"/>
      <c r="P175" s="1616"/>
      <c r="Q175" s="1616"/>
      <c r="R175" s="1616"/>
      <c r="S175" s="1616"/>
      <c r="T175" s="1616"/>
      <c r="U175" s="1516"/>
    </row>
    <row r="176" spans="1:27" ht="16.5" collapsed="1">
      <c r="B176" s="2249" t="s">
        <v>2421</v>
      </c>
      <c r="C176" s="2250"/>
      <c r="D176" s="1559"/>
      <c r="E176" s="1500" t="s">
        <v>1085</v>
      </c>
      <c r="F176" s="1534" t="s">
        <v>1975</v>
      </c>
      <c r="G176" s="1497" t="s">
        <v>1079</v>
      </c>
      <c r="H176" s="1536" t="s">
        <v>1976</v>
      </c>
      <c r="I176" s="1587" t="s">
        <v>33</v>
      </c>
      <c r="J176" s="1560" t="s">
        <v>1977</v>
      </c>
      <c r="K176" s="1536" t="s">
        <v>1978</v>
      </c>
      <c r="L176" s="1536" t="s">
        <v>1979</v>
      </c>
      <c r="M176" s="1534" t="s">
        <v>1980</v>
      </c>
      <c r="N176" s="1534"/>
      <c r="O176" s="1534"/>
      <c r="P176" s="1534"/>
      <c r="Q176" s="1534"/>
      <c r="R176" s="1534"/>
      <c r="S176" s="1534"/>
      <c r="T176" s="1534"/>
      <c r="U176" s="1623"/>
      <c r="V176" s="1624"/>
      <c r="W176" s="1625"/>
      <c r="Z176" s="1624"/>
      <c r="AA176" s="1624"/>
    </row>
    <row r="177" spans="1:23" s="418" customFormat="1" hidden="1" outlineLevel="1">
      <c r="A177" s="893"/>
      <c r="B177" s="1515" t="s">
        <v>1090</v>
      </c>
      <c r="C177" s="1508" t="s">
        <v>2422</v>
      </c>
      <c r="D177" s="1508" t="s">
        <v>2423</v>
      </c>
      <c r="E177" s="1542" t="s">
        <v>100</v>
      </c>
      <c r="F177" s="1598">
        <v>1</v>
      </c>
      <c r="G177" s="1567">
        <v>9.8000000000000007</v>
      </c>
      <c r="H177" s="1575">
        <v>0</v>
      </c>
      <c r="I177" s="1593">
        <v>1</v>
      </c>
      <c r="J177" s="1594">
        <f t="shared" ref="J177:J206" si="34">(G177+H177)*I177</f>
        <v>9.8000000000000007</v>
      </c>
      <c r="K177" s="1577">
        <f t="shared" ref="K177:K206" si="35">F$9</f>
        <v>17500</v>
      </c>
      <c r="L177" s="1577">
        <f t="shared" ref="L177:L206" si="36">J177*K177</f>
        <v>171500</v>
      </c>
      <c r="M177" s="1571">
        <v>9.8467956580714291E-2</v>
      </c>
      <c r="N177" s="1619"/>
      <c r="O177" s="1619"/>
      <c r="P177" s="1619"/>
      <c r="Q177" s="1619"/>
      <c r="R177" s="1619"/>
      <c r="S177" s="1619"/>
      <c r="T177" s="1619"/>
      <c r="U177" s="1516"/>
      <c r="W177" s="1524"/>
    </row>
    <row r="178" spans="1:23" s="418" customFormat="1" hidden="1" outlineLevel="1">
      <c r="A178" s="893"/>
      <c r="B178" s="423" t="s">
        <v>1091</v>
      </c>
      <c r="C178" s="418" t="s">
        <v>2424</v>
      </c>
      <c r="D178" s="418" t="s">
        <v>2425</v>
      </c>
      <c r="E178" s="1572" t="s">
        <v>100</v>
      </c>
      <c r="F178" s="1598">
        <v>1</v>
      </c>
      <c r="G178" s="1574">
        <v>9.8000000000000007</v>
      </c>
      <c r="H178" s="1575">
        <v>0</v>
      </c>
      <c r="I178" s="1593">
        <v>1</v>
      </c>
      <c r="J178" s="1594">
        <f t="shared" si="34"/>
        <v>9.8000000000000007</v>
      </c>
      <c r="K178" s="1577">
        <f t="shared" si="35"/>
        <v>17500</v>
      </c>
      <c r="L178" s="1577">
        <f t="shared" si="36"/>
        <v>171500</v>
      </c>
      <c r="M178" s="1578">
        <v>9.4891309454464307E-2</v>
      </c>
      <c r="N178" s="1615"/>
      <c r="O178" s="1615"/>
      <c r="P178" s="1615"/>
      <c r="Q178" s="1615"/>
      <c r="R178" s="1615"/>
      <c r="S178" s="1615"/>
      <c r="T178" s="1615"/>
      <c r="U178" s="1516"/>
      <c r="W178" s="1524"/>
    </row>
    <row r="179" spans="1:23" s="418" customFormat="1" hidden="1" outlineLevel="1">
      <c r="A179" s="893"/>
      <c r="B179" s="423" t="s">
        <v>1092</v>
      </c>
      <c r="C179" s="418" t="s">
        <v>2426</v>
      </c>
      <c r="D179" s="418" t="s">
        <v>2427</v>
      </c>
      <c r="E179" s="1572" t="s">
        <v>100</v>
      </c>
      <c r="F179" s="1598">
        <v>1</v>
      </c>
      <c r="G179" s="1574">
        <v>9.8000000000000007</v>
      </c>
      <c r="H179" s="1575">
        <v>0</v>
      </c>
      <c r="I179" s="1593">
        <v>1</v>
      </c>
      <c r="J179" s="1594">
        <f t="shared" si="34"/>
        <v>9.8000000000000007</v>
      </c>
      <c r="K179" s="1577">
        <f t="shared" si="35"/>
        <v>17500</v>
      </c>
      <c r="L179" s="1577">
        <f t="shared" si="36"/>
        <v>171500</v>
      </c>
      <c r="M179" s="1578">
        <v>9.1314662328214308E-2</v>
      </c>
      <c r="N179" s="1615"/>
      <c r="O179" s="1615"/>
      <c r="P179" s="1615"/>
      <c r="Q179" s="1615"/>
      <c r="R179" s="1615"/>
      <c r="S179" s="1615"/>
      <c r="T179" s="1615"/>
      <c r="U179" s="1516"/>
      <c r="W179" s="1524"/>
    </row>
    <row r="180" spans="1:23" s="418" customFormat="1" hidden="1" outlineLevel="1">
      <c r="A180" s="893"/>
      <c r="B180" s="423" t="s">
        <v>1093</v>
      </c>
      <c r="C180" s="418" t="s">
        <v>2428</v>
      </c>
      <c r="D180" s="418" t="s">
        <v>2429</v>
      </c>
      <c r="E180" s="1572" t="s">
        <v>100</v>
      </c>
      <c r="F180" s="1598">
        <v>1</v>
      </c>
      <c r="G180" s="1574">
        <v>9.8000000000000007</v>
      </c>
      <c r="H180" s="1575">
        <v>0</v>
      </c>
      <c r="I180" s="1593">
        <v>1</v>
      </c>
      <c r="J180" s="1594">
        <f t="shared" si="34"/>
        <v>9.8000000000000007</v>
      </c>
      <c r="K180" s="1577">
        <f t="shared" si="35"/>
        <v>17500</v>
      </c>
      <c r="L180" s="1577">
        <f t="shared" si="36"/>
        <v>171500</v>
      </c>
      <c r="M180" s="1578">
        <v>8.7738015201964295E-2</v>
      </c>
      <c r="N180" s="1615"/>
      <c r="O180" s="1615"/>
      <c r="P180" s="1615"/>
      <c r="Q180" s="1615"/>
      <c r="R180" s="1615"/>
      <c r="S180" s="1615"/>
      <c r="T180" s="1615"/>
      <c r="U180" s="1516"/>
      <c r="W180" s="1524"/>
    </row>
    <row r="181" spans="1:23" s="418" customFormat="1" hidden="1" outlineLevel="1">
      <c r="A181" s="893"/>
      <c r="B181" s="423" t="s">
        <v>1094</v>
      </c>
      <c r="C181" s="418" t="s">
        <v>2430</v>
      </c>
      <c r="D181" s="418" t="s">
        <v>2431</v>
      </c>
      <c r="E181" s="1572" t="s">
        <v>100</v>
      </c>
      <c r="F181" s="1598">
        <v>1</v>
      </c>
      <c r="G181" s="1574">
        <v>13.5</v>
      </c>
      <c r="H181" s="1575">
        <v>0</v>
      </c>
      <c r="I181" s="1593">
        <v>1</v>
      </c>
      <c r="J181" s="1594">
        <f t="shared" si="34"/>
        <v>13.5</v>
      </c>
      <c r="K181" s="1577">
        <f t="shared" si="35"/>
        <v>17500</v>
      </c>
      <c r="L181" s="1577">
        <f t="shared" si="36"/>
        <v>236250</v>
      </c>
      <c r="M181" s="1578">
        <v>0.11853384388999999</v>
      </c>
      <c r="N181" s="1615"/>
      <c r="O181" s="1615"/>
      <c r="P181" s="1615"/>
      <c r="Q181" s="1615"/>
      <c r="R181" s="1615"/>
      <c r="S181" s="1615"/>
      <c r="T181" s="1615"/>
      <c r="U181" s="1516"/>
      <c r="W181" s="1524"/>
    </row>
    <row r="182" spans="1:23" s="418" customFormat="1" hidden="1" outlineLevel="1">
      <c r="A182" s="893"/>
      <c r="B182" s="423" t="s">
        <v>1095</v>
      </c>
      <c r="C182" s="418" t="s">
        <v>2432</v>
      </c>
      <c r="D182" s="418" t="s">
        <v>2433</v>
      </c>
      <c r="E182" s="1572" t="s">
        <v>100</v>
      </c>
      <c r="F182" s="1598">
        <v>1</v>
      </c>
      <c r="G182" s="1574">
        <v>13.5</v>
      </c>
      <c r="H182" s="1575">
        <v>0</v>
      </c>
      <c r="I182" s="1593">
        <v>1</v>
      </c>
      <c r="J182" s="1594">
        <f t="shared" si="34"/>
        <v>13.5</v>
      </c>
      <c r="K182" s="1577">
        <f t="shared" si="35"/>
        <v>17500</v>
      </c>
      <c r="L182" s="1577">
        <f t="shared" si="36"/>
        <v>236250</v>
      </c>
      <c r="M182" s="1578">
        <v>0.17014585807803573</v>
      </c>
      <c r="N182" s="1615"/>
      <c r="O182" s="1615"/>
      <c r="P182" s="1615"/>
      <c r="Q182" s="1615"/>
      <c r="R182" s="1615"/>
      <c r="S182" s="1615"/>
      <c r="T182" s="1615"/>
      <c r="U182" s="1516"/>
      <c r="W182" s="1524"/>
    </row>
    <row r="183" spans="1:23" s="418" customFormat="1" hidden="1" outlineLevel="1">
      <c r="A183" s="893"/>
      <c r="B183" s="423" t="s">
        <v>1096</v>
      </c>
      <c r="C183" s="418" t="s">
        <v>2434</v>
      </c>
      <c r="D183" s="418" t="s">
        <v>2435</v>
      </c>
      <c r="E183" s="1572" t="s">
        <v>100</v>
      </c>
      <c r="F183" s="1598">
        <v>1</v>
      </c>
      <c r="G183" s="1574">
        <v>17.25</v>
      </c>
      <c r="H183" s="1575">
        <v>0</v>
      </c>
      <c r="I183" s="1593">
        <v>1</v>
      </c>
      <c r="J183" s="1594">
        <f t="shared" si="34"/>
        <v>17.25</v>
      </c>
      <c r="K183" s="1577">
        <f t="shared" si="35"/>
        <v>17500</v>
      </c>
      <c r="L183" s="1577">
        <f t="shared" si="36"/>
        <v>301875</v>
      </c>
      <c r="M183" s="1578">
        <v>0.1658185709517857</v>
      </c>
      <c r="N183" s="1615"/>
      <c r="O183" s="1615"/>
      <c r="P183" s="1615"/>
      <c r="Q183" s="1615"/>
      <c r="R183" s="1615"/>
      <c r="S183" s="1615"/>
      <c r="T183" s="1615"/>
      <c r="U183" s="1516"/>
      <c r="W183" s="1524"/>
    </row>
    <row r="184" spans="1:23" s="418" customFormat="1" hidden="1" outlineLevel="1">
      <c r="A184" s="893"/>
      <c r="B184" s="423" t="s">
        <v>1097</v>
      </c>
      <c r="C184" s="418" t="s">
        <v>2436</v>
      </c>
      <c r="D184" s="418" t="s">
        <v>2437</v>
      </c>
      <c r="E184" s="1572" t="s">
        <v>100</v>
      </c>
      <c r="F184" s="1598">
        <v>1</v>
      </c>
      <c r="G184" s="1574">
        <v>17.25</v>
      </c>
      <c r="H184" s="1575">
        <v>0</v>
      </c>
      <c r="I184" s="1593">
        <v>1</v>
      </c>
      <c r="J184" s="1594">
        <f t="shared" si="34"/>
        <v>17.25</v>
      </c>
      <c r="K184" s="1577">
        <f t="shared" si="35"/>
        <v>17500</v>
      </c>
      <c r="L184" s="1577">
        <f t="shared" si="36"/>
        <v>301875</v>
      </c>
      <c r="M184" s="1578">
        <v>0.12222088201124992</v>
      </c>
      <c r="N184" s="1615"/>
      <c r="O184" s="1615"/>
      <c r="P184" s="1615"/>
      <c r="Q184" s="1615"/>
      <c r="R184" s="1615"/>
      <c r="S184" s="1615"/>
      <c r="T184" s="1615"/>
      <c r="U184" s="1516"/>
      <c r="W184" s="1524"/>
    </row>
    <row r="185" spans="1:23" s="418" customFormat="1" hidden="1" outlineLevel="1">
      <c r="A185" s="893"/>
      <c r="B185" s="423" t="s">
        <v>1098</v>
      </c>
      <c r="C185" s="418" t="s">
        <v>2438</v>
      </c>
      <c r="D185" s="418" t="s">
        <v>2439</v>
      </c>
      <c r="E185" s="1572" t="s">
        <v>100</v>
      </c>
      <c r="F185" s="1598">
        <v>1</v>
      </c>
      <c r="G185" s="1574">
        <v>17.25</v>
      </c>
      <c r="H185" s="1575">
        <v>0</v>
      </c>
      <c r="I185" s="1593">
        <v>1</v>
      </c>
      <c r="J185" s="1594">
        <f t="shared" si="34"/>
        <v>17.25</v>
      </c>
      <c r="K185" s="1577">
        <f t="shared" si="35"/>
        <v>17500</v>
      </c>
      <c r="L185" s="1577">
        <f t="shared" si="36"/>
        <v>301875</v>
      </c>
      <c r="M185" s="1578">
        <v>0.11746465774214288</v>
      </c>
      <c r="N185" s="1615"/>
      <c r="O185" s="1615"/>
      <c r="P185" s="1615"/>
      <c r="Q185" s="1615"/>
      <c r="R185" s="1615"/>
      <c r="S185" s="1615"/>
      <c r="T185" s="1615"/>
      <c r="U185" s="1516"/>
      <c r="W185" s="1524"/>
    </row>
    <row r="186" spans="1:23" s="418" customFormat="1" hidden="1" outlineLevel="1">
      <c r="A186" s="893"/>
      <c r="B186" s="423" t="s">
        <v>1099</v>
      </c>
      <c r="C186" s="418" t="s">
        <v>2440</v>
      </c>
      <c r="D186" s="418" t="s">
        <v>2441</v>
      </c>
      <c r="E186" s="1572" t="s">
        <v>100</v>
      </c>
      <c r="F186" s="1598">
        <v>1</v>
      </c>
      <c r="G186" s="1574">
        <v>17.25</v>
      </c>
      <c r="H186" s="1575">
        <v>0</v>
      </c>
      <c r="I186" s="1593">
        <v>1</v>
      </c>
      <c r="J186" s="1594">
        <f t="shared" si="34"/>
        <v>17.25</v>
      </c>
      <c r="K186" s="1577">
        <f t="shared" si="35"/>
        <v>17500</v>
      </c>
      <c r="L186" s="1577">
        <f t="shared" si="36"/>
        <v>301875</v>
      </c>
      <c r="M186" s="1578">
        <v>0.11270843347303572</v>
      </c>
      <c r="N186" s="1615"/>
      <c r="O186" s="1615"/>
      <c r="P186" s="1615"/>
      <c r="Q186" s="1615"/>
      <c r="R186" s="1615"/>
      <c r="S186" s="1615"/>
      <c r="T186" s="1615"/>
      <c r="U186" s="1516"/>
      <c r="W186" s="1524"/>
    </row>
    <row r="187" spans="1:23" s="418" customFormat="1" hidden="1" outlineLevel="1">
      <c r="A187" s="893"/>
      <c r="B187" s="423" t="s">
        <v>1100</v>
      </c>
      <c r="C187" s="418" t="s">
        <v>2442</v>
      </c>
      <c r="D187" s="418" t="s">
        <v>2443</v>
      </c>
      <c r="E187" s="1572" t="s">
        <v>100</v>
      </c>
      <c r="F187" s="1598">
        <v>1</v>
      </c>
      <c r="G187" s="1574">
        <v>17.25</v>
      </c>
      <c r="H187" s="1575">
        <v>0</v>
      </c>
      <c r="I187" s="1593">
        <v>1</v>
      </c>
      <c r="J187" s="1594">
        <f t="shared" si="34"/>
        <v>17.25</v>
      </c>
      <c r="K187" s="1577">
        <f t="shared" si="35"/>
        <v>17500</v>
      </c>
      <c r="L187" s="1577">
        <f t="shared" si="36"/>
        <v>301875</v>
      </c>
      <c r="M187" s="1578">
        <v>0.19901154334678584</v>
      </c>
      <c r="N187" s="1615"/>
      <c r="O187" s="1615"/>
      <c r="P187" s="1615"/>
      <c r="Q187" s="1615"/>
      <c r="R187" s="1615"/>
      <c r="S187" s="1615"/>
      <c r="T187" s="1615"/>
      <c r="U187" s="1516"/>
      <c r="W187" s="1524"/>
    </row>
    <row r="188" spans="1:23" s="418" customFormat="1" hidden="1" outlineLevel="1">
      <c r="A188" s="893"/>
      <c r="B188" s="423" t="s">
        <v>1101</v>
      </c>
      <c r="C188" s="418" t="s">
        <v>2444</v>
      </c>
      <c r="D188" s="418" t="s">
        <v>2445</v>
      </c>
      <c r="E188" s="1572" t="s">
        <v>100</v>
      </c>
      <c r="F188" s="1598">
        <v>1</v>
      </c>
      <c r="G188" s="1574">
        <v>21.8</v>
      </c>
      <c r="H188" s="1575">
        <v>0</v>
      </c>
      <c r="I188" s="1593">
        <v>1</v>
      </c>
      <c r="J188" s="1594">
        <f t="shared" si="34"/>
        <v>21.8</v>
      </c>
      <c r="K188" s="1577">
        <f t="shared" si="35"/>
        <v>17500</v>
      </c>
      <c r="L188" s="1577">
        <f t="shared" si="36"/>
        <v>381500</v>
      </c>
      <c r="M188" s="1578">
        <v>0.26612722247767862</v>
      </c>
      <c r="N188" s="1615"/>
      <c r="O188" s="1615"/>
      <c r="P188" s="1615"/>
      <c r="Q188" s="1615"/>
      <c r="R188" s="1615"/>
      <c r="S188" s="1615"/>
      <c r="T188" s="1615"/>
      <c r="U188" s="1516"/>
      <c r="W188" s="1524"/>
    </row>
    <row r="189" spans="1:23" s="418" customFormat="1" hidden="1" outlineLevel="1">
      <c r="A189" s="893"/>
      <c r="B189" s="423" t="s">
        <v>1102</v>
      </c>
      <c r="C189" s="418" t="s">
        <v>2446</v>
      </c>
      <c r="D189" s="418" t="s">
        <v>2447</v>
      </c>
      <c r="E189" s="1572" t="s">
        <v>100</v>
      </c>
      <c r="F189" s="1598">
        <v>1</v>
      </c>
      <c r="G189" s="1574">
        <v>32.5</v>
      </c>
      <c r="H189" s="1575">
        <v>0</v>
      </c>
      <c r="I189" s="1593">
        <v>1</v>
      </c>
      <c r="J189" s="1594">
        <f t="shared" si="34"/>
        <v>32.5</v>
      </c>
      <c r="K189" s="1577">
        <f t="shared" si="35"/>
        <v>17500</v>
      </c>
      <c r="L189" s="1577">
        <f t="shared" si="36"/>
        <v>568750</v>
      </c>
      <c r="M189" s="1578">
        <v>0.29229937685142848</v>
      </c>
      <c r="N189" s="1615"/>
      <c r="O189" s="1615"/>
      <c r="P189" s="1615"/>
      <c r="Q189" s="1615"/>
      <c r="R189" s="1615"/>
      <c r="S189" s="1615"/>
      <c r="T189" s="1615"/>
      <c r="U189" s="1516"/>
      <c r="W189" s="1524"/>
    </row>
    <row r="190" spans="1:23" s="418" customFormat="1" hidden="1" outlineLevel="1">
      <c r="A190" s="893"/>
      <c r="B190" s="423" t="s">
        <v>1103</v>
      </c>
      <c r="C190" s="418" t="s">
        <v>2448</v>
      </c>
      <c r="D190" s="418" t="s">
        <v>2449</v>
      </c>
      <c r="E190" s="1572" t="s">
        <v>100</v>
      </c>
      <c r="F190" s="1598">
        <v>1</v>
      </c>
      <c r="G190" s="1574">
        <v>21.8</v>
      </c>
      <c r="H190" s="1575">
        <v>0</v>
      </c>
      <c r="I190" s="1593">
        <v>1</v>
      </c>
      <c r="J190" s="1594">
        <f t="shared" si="34"/>
        <v>21.8</v>
      </c>
      <c r="K190" s="1577">
        <f t="shared" si="35"/>
        <v>17500</v>
      </c>
      <c r="L190" s="1577">
        <f t="shared" si="36"/>
        <v>381500</v>
      </c>
      <c r="M190" s="1578">
        <v>0.30513424013089263</v>
      </c>
      <c r="N190" s="1615"/>
      <c r="O190" s="1615"/>
      <c r="P190" s="1615"/>
      <c r="Q190" s="1615"/>
      <c r="R190" s="1615"/>
      <c r="S190" s="1615"/>
      <c r="T190" s="1615"/>
      <c r="U190" s="1516"/>
      <c r="W190" s="1524"/>
    </row>
    <row r="191" spans="1:23" s="418" customFormat="1" hidden="1" outlineLevel="1">
      <c r="A191" s="893"/>
      <c r="B191" s="423" t="s">
        <v>1104</v>
      </c>
      <c r="C191" s="418" t="s">
        <v>2450</v>
      </c>
      <c r="D191" s="418" t="s">
        <v>2451</v>
      </c>
      <c r="E191" s="1572" t="s">
        <v>100</v>
      </c>
      <c r="F191" s="1598">
        <v>1</v>
      </c>
      <c r="G191" s="1574">
        <v>26.75</v>
      </c>
      <c r="H191" s="1575">
        <v>0</v>
      </c>
      <c r="I191" s="1593">
        <v>1</v>
      </c>
      <c r="J191" s="1594">
        <f t="shared" si="34"/>
        <v>26.75</v>
      </c>
      <c r="K191" s="1577">
        <f t="shared" si="35"/>
        <v>17500</v>
      </c>
      <c r="L191" s="1577">
        <f t="shared" si="36"/>
        <v>468125</v>
      </c>
      <c r="M191" s="1578">
        <v>0.3442761400846428</v>
      </c>
      <c r="N191" s="1615"/>
      <c r="O191" s="1615"/>
      <c r="P191" s="1615"/>
      <c r="Q191" s="1615"/>
      <c r="R191" s="1615"/>
      <c r="S191" s="1615"/>
      <c r="T191" s="1615"/>
      <c r="U191" s="1516"/>
      <c r="W191" s="1524"/>
    </row>
    <row r="192" spans="1:23" s="418" customFormat="1" hidden="1" outlineLevel="1">
      <c r="A192" s="893"/>
      <c r="B192" s="423" t="s">
        <v>1105</v>
      </c>
      <c r="C192" s="418" t="s">
        <v>2452</v>
      </c>
      <c r="D192" s="418" t="s">
        <v>2453</v>
      </c>
      <c r="E192" s="1572" t="s">
        <v>100</v>
      </c>
      <c r="F192" s="1598">
        <v>1</v>
      </c>
      <c r="G192" s="1574">
        <v>29.7</v>
      </c>
      <c r="H192" s="1575">
        <v>0</v>
      </c>
      <c r="I192" s="1593">
        <v>1</v>
      </c>
      <c r="J192" s="1594">
        <f t="shared" si="34"/>
        <v>29.7</v>
      </c>
      <c r="K192" s="1577">
        <f t="shared" si="35"/>
        <v>17500</v>
      </c>
      <c r="L192" s="1577">
        <f t="shared" si="36"/>
        <v>519750</v>
      </c>
      <c r="M192" s="1578">
        <v>0.46527557331553582</v>
      </c>
      <c r="N192" s="1615"/>
      <c r="O192" s="1615"/>
      <c r="P192" s="1615"/>
      <c r="Q192" s="1615"/>
      <c r="R192" s="1615"/>
      <c r="S192" s="1615"/>
      <c r="T192" s="1615"/>
      <c r="U192" s="1516"/>
      <c r="W192" s="1524"/>
    </row>
    <row r="193" spans="1:27" s="418" customFormat="1" hidden="1" outlineLevel="1">
      <c r="A193" s="893"/>
      <c r="B193" s="423" t="s">
        <v>1106</v>
      </c>
      <c r="C193" s="418" t="s">
        <v>2454</v>
      </c>
      <c r="D193" s="418" t="s">
        <v>2455</v>
      </c>
      <c r="E193" s="1572" t="s">
        <v>100</v>
      </c>
      <c r="F193" s="1598">
        <v>1</v>
      </c>
      <c r="G193" s="1574">
        <v>29.7</v>
      </c>
      <c r="H193" s="1575">
        <v>0</v>
      </c>
      <c r="I193" s="1593">
        <v>1</v>
      </c>
      <c r="J193" s="1594">
        <f t="shared" si="34"/>
        <v>29.7</v>
      </c>
      <c r="K193" s="1577">
        <f t="shared" si="35"/>
        <v>17500</v>
      </c>
      <c r="L193" s="1577">
        <f t="shared" si="36"/>
        <v>519750</v>
      </c>
      <c r="M193" s="1578">
        <v>0.48506655045357172</v>
      </c>
      <c r="N193" s="1615"/>
      <c r="O193" s="1615"/>
      <c r="P193" s="1615"/>
      <c r="Q193" s="1615"/>
      <c r="R193" s="1615"/>
      <c r="S193" s="1615"/>
      <c r="T193" s="1615"/>
      <c r="U193" s="1516"/>
      <c r="W193" s="1524"/>
    </row>
    <row r="194" spans="1:27" s="418" customFormat="1" hidden="1" outlineLevel="1">
      <c r="A194" s="893"/>
      <c r="B194" s="423" t="s">
        <v>1107</v>
      </c>
      <c r="C194" s="418" t="s">
        <v>2456</v>
      </c>
      <c r="D194" s="418" t="s">
        <v>2457</v>
      </c>
      <c r="E194" s="1572" t="s">
        <v>100</v>
      </c>
      <c r="F194" s="1598">
        <v>1</v>
      </c>
      <c r="G194" s="1574">
        <v>29.7</v>
      </c>
      <c r="H194" s="1575">
        <v>0</v>
      </c>
      <c r="I194" s="1593">
        <v>1</v>
      </c>
      <c r="J194" s="1594">
        <f t="shared" si="34"/>
        <v>29.7</v>
      </c>
      <c r="K194" s="1577">
        <f t="shared" si="35"/>
        <v>17500</v>
      </c>
      <c r="L194" s="1577">
        <f t="shared" si="36"/>
        <v>519750</v>
      </c>
      <c r="M194" s="1578">
        <v>0.51691665972375034</v>
      </c>
      <c r="N194" s="1615"/>
      <c r="O194" s="1615"/>
      <c r="P194" s="1615"/>
      <c r="Q194" s="1615"/>
      <c r="R194" s="1615"/>
      <c r="S194" s="1615"/>
      <c r="T194" s="1615"/>
      <c r="U194" s="1516"/>
      <c r="W194" s="1524"/>
    </row>
    <row r="195" spans="1:27" s="418" customFormat="1" hidden="1" outlineLevel="1">
      <c r="A195" s="893"/>
      <c r="B195" s="423" t="s">
        <v>1108</v>
      </c>
      <c r="C195" s="418" t="s">
        <v>2458</v>
      </c>
      <c r="D195" s="418" t="s">
        <v>2459</v>
      </c>
      <c r="E195" s="1572" t="s">
        <v>100</v>
      </c>
      <c r="F195" s="1598">
        <v>1</v>
      </c>
      <c r="G195" s="1574">
        <v>32.5</v>
      </c>
      <c r="H195" s="1575">
        <v>0</v>
      </c>
      <c r="I195" s="1593">
        <v>1</v>
      </c>
      <c r="J195" s="1594">
        <f t="shared" si="34"/>
        <v>32.5</v>
      </c>
      <c r="K195" s="1577">
        <f t="shared" si="35"/>
        <v>17500</v>
      </c>
      <c r="L195" s="1577">
        <f t="shared" si="36"/>
        <v>568750</v>
      </c>
      <c r="M195" s="1578">
        <v>0.4367747661082142</v>
      </c>
      <c r="N195" s="1615"/>
      <c r="O195" s="1615"/>
      <c r="P195" s="1615"/>
      <c r="Q195" s="1615"/>
      <c r="R195" s="1615"/>
      <c r="S195" s="1615"/>
      <c r="T195" s="1615"/>
      <c r="U195" s="1516"/>
      <c r="W195" s="1524"/>
    </row>
    <row r="196" spans="1:27" s="418" customFormat="1" hidden="1" outlineLevel="1">
      <c r="A196" s="893"/>
      <c r="B196" s="423" t="s">
        <v>1109</v>
      </c>
      <c r="C196" s="418" t="s">
        <v>2460</v>
      </c>
      <c r="D196" s="418" t="s">
        <v>2461</v>
      </c>
      <c r="E196" s="1572" t="s">
        <v>100</v>
      </c>
      <c r="F196" s="1598">
        <v>1</v>
      </c>
      <c r="G196" s="1574">
        <v>38.75</v>
      </c>
      <c r="H196" s="1575">
        <v>0</v>
      </c>
      <c r="I196" s="1593">
        <v>1</v>
      </c>
      <c r="J196" s="1594">
        <f t="shared" si="34"/>
        <v>38.75</v>
      </c>
      <c r="K196" s="1577">
        <f t="shared" si="35"/>
        <v>17500</v>
      </c>
      <c r="L196" s="1577">
        <f t="shared" si="36"/>
        <v>678125</v>
      </c>
      <c r="M196" s="1578">
        <v>0.68775100045339288</v>
      </c>
      <c r="N196" s="1615"/>
      <c r="O196" s="1615"/>
      <c r="P196" s="1615"/>
      <c r="Q196" s="1615"/>
      <c r="R196" s="1615"/>
      <c r="S196" s="1615"/>
      <c r="T196" s="1615"/>
      <c r="U196" s="1516"/>
      <c r="W196" s="1524"/>
    </row>
    <row r="197" spans="1:27" s="418" customFormat="1" hidden="1" outlineLevel="1">
      <c r="A197" s="893"/>
      <c r="B197" s="423" t="s">
        <v>1110</v>
      </c>
      <c r="C197" s="418" t="s">
        <v>2462</v>
      </c>
      <c r="D197" s="418" t="s">
        <v>2463</v>
      </c>
      <c r="E197" s="1572" t="s">
        <v>100</v>
      </c>
      <c r="F197" s="1598">
        <v>1</v>
      </c>
      <c r="G197" s="1574">
        <v>38.75</v>
      </c>
      <c r="H197" s="1575">
        <v>0</v>
      </c>
      <c r="I197" s="1593">
        <v>1</v>
      </c>
      <c r="J197" s="1594">
        <f t="shared" si="34"/>
        <v>38.75</v>
      </c>
      <c r="K197" s="1577">
        <f t="shared" si="35"/>
        <v>17500</v>
      </c>
      <c r="L197" s="1577">
        <f t="shared" si="36"/>
        <v>678125</v>
      </c>
      <c r="M197" s="1578">
        <v>0.71501761475571413</v>
      </c>
      <c r="N197" s="1615"/>
      <c r="O197" s="1615"/>
      <c r="P197" s="1615"/>
      <c r="Q197" s="1615"/>
      <c r="R197" s="1615"/>
      <c r="S197" s="1615"/>
      <c r="T197" s="1615"/>
      <c r="U197" s="1516"/>
      <c r="W197" s="1524"/>
    </row>
    <row r="198" spans="1:27" s="418" customFormat="1" hidden="1" outlineLevel="1">
      <c r="A198" s="893"/>
      <c r="B198" s="423" t="s">
        <v>1111</v>
      </c>
      <c r="C198" s="418" t="s">
        <v>2464</v>
      </c>
      <c r="D198" s="418" t="s">
        <v>2465</v>
      </c>
      <c r="E198" s="1572" t="s">
        <v>100</v>
      </c>
      <c r="F198" s="1598">
        <v>1</v>
      </c>
      <c r="G198" s="1574">
        <v>38.75</v>
      </c>
      <c r="H198" s="1575">
        <v>0</v>
      </c>
      <c r="I198" s="1593">
        <v>1</v>
      </c>
      <c r="J198" s="1594">
        <f t="shared" si="34"/>
        <v>38.75</v>
      </c>
      <c r="K198" s="1577">
        <f t="shared" si="35"/>
        <v>17500</v>
      </c>
      <c r="L198" s="1577">
        <f t="shared" si="36"/>
        <v>678125</v>
      </c>
      <c r="M198" s="1578">
        <v>0.71242953370089279</v>
      </c>
      <c r="N198" s="1615"/>
      <c r="O198" s="1615"/>
      <c r="P198" s="1615"/>
      <c r="Q198" s="1615"/>
      <c r="R198" s="1615"/>
      <c r="S198" s="1615"/>
      <c r="T198" s="1615"/>
      <c r="U198" s="1516"/>
      <c r="W198" s="1524"/>
    </row>
    <row r="199" spans="1:27" s="418" customFormat="1" hidden="1" outlineLevel="1">
      <c r="A199" s="893"/>
      <c r="B199" s="423" t="s">
        <v>1112</v>
      </c>
      <c r="C199" s="418" t="s">
        <v>2466</v>
      </c>
      <c r="D199" s="418" t="s">
        <v>2467</v>
      </c>
      <c r="E199" s="1572" t="s">
        <v>100</v>
      </c>
      <c r="F199" s="1598">
        <v>1</v>
      </c>
      <c r="G199" s="1574">
        <v>45.45</v>
      </c>
      <c r="H199" s="1575">
        <v>0</v>
      </c>
      <c r="I199" s="1593">
        <v>1</v>
      </c>
      <c r="J199" s="1594">
        <f t="shared" si="34"/>
        <v>45.45</v>
      </c>
      <c r="K199" s="1577">
        <f t="shared" si="35"/>
        <v>17500</v>
      </c>
      <c r="L199" s="1577">
        <f t="shared" si="36"/>
        <v>795375</v>
      </c>
      <c r="M199" s="1578">
        <v>0.99863397346035776</v>
      </c>
      <c r="N199" s="1615"/>
      <c r="O199" s="1615"/>
      <c r="P199" s="1615"/>
      <c r="Q199" s="1615"/>
      <c r="R199" s="1615"/>
      <c r="S199" s="1615"/>
      <c r="T199" s="1615"/>
      <c r="U199" s="1516"/>
      <c r="W199" s="1524"/>
    </row>
    <row r="200" spans="1:27" s="418" customFormat="1" hidden="1" outlineLevel="1">
      <c r="A200" s="893"/>
      <c r="B200" s="423" t="s">
        <v>1113</v>
      </c>
      <c r="C200" s="418" t="s">
        <v>2468</v>
      </c>
      <c r="D200" s="418" t="s">
        <v>2469</v>
      </c>
      <c r="E200" s="1572" t="s">
        <v>100</v>
      </c>
      <c r="F200" s="1598">
        <v>1</v>
      </c>
      <c r="G200" s="1574">
        <v>45.45</v>
      </c>
      <c r="H200" s="1575">
        <v>0</v>
      </c>
      <c r="I200" s="1593">
        <v>1</v>
      </c>
      <c r="J200" s="1594">
        <f t="shared" si="34"/>
        <v>45.45</v>
      </c>
      <c r="K200" s="1577">
        <f t="shared" si="35"/>
        <v>17500</v>
      </c>
      <c r="L200" s="1577">
        <f t="shared" si="36"/>
        <v>795375</v>
      </c>
      <c r="M200" s="1578">
        <v>0.9509753891412509</v>
      </c>
      <c r="N200" s="1615"/>
      <c r="O200" s="1615"/>
      <c r="P200" s="1615"/>
      <c r="Q200" s="1615"/>
      <c r="R200" s="1615"/>
      <c r="S200" s="1615"/>
      <c r="T200" s="1615"/>
      <c r="U200" s="1516"/>
      <c r="W200" s="1524"/>
    </row>
    <row r="201" spans="1:27" s="418" customFormat="1" hidden="1" outlineLevel="1">
      <c r="A201" s="893"/>
      <c r="B201" s="423" t="s">
        <v>1114</v>
      </c>
      <c r="C201" s="418" t="s">
        <v>2470</v>
      </c>
      <c r="D201" s="418" t="s">
        <v>2471</v>
      </c>
      <c r="E201" s="1572" t="s">
        <v>100</v>
      </c>
      <c r="F201" s="1598">
        <v>1</v>
      </c>
      <c r="G201" s="1574">
        <v>52.75</v>
      </c>
      <c r="H201" s="1575">
        <v>0</v>
      </c>
      <c r="I201" s="1593">
        <v>1</v>
      </c>
      <c r="J201" s="1594">
        <f t="shared" si="34"/>
        <v>52.75</v>
      </c>
      <c r="K201" s="1577">
        <f t="shared" si="35"/>
        <v>17500</v>
      </c>
      <c r="L201" s="1577">
        <f t="shared" si="36"/>
        <v>923125</v>
      </c>
      <c r="M201" s="1578">
        <v>1.1306638118364287</v>
      </c>
      <c r="N201" s="1615"/>
      <c r="O201" s="1615"/>
      <c r="P201" s="1615"/>
      <c r="Q201" s="1615"/>
      <c r="R201" s="1615"/>
      <c r="S201" s="1615"/>
      <c r="T201" s="1615"/>
      <c r="U201" s="1516"/>
      <c r="W201" s="1524"/>
    </row>
    <row r="202" spans="1:27" s="418" customFormat="1" hidden="1" outlineLevel="1">
      <c r="A202" s="893"/>
      <c r="B202" s="423" t="s">
        <v>2472</v>
      </c>
      <c r="C202" s="418" t="s">
        <v>2473</v>
      </c>
      <c r="D202" s="418" t="s">
        <v>2474</v>
      </c>
      <c r="E202" s="1572" t="s">
        <v>100</v>
      </c>
      <c r="F202" s="1598">
        <v>1</v>
      </c>
      <c r="G202" s="1574">
        <v>52.75</v>
      </c>
      <c r="H202" s="1575">
        <v>0</v>
      </c>
      <c r="I202" s="1593">
        <v>1</v>
      </c>
      <c r="J202" s="1594">
        <f t="shared" si="34"/>
        <v>52.75</v>
      </c>
      <c r="K202" s="1577">
        <f t="shared" si="35"/>
        <v>17500</v>
      </c>
      <c r="L202" s="1577">
        <f t="shared" si="36"/>
        <v>923125</v>
      </c>
      <c r="M202" s="1578">
        <v>1.3807256058101784</v>
      </c>
      <c r="N202" s="1615"/>
      <c r="O202" s="1615"/>
      <c r="P202" s="1615"/>
      <c r="Q202" s="1615"/>
      <c r="R202" s="1615"/>
      <c r="S202" s="1615"/>
      <c r="T202" s="1615"/>
      <c r="U202" s="1516"/>
      <c r="W202" s="1524"/>
    </row>
    <row r="203" spans="1:27" s="418" customFormat="1" hidden="1" outlineLevel="1">
      <c r="A203" s="893"/>
      <c r="B203" s="423" t="s">
        <v>1115</v>
      </c>
      <c r="C203" s="418" t="s">
        <v>2475</v>
      </c>
      <c r="D203" s="418" t="s">
        <v>2476</v>
      </c>
      <c r="E203" s="1572" t="s">
        <v>100</v>
      </c>
      <c r="F203" s="1598">
        <v>1</v>
      </c>
      <c r="G203" s="1574">
        <v>52.75</v>
      </c>
      <c r="H203" s="1575">
        <v>0</v>
      </c>
      <c r="I203" s="1593">
        <v>1</v>
      </c>
      <c r="J203" s="1594">
        <f t="shared" si="34"/>
        <v>52.75</v>
      </c>
      <c r="K203" s="1577">
        <f t="shared" si="35"/>
        <v>17500</v>
      </c>
      <c r="L203" s="1577">
        <f t="shared" si="36"/>
        <v>923125</v>
      </c>
      <c r="M203" s="1578">
        <v>1.3733957586839285</v>
      </c>
      <c r="N203" s="1615"/>
      <c r="O203" s="1615"/>
      <c r="P203" s="1615"/>
      <c r="Q203" s="1615"/>
      <c r="R203" s="1615"/>
      <c r="S203" s="1615"/>
      <c r="T203" s="1615"/>
      <c r="U203" s="1516"/>
      <c r="W203" s="1524"/>
    </row>
    <row r="204" spans="1:27" s="418" customFormat="1" hidden="1" outlineLevel="1">
      <c r="A204" s="893"/>
      <c r="B204" s="423" t="s">
        <v>1116</v>
      </c>
      <c r="C204" s="418" t="s">
        <v>2477</v>
      </c>
      <c r="D204" s="418" t="s">
        <v>2478</v>
      </c>
      <c r="E204" s="1572" t="s">
        <v>100</v>
      </c>
      <c r="F204" s="1598">
        <v>1</v>
      </c>
      <c r="G204" s="1574">
        <v>69</v>
      </c>
      <c r="H204" s="1575">
        <v>0</v>
      </c>
      <c r="I204" s="1593">
        <v>1</v>
      </c>
      <c r="J204" s="1594">
        <f t="shared" si="34"/>
        <v>69</v>
      </c>
      <c r="K204" s="1577">
        <f t="shared" si="35"/>
        <v>17500</v>
      </c>
      <c r="L204" s="1577">
        <f t="shared" si="36"/>
        <v>1207500</v>
      </c>
      <c r="M204" s="1578">
        <v>1.3733957586839285</v>
      </c>
      <c r="N204" s="1615"/>
      <c r="O204" s="1615"/>
      <c r="P204" s="1615"/>
      <c r="Q204" s="1615"/>
      <c r="R204" s="1615"/>
      <c r="S204" s="1615"/>
      <c r="T204" s="1615"/>
      <c r="U204" s="1516"/>
      <c r="W204" s="1524"/>
    </row>
    <row r="205" spans="1:27" s="418" customFormat="1" hidden="1" outlineLevel="1">
      <c r="A205" s="893"/>
      <c r="B205" s="423" t="s">
        <v>1117</v>
      </c>
      <c r="C205" s="418" t="s">
        <v>2479</v>
      </c>
      <c r="D205" s="418" t="s">
        <v>2480</v>
      </c>
      <c r="E205" s="1572" t="s">
        <v>100</v>
      </c>
      <c r="F205" s="1598">
        <v>1</v>
      </c>
      <c r="G205" s="1574">
        <v>69</v>
      </c>
      <c r="H205" s="1575">
        <v>0</v>
      </c>
      <c r="I205" s="1593">
        <v>1</v>
      </c>
      <c r="J205" s="1594">
        <f t="shared" si="34"/>
        <v>69</v>
      </c>
      <c r="K205" s="1577">
        <f t="shared" si="35"/>
        <v>17500</v>
      </c>
      <c r="L205" s="1577">
        <f t="shared" si="36"/>
        <v>1207500</v>
      </c>
      <c r="M205" s="1578">
        <v>1.3733957586839285</v>
      </c>
      <c r="N205" s="1615"/>
      <c r="O205" s="1615"/>
      <c r="P205" s="1615"/>
      <c r="Q205" s="1615"/>
      <c r="R205" s="1615"/>
      <c r="S205" s="1615"/>
      <c r="T205" s="1615"/>
      <c r="U205" s="1516"/>
      <c r="W205" s="1524"/>
    </row>
    <row r="206" spans="1:27" s="418" customFormat="1" hidden="1" outlineLevel="1">
      <c r="A206" s="893"/>
      <c r="B206" s="1533" t="s">
        <v>1118</v>
      </c>
      <c r="C206" s="842" t="s">
        <v>2481</v>
      </c>
      <c r="D206" s="842" t="s">
        <v>2482</v>
      </c>
      <c r="E206" s="1580" t="s">
        <v>100</v>
      </c>
      <c r="F206" s="1599">
        <v>1</v>
      </c>
      <c r="G206" s="1582">
        <v>69</v>
      </c>
      <c r="H206" s="1583">
        <v>0</v>
      </c>
      <c r="I206" s="1595">
        <v>1</v>
      </c>
      <c r="J206" s="1584">
        <f t="shared" si="34"/>
        <v>69</v>
      </c>
      <c r="K206" s="1585">
        <f t="shared" si="35"/>
        <v>17500</v>
      </c>
      <c r="L206" s="1585">
        <f t="shared" si="36"/>
        <v>1207500</v>
      </c>
      <c r="M206" s="1586">
        <v>1.3733957586839285</v>
      </c>
      <c r="N206" s="1616"/>
      <c r="O206" s="1616"/>
      <c r="P206" s="1616"/>
      <c r="Q206" s="1616"/>
      <c r="R206" s="1616"/>
      <c r="S206" s="1616"/>
      <c r="T206" s="1616"/>
      <c r="U206" s="1516"/>
      <c r="W206" s="1524"/>
    </row>
    <row r="207" spans="1:27" ht="15" collapsed="1">
      <c r="F207" s="936"/>
      <c r="G207" s="817"/>
      <c r="H207" s="428"/>
      <c r="I207" s="926"/>
      <c r="J207" s="1019"/>
      <c r="K207" s="1019"/>
      <c r="L207" s="1626"/>
      <c r="M207" s="1626"/>
      <c r="N207" s="1627"/>
      <c r="P207" s="1628"/>
      <c r="Q207" s="1628"/>
      <c r="R207" s="824"/>
      <c r="S207" s="824"/>
      <c r="T207" s="1629"/>
      <c r="V207" s="936"/>
      <c r="W207" s="1624"/>
      <c r="Z207" s="1624"/>
      <c r="AA207" s="1624"/>
    </row>
    <row r="208" spans="1:27" ht="18.75">
      <c r="B208" s="2255" t="s">
        <v>2483</v>
      </c>
      <c r="C208" s="2256"/>
      <c r="D208" s="2257"/>
      <c r="E208" s="1630" t="s">
        <v>1128</v>
      </c>
      <c r="F208" s="1630" t="s">
        <v>88</v>
      </c>
      <c r="G208" s="1630" t="s">
        <v>89</v>
      </c>
      <c r="H208" s="1631" t="s">
        <v>90</v>
      </c>
      <c r="I208" s="1630" t="s">
        <v>2484</v>
      </c>
      <c r="J208" s="1632" t="s">
        <v>2485</v>
      </c>
      <c r="K208" s="1630" t="s">
        <v>2486</v>
      </c>
      <c r="L208" s="1630" t="s">
        <v>2487</v>
      </c>
      <c r="M208" s="1630" t="s">
        <v>2488</v>
      </c>
      <c r="N208" s="1630"/>
      <c r="O208" s="1630"/>
      <c r="P208" s="1630"/>
      <c r="Q208" s="1630"/>
      <c r="R208" s="1630"/>
      <c r="S208" s="1630"/>
      <c r="T208" s="1630"/>
      <c r="U208" s="1623"/>
      <c r="V208" s="1624"/>
      <c r="W208" s="1624"/>
      <c r="Z208" s="1624"/>
      <c r="AA208" s="1624"/>
    </row>
    <row r="209" spans="2:27" ht="15" outlineLevel="1">
      <c r="B209" s="2258" t="s">
        <v>2489</v>
      </c>
      <c r="C209" s="1633" t="s">
        <v>2490</v>
      </c>
      <c r="D209" s="1634" t="s">
        <v>2879</v>
      </c>
      <c r="E209" s="1635" t="s">
        <v>1275</v>
      </c>
      <c r="F209" s="1636">
        <v>6</v>
      </c>
      <c r="G209" s="1636">
        <v>12</v>
      </c>
      <c r="H209" s="1636">
        <v>38</v>
      </c>
      <c r="I209" s="1636">
        <v>900</v>
      </c>
      <c r="J209" s="1637">
        <v>38</v>
      </c>
      <c r="K209" s="1638"/>
      <c r="L209" s="1639">
        <v>2</v>
      </c>
      <c r="M209" s="1640">
        <v>2</v>
      </c>
      <c r="N209" s="1638"/>
      <c r="O209" s="1638"/>
      <c r="P209" s="1638"/>
      <c r="Q209" s="1638"/>
      <c r="R209" s="1638"/>
      <c r="S209" s="1638"/>
      <c r="T209" s="1638"/>
      <c r="U209" s="1623"/>
      <c r="V209" s="1624"/>
      <c r="W209" s="1624"/>
      <c r="Z209" s="1624"/>
      <c r="AA209" s="1624"/>
    </row>
    <row r="210" spans="2:27" ht="18.75" outlineLevel="1">
      <c r="B210" s="2259"/>
      <c r="C210" s="1641" t="s">
        <v>2491</v>
      </c>
      <c r="D210" s="1642">
        <f>VLOOKUP($E$209,$B$11:$O$206,4,FALSE)</f>
        <v>25</v>
      </c>
      <c r="E210" s="1489" t="s">
        <v>2492</v>
      </c>
      <c r="F210" s="1489" t="s">
        <v>1291</v>
      </c>
      <c r="G210" s="1489" t="s">
        <v>1961</v>
      </c>
      <c r="H210" s="1489" t="s">
        <v>1292</v>
      </c>
      <c r="I210" s="1489" t="s">
        <v>2493</v>
      </c>
      <c r="J210" s="1490" t="s">
        <v>2494</v>
      </c>
      <c r="K210" s="765" t="s">
        <v>2495</v>
      </c>
      <c r="L210" s="1643"/>
      <c r="M210" s="1643"/>
      <c r="N210" s="1643"/>
      <c r="O210" s="1643"/>
      <c r="P210" s="1643"/>
      <c r="Q210" s="1643"/>
      <c r="R210" s="1643"/>
      <c r="S210" s="1643"/>
      <c r="T210" s="1643"/>
      <c r="U210" s="1623"/>
      <c r="V210" s="1624"/>
      <c r="W210" s="1624"/>
      <c r="Z210" s="1624"/>
      <c r="AA210" s="1624"/>
    </row>
    <row r="211" spans="2:27" ht="15" outlineLevel="1">
      <c r="B211" s="2260"/>
      <c r="C211" s="1633" t="s">
        <v>2496</v>
      </c>
      <c r="D211" s="1644">
        <f>VLOOKUP($E$209,$B$11:$O$206,5,FALSE)</f>
        <v>21.65</v>
      </c>
      <c r="E211" s="1645">
        <f>VLOOKUP($E$209,$B$11:$O$206,2,FALSE)</f>
        <v>9.5249999999999986</v>
      </c>
      <c r="F211" s="1646">
        <f>F209*D211</f>
        <v>129.89999999999998</v>
      </c>
      <c r="G211" s="1645">
        <f>VLOOKUP($E$209,$B$11:$O$206,13,FALSE)</f>
        <v>1.0694056943669443</v>
      </c>
      <c r="H211" s="1646">
        <f>H209*D210</f>
        <v>950</v>
      </c>
      <c r="I211" s="1647">
        <f>J223</f>
        <v>1026.6294665922665</v>
      </c>
      <c r="J211" s="1648">
        <f>IF(ISBLANK(J209),ROUND(I209/1000*H209*F209/10,0),J209)</f>
        <v>38</v>
      </c>
      <c r="K211" s="1646">
        <f>IF(ISBLANK(K209),1,K209)</f>
        <v>1</v>
      </c>
      <c r="L211" s="1643"/>
      <c r="M211" s="1643"/>
      <c r="N211" s="1643"/>
      <c r="O211" s="1643"/>
      <c r="P211" s="1643"/>
      <c r="Q211" s="1643"/>
      <c r="R211" s="1643"/>
      <c r="S211" s="1643"/>
      <c r="T211" s="1643"/>
      <c r="U211" s="1623"/>
      <c r="V211" s="1624"/>
      <c r="W211" s="1624"/>
      <c r="Z211" s="1624"/>
      <c r="AA211" s="1624"/>
    </row>
    <row r="212" spans="2:27" ht="18.75">
      <c r="B212" s="2255" t="s">
        <v>2497</v>
      </c>
      <c r="C212" s="2256"/>
      <c r="D212" s="2257"/>
      <c r="E212" s="1630" t="s">
        <v>2498</v>
      </c>
      <c r="F212" s="1630" t="s">
        <v>2499</v>
      </c>
      <c r="G212" s="1630" t="s">
        <v>2500</v>
      </c>
      <c r="H212" s="1630" t="s">
        <v>2501</v>
      </c>
      <c r="I212" s="1630" t="s">
        <v>70</v>
      </c>
      <c r="J212" s="1632" t="s">
        <v>34</v>
      </c>
      <c r="K212" s="1630"/>
      <c r="L212" s="1630"/>
      <c r="M212" s="1630"/>
      <c r="N212" s="1630"/>
      <c r="O212" s="1630"/>
      <c r="P212" s="1630"/>
      <c r="Q212" s="1630"/>
      <c r="R212" s="1630"/>
      <c r="S212" s="1630"/>
      <c r="T212" s="1630"/>
      <c r="U212" s="1623"/>
      <c r="V212" s="1624"/>
      <c r="W212" s="1624"/>
      <c r="Z212" s="1624"/>
      <c r="AA212" s="1624"/>
    </row>
    <row r="213" spans="2:27" ht="15" outlineLevel="1">
      <c r="B213" s="2254" t="s">
        <v>2502</v>
      </c>
      <c r="C213" s="1643" t="s">
        <v>2503</v>
      </c>
      <c r="D213" s="1649" t="s">
        <v>2036</v>
      </c>
      <c r="E213" s="1650"/>
      <c r="F213" s="1646">
        <f>IF(ISBLANK(E213),VLOOKUP($E$209,$B$11:$O$206,6,FALSE),E213)</f>
        <v>0.11</v>
      </c>
      <c r="G213" s="1651"/>
      <c r="H213" s="1652">
        <f>IF(G213="",VLOOKUP($D213,$B$19:$O$206,11,FALSE),G213)</f>
        <v>108000</v>
      </c>
      <c r="I213" s="1646">
        <f>VLOOKUP($D213,$B$11:$O$206,5,FALSE)</f>
        <v>2700</v>
      </c>
      <c r="J213" s="1653">
        <f>VLOOKUP($E$209,$B$11:$O$206,10,FALSE)</f>
        <v>1.0305970149253734</v>
      </c>
      <c r="K213" s="765"/>
      <c r="L213" s="1654"/>
      <c r="M213" s="765"/>
      <c r="N213" s="765"/>
      <c r="O213" s="765"/>
      <c r="P213" s="765"/>
      <c r="Q213" s="765"/>
      <c r="R213" s="765"/>
      <c r="S213" s="765"/>
      <c r="T213" s="765"/>
      <c r="U213" s="1623"/>
      <c r="V213" s="1624"/>
      <c r="W213" s="1624"/>
      <c r="Z213" s="1624"/>
      <c r="AA213" s="1624"/>
    </row>
    <row r="214" spans="2:27" ht="15" outlineLevel="1">
      <c r="B214" s="2254"/>
      <c r="C214" s="1643" t="s">
        <v>2504</v>
      </c>
      <c r="D214" s="1649" t="s">
        <v>2085</v>
      </c>
      <c r="E214" s="1650"/>
      <c r="F214" s="1646">
        <f>IF(ISBLANK(E214),VLOOKUP($E$209,$B$11:$O$206,7,FALSE),E214)</f>
        <v>0.33</v>
      </c>
      <c r="G214" s="1651"/>
      <c r="H214" s="1652">
        <f>IF(G214="",VLOOKUP($D$214,$B$19:$O$206,11,FALSE),G214)</f>
        <v>325000</v>
      </c>
      <c r="I214" s="1646">
        <f t="shared" ref="I214:I215" si="37">VLOOKUP($D214,$B$11:$O$206,5,FALSE)</f>
        <v>8900</v>
      </c>
      <c r="J214" s="1653">
        <f>VLOOKUP($E$209,$B$11:$O$206,11,FALSE)</f>
        <v>1.02</v>
      </c>
      <c r="K214" s="765"/>
      <c r="L214" s="1654"/>
      <c r="M214" s="765"/>
      <c r="N214" s="765"/>
      <c r="O214" s="765"/>
      <c r="P214" s="765"/>
      <c r="Q214" s="765"/>
      <c r="R214" s="765"/>
      <c r="S214" s="765"/>
      <c r="T214" s="765"/>
      <c r="U214" s="1623"/>
      <c r="V214" s="1624"/>
      <c r="W214" s="1624"/>
      <c r="Z214" s="1624"/>
      <c r="AA214" s="1624"/>
    </row>
    <row r="215" spans="2:27" ht="15" outlineLevel="1">
      <c r="B215" s="2254"/>
      <c r="C215" s="1643" t="s">
        <v>2505</v>
      </c>
      <c r="D215" s="1649" t="s">
        <v>1987</v>
      </c>
      <c r="E215" s="1650"/>
      <c r="F215" s="1655">
        <f>IF(ISBLANK(E215),VLOOKUP($E$209,$B$11:$O$206,8,FALSE),E215)</f>
        <v>1.5</v>
      </c>
      <c r="G215" s="1651"/>
      <c r="H215" s="1652">
        <f>IF(G215="",VLOOKUP($D215,$B$19:$O$206,11,FALSE),G215)</f>
        <v>24000</v>
      </c>
      <c r="I215" s="1646">
        <f t="shared" si="37"/>
        <v>8080</v>
      </c>
      <c r="J215" s="1653">
        <f>VLOOKUP($E$209,$B$11:$O$206,12,FALSE)</f>
        <v>1.1499999999999999</v>
      </c>
      <c r="K215" s="765"/>
      <c r="L215" s="1654"/>
      <c r="M215" s="765"/>
      <c r="N215" s="765"/>
      <c r="O215" s="765"/>
      <c r="P215" s="765"/>
      <c r="Q215" s="765"/>
      <c r="R215" s="765"/>
      <c r="S215" s="765"/>
      <c r="T215" s="765"/>
      <c r="U215" s="1623"/>
      <c r="V215" s="1624"/>
      <c r="W215" s="1624"/>
      <c r="Z215" s="1624"/>
      <c r="AA215" s="1624"/>
    </row>
    <row r="216" spans="2:27" ht="18.75">
      <c r="B216" s="2255" t="s">
        <v>2506</v>
      </c>
      <c r="C216" s="2256"/>
      <c r="D216" s="2257"/>
      <c r="E216" s="1630" t="s">
        <v>2498</v>
      </c>
      <c r="F216" s="1630" t="s">
        <v>2499</v>
      </c>
      <c r="G216" s="1630" t="s">
        <v>2500</v>
      </c>
      <c r="H216" s="1630" t="s">
        <v>2501</v>
      </c>
      <c r="I216" s="1630"/>
      <c r="J216" s="1632"/>
      <c r="K216" s="1630"/>
      <c r="L216" s="1631"/>
      <c r="M216" s="1630"/>
      <c r="N216" s="1630"/>
      <c r="O216" s="1630"/>
      <c r="P216" s="1630"/>
      <c r="Q216" s="1630"/>
      <c r="R216" s="1630"/>
      <c r="S216" s="1630"/>
      <c r="T216" s="1630"/>
      <c r="U216" s="1623"/>
      <c r="V216" s="1624"/>
      <c r="W216" s="1624"/>
      <c r="Z216" s="1624"/>
      <c r="AA216" s="1624"/>
    </row>
    <row r="217" spans="2:27" ht="15" outlineLevel="1">
      <c r="B217" s="2258" t="s">
        <v>2630</v>
      </c>
      <c r="C217" s="1643" t="s">
        <v>2507</v>
      </c>
      <c r="D217" s="1649" t="s">
        <v>2880</v>
      </c>
      <c r="E217" s="765"/>
      <c r="F217" s="765"/>
      <c r="G217" s="765"/>
      <c r="H217" s="765"/>
      <c r="I217" s="765"/>
      <c r="J217" s="770"/>
      <c r="K217" s="765"/>
      <c r="L217" s="1654"/>
      <c r="M217" s="765"/>
      <c r="N217" s="765"/>
      <c r="O217" s="765"/>
      <c r="P217" s="765"/>
      <c r="Q217" s="765"/>
      <c r="R217" s="765"/>
      <c r="S217" s="765"/>
      <c r="T217" s="765"/>
      <c r="U217" s="1623"/>
      <c r="V217" s="1624"/>
      <c r="W217" s="1624"/>
      <c r="Z217" s="1624"/>
      <c r="AA217" s="1624"/>
    </row>
    <row r="218" spans="2:27" ht="15" outlineLevel="1">
      <c r="B218" s="2259"/>
      <c r="C218" s="1643" t="s">
        <v>2508</v>
      </c>
      <c r="D218" s="1649" t="s">
        <v>2176</v>
      </c>
      <c r="E218" s="1650"/>
      <c r="F218" s="1645">
        <f>IF(ISBLANK(E218),VLOOKUP($D218,$B$11:$O$206,12,FALSE),E218)</f>
        <v>5.43</v>
      </c>
      <c r="G218" s="1651"/>
      <c r="H218" s="1652">
        <f>IF(ISBLANK(G218),VLOOKUP($D218,$B$19:$O$206,11,FALSE),G218)</f>
        <v>281686.08833261358</v>
      </c>
      <c r="I218" s="765"/>
      <c r="J218" s="770"/>
      <c r="K218" s="765"/>
      <c r="L218" s="1654"/>
      <c r="M218" s="765"/>
      <c r="N218" s="765"/>
      <c r="O218" s="765"/>
      <c r="P218" s="765"/>
      <c r="Q218" s="765"/>
      <c r="R218" s="765"/>
      <c r="S218" s="765"/>
      <c r="T218" s="765"/>
      <c r="U218" s="1623"/>
      <c r="V218" s="1624"/>
      <c r="W218" s="1624"/>
      <c r="Z218" s="1624"/>
      <c r="AA218" s="1624"/>
    </row>
    <row r="219" spans="2:27" ht="15" outlineLevel="1">
      <c r="B219" s="2259"/>
      <c r="C219" s="1643" t="s">
        <v>2509</v>
      </c>
      <c r="D219" s="1649" t="s">
        <v>2277</v>
      </c>
      <c r="E219" s="765"/>
      <c r="F219" s="765"/>
      <c r="G219" s="1651"/>
      <c r="H219" s="1652">
        <f>IF(ISBLANK(G219),VLOOKUP($D219,$B$19:$O$206,11,FALSE),G219)</f>
        <v>2998.076010472394</v>
      </c>
      <c r="I219" s="765"/>
      <c r="J219" s="770"/>
      <c r="K219" s="765"/>
      <c r="L219" s="1654"/>
      <c r="M219" s="765"/>
      <c r="N219" s="765"/>
      <c r="O219" s="765"/>
      <c r="P219" s="765"/>
      <c r="Q219" s="765"/>
      <c r="R219" s="765"/>
      <c r="S219" s="765"/>
      <c r="T219" s="765"/>
      <c r="U219" s="1623"/>
      <c r="V219" s="1624"/>
      <c r="W219" s="1624"/>
      <c r="Z219" s="1624"/>
      <c r="AA219" s="1624"/>
    </row>
    <row r="220" spans="2:27" ht="15" outlineLevel="1">
      <c r="B220" s="2259"/>
      <c r="C220" s="1643" t="s">
        <v>2510</v>
      </c>
      <c r="D220" s="1649" t="s">
        <v>2176</v>
      </c>
      <c r="E220" s="1650"/>
      <c r="F220" s="1645">
        <f>IF(ISBLANK(E220),VLOOKUP($D220,$B$11:$O$206,12,FALSE),E220)</f>
        <v>5.43</v>
      </c>
      <c r="G220" s="1651"/>
      <c r="H220" s="1652">
        <f>IF(ISBLANK(G220),VLOOKUP($D220,$B$19:$O$206,11,FALSE),G220)</f>
        <v>281686.08833261358</v>
      </c>
      <c r="I220" s="765"/>
      <c r="J220" s="770"/>
      <c r="K220" s="765"/>
      <c r="L220" s="1654"/>
      <c r="M220" s="765"/>
      <c r="N220" s="765"/>
      <c r="O220" s="765"/>
      <c r="P220" s="765"/>
      <c r="Q220" s="765"/>
      <c r="R220" s="765"/>
      <c r="S220" s="765"/>
      <c r="T220" s="765"/>
      <c r="U220" s="1623"/>
      <c r="V220" s="1624"/>
      <c r="W220" s="1624"/>
      <c r="Z220" s="1624"/>
      <c r="AA220" s="1624"/>
    </row>
    <row r="221" spans="2:27" ht="15" outlineLevel="1">
      <c r="B221" s="2260"/>
      <c r="C221" s="1643" t="s">
        <v>2511</v>
      </c>
      <c r="D221" s="1649" t="s">
        <v>2277</v>
      </c>
      <c r="E221" s="765"/>
      <c r="F221" s="765"/>
      <c r="G221" s="1651"/>
      <c r="H221" s="1652">
        <f>IF(ISBLANK(G221),VLOOKUP($D221,$B$19:$O$206,11,FALSE),G221)</f>
        <v>2998.076010472394</v>
      </c>
      <c r="I221" s="765"/>
      <c r="J221" s="770"/>
      <c r="K221" s="765"/>
      <c r="L221" s="1654"/>
      <c r="M221" s="765"/>
      <c r="N221" s="765"/>
      <c r="O221" s="765"/>
      <c r="P221" s="765"/>
      <c r="Q221" s="765"/>
      <c r="R221" s="765"/>
      <c r="S221" s="765"/>
      <c r="T221" s="765"/>
      <c r="U221" s="1623"/>
      <c r="V221" s="1624"/>
      <c r="W221" s="1624"/>
      <c r="Z221" s="1624"/>
      <c r="AA221" s="1624"/>
    </row>
    <row r="222" spans="2:27" ht="18.75">
      <c r="B222" s="2255" t="s">
        <v>2512</v>
      </c>
      <c r="C222" s="2256"/>
      <c r="D222" s="2257"/>
      <c r="E222" s="1632" t="s">
        <v>2513</v>
      </c>
      <c r="F222" s="1632" t="s">
        <v>2514</v>
      </c>
      <c r="G222" s="1630" t="s">
        <v>2500</v>
      </c>
      <c r="H222" s="1630" t="s">
        <v>2501</v>
      </c>
      <c r="I222" s="1630" t="s">
        <v>2631</v>
      </c>
      <c r="J222" s="1632" t="s">
        <v>2632</v>
      </c>
      <c r="K222" s="1630"/>
      <c r="L222" s="1630"/>
      <c r="M222" s="1630"/>
      <c r="N222" s="1630"/>
      <c r="O222" s="1630"/>
      <c r="P222" s="1630"/>
      <c r="Q222" s="1630"/>
      <c r="R222" s="1630"/>
      <c r="S222" s="1630"/>
      <c r="T222" s="1630"/>
      <c r="U222" s="1623"/>
      <c r="V222" s="1624"/>
      <c r="W222" s="1624"/>
      <c r="Z222" s="1624"/>
      <c r="AA222" s="1624"/>
    </row>
    <row r="223" spans="2:27" ht="15" outlineLevel="1">
      <c r="B223" s="2264" t="s">
        <v>2515</v>
      </c>
      <c r="C223" s="1643" t="s">
        <v>2516</v>
      </c>
      <c r="D223" s="1649" t="s">
        <v>2588</v>
      </c>
      <c r="E223" s="1656"/>
      <c r="F223" s="1646">
        <f>IF(ISBLANK(E223),IF(D223="Straight Pin",(F209*H209),(F209*H209/2)),E223)</f>
        <v>228</v>
      </c>
      <c r="G223" s="1651"/>
      <c r="H223" s="1652">
        <f>IF(ISBLANK(G223),VLOOKUP($D$214,$B$19:$O$206,11,FALSE),G223)</f>
        <v>325000</v>
      </c>
      <c r="I223" s="1657"/>
      <c r="J223" s="1647">
        <f>IF(ISBLANK($I$223),IF($D$223="Straight Pin",($I$209+30*2)*$G$211,(($I$209*2+30*2)*$G$211+VLOOKUP($E$209,$B$11:$O$17,14,FALSE))))</f>
        <v>1026.6294665922665</v>
      </c>
      <c r="K223" s="765"/>
      <c r="L223" s="765"/>
      <c r="M223" s="765"/>
      <c r="N223" s="765"/>
      <c r="O223" s="765"/>
      <c r="P223" s="765"/>
      <c r="Q223" s="765"/>
      <c r="R223" s="765"/>
      <c r="S223" s="765"/>
      <c r="T223" s="765"/>
      <c r="U223" s="1623"/>
      <c r="V223" s="1624"/>
      <c r="W223" s="1624"/>
      <c r="Z223" s="1624"/>
      <c r="AA223" s="1624"/>
    </row>
    <row r="224" spans="2:27" ht="15" outlineLevel="1">
      <c r="B224" s="2265"/>
      <c r="C224" s="1643" t="s">
        <v>1155</v>
      </c>
      <c r="D224" s="1658" t="str">
        <f>IF(E211=9.525,B58,IF(E211=12.7,B59,B60))</f>
        <v>UB-3/8</v>
      </c>
      <c r="E224" s="1656"/>
      <c r="F224" s="1646">
        <f>IF(ISBLANK(E224),IF(D223="Hairpin (FL&lt;1400)",(F209*H209-2*J209)/2, (F209*H209/2 + (F209*H209-2*J209)/2)),E224)</f>
        <v>190</v>
      </c>
      <c r="G224" s="1651"/>
      <c r="H224" s="1652">
        <f>IF(ISBLANK(G224),VLOOKUP(D224,$B$19:$O$206,11,FALSE),G224)</f>
        <v>4900.0000000000009</v>
      </c>
      <c r="I224" s="765"/>
      <c r="J224" s="765"/>
      <c r="K224" s="765"/>
      <c r="L224" s="1654"/>
      <c r="M224" s="765"/>
      <c r="N224" s="765"/>
      <c r="O224" s="765"/>
      <c r="P224" s="765"/>
      <c r="Q224" s="765"/>
      <c r="R224" s="765"/>
      <c r="S224" s="765"/>
      <c r="T224" s="765"/>
      <c r="U224" s="1623"/>
      <c r="V224" s="1624"/>
      <c r="W224" s="1624"/>
      <c r="Z224" s="1624"/>
      <c r="AA224" s="1624"/>
    </row>
    <row r="225" spans="1:27" ht="15" outlineLevel="1">
      <c r="B225" s="2265"/>
      <c r="C225" s="1643" t="s">
        <v>2517</v>
      </c>
      <c r="D225" s="1649" t="s">
        <v>2153</v>
      </c>
      <c r="E225" s="1656"/>
      <c r="F225" s="1647">
        <f>IF(ISBLANK(E225),L246,E225)</f>
        <v>456</v>
      </c>
      <c r="G225" s="1651"/>
      <c r="H225" s="1652">
        <f>IF(ISBLANK(G225),VLOOKUP(D225,$B$19:$O$206,11,FALSE),G225)</f>
        <v>1191.1955114372033</v>
      </c>
      <c r="I225" s="765"/>
      <c r="J225" s="765"/>
      <c r="K225" s="765"/>
      <c r="L225" s="1654"/>
      <c r="M225" s="765"/>
      <c r="N225" s="765"/>
      <c r="O225" s="765"/>
      <c r="P225" s="765"/>
      <c r="Q225" s="765"/>
      <c r="R225" s="765"/>
      <c r="S225" s="765"/>
      <c r="T225" s="765"/>
      <c r="U225" s="1623"/>
      <c r="V225" s="1624"/>
      <c r="W225" s="1624"/>
      <c r="Z225" s="1624"/>
      <c r="AA225" s="1624"/>
    </row>
    <row r="226" spans="1:27" ht="15" outlineLevel="1">
      <c r="B226" s="2265"/>
      <c r="C226" s="1643" t="s">
        <v>79</v>
      </c>
      <c r="D226" s="1658" t="s">
        <v>2337</v>
      </c>
      <c r="E226" s="1656">
        <v>0</v>
      </c>
      <c r="F226" s="1647">
        <f>IF(ISBLANK(E226),K211,E226)</f>
        <v>0</v>
      </c>
      <c r="G226" s="1651"/>
      <c r="H226" s="1652">
        <f>IF(ISBLANK(G226),VLOOKUP(D226,$B$19:$O$206,11,FALSE),G226)</f>
        <v>1400000</v>
      </c>
      <c r="I226" s="765"/>
      <c r="J226" s="765"/>
      <c r="K226" s="765"/>
      <c r="L226" s="1654"/>
      <c r="M226" s="765"/>
      <c r="N226" s="765"/>
      <c r="O226" s="765"/>
      <c r="P226" s="765"/>
      <c r="Q226" s="765"/>
      <c r="R226" s="765"/>
      <c r="S226" s="765"/>
      <c r="T226" s="765"/>
      <c r="U226" s="1623"/>
      <c r="V226" s="1624"/>
      <c r="W226" s="1624"/>
      <c r="Z226" s="1624"/>
      <c r="AA226" s="1624"/>
    </row>
    <row r="227" spans="1:27" ht="15" outlineLevel="1">
      <c r="B227" s="2265"/>
      <c r="C227" s="1643" t="s">
        <v>81</v>
      </c>
      <c r="D227" s="1658" t="s">
        <v>1111</v>
      </c>
      <c r="E227" s="1656">
        <v>0</v>
      </c>
      <c r="F227" s="1647">
        <f>IF(ISBLANK(E227),K211,E227)</f>
        <v>0</v>
      </c>
      <c r="G227" s="1651"/>
      <c r="H227" s="1652">
        <f>IF(ISBLANK(G227),VLOOKUP(D227,$B$19:$O$206,11,FALSE),G227)</f>
        <v>678125</v>
      </c>
      <c r="I227" s="765"/>
      <c r="J227" s="765"/>
      <c r="K227" s="765"/>
      <c r="L227" s="1654"/>
      <c r="M227" s="765"/>
      <c r="N227" s="765"/>
      <c r="O227" s="765"/>
      <c r="P227" s="765"/>
      <c r="Q227" s="765"/>
      <c r="R227" s="765"/>
      <c r="S227" s="765"/>
      <c r="T227" s="765"/>
      <c r="U227" s="1623"/>
      <c r="V227" s="1624"/>
      <c r="W227" s="1624"/>
      <c r="Z227" s="1624"/>
      <c r="AA227" s="1624"/>
    </row>
    <row r="228" spans="1:27" ht="15" outlineLevel="1">
      <c r="B228" s="2265"/>
      <c r="C228" s="1643" t="s">
        <v>2633</v>
      </c>
      <c r="D228" s="1649" t="s">
        <v>2247</v>
      </c>
      <c r="E228" s="1656">
        <v>0</v>
      </c>
      <c r="F228" s="1647">
        <f>IF(ISBLANK(E228),J211,E228)</f>
        <v>0</v>
      </c>
      <c r="G228" s="1651"/>
      <c r="H228" s="1652">
        <f>IF(ISBLANK(G228),VLOOKUP(D228,$B$19:$O$206,11,FALSE),G228)</f>
        <v>25602.500000000004</v>
      </c>
      <c r="I228" s="1657"/>
      <c r="J228" s="1647">
        <f>IF(ISBLANK(I228),(H211/2+150),I228)</f>
        <v>625</v>
      </c>
      <c r="K228" s="765"/>
      <c r="L228" s="1654"/>
      <c r="M228" s="765"/>
      <c r="N228" s="765"/>
      <c r="O228" s="765"/>
      <c r="P228" s="765"/>
      <c r="Q228" s="765"/>
      <c r="R228" s="765"/>
      <c r="S228" s="765"/>
      <c r="T228" s="765"/>
      <c r="U228" s="1623"/>
      <c r="V228" s="1624"/>
      <c r="W228" s="1624"/>
      <c r="Z228" s="1624"/>
      <c r="AA228" s="1624"/>
    </row>
    <row r="229" spans="1:27" ht="15" outlineLevel="1">
      <c r="B229" s="2265"/>
      <c r="C229" s="1643" t="s">
        <v>203</v>
      </c>
      <c r="D229" s="1649" t="s">
        <v>2518</v>
      </c>
      <c r="E229" s="765"/>
      <c r="F229" s="765"/>
      <c r="G229" s="765"/>
      <c r="H229" s="765"/>
      <c r="I229" s="765"/>
      <c r="J229" s="765"/>
      <c r="K229" s="765"/>
      <c r="L229" s="1654"/>
      <c r="M229" s="765"/>
      <c r="N229" s="765"/>
      <c r="O229" s="765"/>
      <c r="P229" s="765"/>
      <c r="Q229" s="765"/>
      <c r="R229" s="765"/>
      <c r="S229" s="765"/>
      <c r="T229" s="765"/>
      <c r="U229" s="1623"/>
      <c r="V229" s="1624"/>
      <c r="W229" s="1624"/>
      <c r="Z229" s="1624"/>
      <c r="AA229" s="1624"/>
    </row>
    <row r="230" spans="1:27" ht="18.75">
      <c r="B230" s="2255" t="s">
        <v>2634</v>
      </c>
      <c r="C230" s="2256"/>
      <c r="D230" s="2257"/>
      <c r="E230" s="1632" t="s">
        <v>2513</v>
      </c>
      <c r="F230" s="1632" t="s">
        <v>2514</v>
      </c>
      <c r="G230" s="1630" t="s">
        <v>2500</v>
      </c>
      <c r="H230" s="1630" t="s">
        <v>2501</v>
      </c>
      <c r="I230" s="1630"/>
      <c r="J230" s="1632"/>
      <c r="K230" s="1630"/>
      <c r="L230" s="1630"/>
      <c r="M230" s="1630"/>
      <c r="N230" s="1630"/>
      <c r="O230" s="1630"/>
      <c r="P230" s="1630"/>
      <c r="Q230" s="1630"/>
      <c r="R230" s="1630"/>
      <c r="S230" s="1630"/>
      <c r="T230" s="1630"/>
      <c r="U230" s="1623"/>
      <c r="V230" s="1624"/>
      <c r="W230" s="1624"/>
      <c r="Z230" s="1624"/>
      <c r="AA230" s="1624"/>
    </row>
    <row r="231" spans="1:27" ht="15" outlineLevel="1">
      <c r="B231" s="1830"/>
      <c r="C231" s="1643" t="s">
        <v>2635</v>
      </c>
      <c r="D231" s="1649" t="s">
        <v>2636</v>
      </c>
      <c r="E231" s="765"/>
      <c r="F231" s="765"/>
      <c r="G231" s="1651">
        <v>1000000</v>
      </c>
      <c r="H231" s="1652">
        <f>IF(ISBLANK(G231),IF(D231="No Packing", 0, IF(D231="Std Packing", 400000, IF(D231="Full Enclosed Packing", 1000000,"NA"))),G231)</f>
        <v>1000000</v>
      </c>
      <c r="I231" s="765"/>
      <c r="J231" s="765"/>
      <c r="K231" s="765"/>
      <c r="L231" s="1654"/>
      <c r="M231" s="765"/>
      <c r="N231" s="765"/>
      <c r="O231" s="765"/>
      <c r="P231" s="765"/>
      <c r="Q231" s="765"/>
      <c r="R231" s="765"/>
      <c r="S231" s="765"/>
      <c r="T231" s="765"/>
      <c r="U231" s="1623"/>
      <c r="V231" s="1624"/>
      <c r="W231" s="1624"/>
      <c r="Z231" s="1624"/>
      <c r="AA231" s="1624"/>
    </row>
    <row r="232" spans="1:27" ht="15" outlineLevel="1">
      <c r="B232" s="1830"/>
      <c r="C232" s="1643" t="s">
        <v>2637</v>
      </c>
      <c r="D232" s="1649" t="s">
        <v>2638</v>
      </c>
      <c r="E232" s="1656">
        <v>0</v>
      </c>
      <c r="F232" s="1647">
        <f>IF(ISBLANK(E232),J215,E232)</f>
        <v>0</v>
      </c>
      <c r="G232" s="1651">
        <v>2000000</v>
      </c>
      <c r="H232" s="1652">
        <f>IF(ISBLANK(G232),0,G232)</f>
        <v>2000000</v>
      </c>
      <c r="I232" s="765"/>
      <c r="J232" s="765"/>
      <c r="K232" s="765"/>
      <c r="L232" s="1654"/>
      <c r="M232" s="765"/>
      <c r="N232" s="765"/>
      <c r="O232" s="765"/>
      <c r="P232" s="765"/>
      <c r="Q232" s="765"/>
      <c r="R232" s="765"/>
      <c r="S232" s="765"/>
      <c r="T232" s="765"/>
      <c r="U232" s="1623"/>
      <c r="V232" s="1624"/>
      <c r="W232" s="1624"/>
      <c r="Z232" s="1624"/>
      <c r="AA232" s="1624"/>
    </row>
    <row r="233" spans="1:27" s="370" customFormat="1" ht="15">
      <c r="A233" s="1659"/>
      <c r="B233" s="1659"/>
      <c r="C233" s="1659"/>
      <c r="D233" s="1659"/>
      <c r="E233" s="1659"/>
      <c r="F233" s="1659"/>
      <c r="G233" s="1659"/>
      <c r="H233" s="1659"/>
      <c r="I233" s="1659"/>
      <c r="J233" s="1659"/>
      <c r="K233" s="1659"/>
      <c r="L233" s="1659"/>
      <c r="M233" s="1659"/>
      <c r="N233" s="1659"/>
      <c r="O233" s="1659"/>
      <c r="P233" s="1659"/>
      <c r="Q233" s="1659"/>
      <c r="R233" s="1659"/>
      <c r="S233" s="1659"/>
      <c r="T233" s="1659"/>
      <c r="U233" s="1660"/>
      <c r="V233" s="1659"/>
      <c r="W233" s="1659"/>
    </row>
    <row r="234" spans="1:27" ht="16.5">
      <c r="B234" s="1489" t="s">
        <v>1157</v>
      </c>
      <c r="C234" s="1489" t="s">
        <v>2519</v>
      </c>
      <c r="D234" s="1489" t="s">
        <v>92</v>
      </c>
      <c r="E234" s="1489" t="s">
        <v>1085</v>
      </c>
      <c r="F234" s="1661" t="s">
        <v>1162</v>
      </c>
      <c r="G234" s="1662" t="s">
        <v>1071</v>
      </c>
      <c r="H234" s="1663" t="s">
        <v>21</v>
      </c>
      <c r="I234" s="1664" t="s">
        <v>1072</v>
      </c>
      <c r="J234" s="1665" t="s">
        <v>1163</v>
      </c>
      <c r="K234" s="776" t="s">
        <v>1975</v>
      </c>
      <c r="L234" s="771" t="s">
        <v>93</v>
      </c>
      <c r="M234" s="770" t="s">
        <v>2520</v>
      </c>
      <c r="N234" s="1666" t="s">
        <v>94</v>
      </c>
      <c r="O234" s="1666" t="s">
        <v>34</v>
      </c>
      <c r="P234" s="771" t="s">
        <v>2521</v>
      </c>
      <c r="Q234" s="2269" t="s">
        <v>2522</v>
      </c>
      <c r="R234" s="2270"/>
      <c r="S234" s="2266" t="s">
        <v>2523</v>
      </c>
      <c r="T234" s="2267"/>
      <c r="U234" s="398"/>
      <c r="V234" s="2268" t="s">
        <v>2524</v>
      </c>
      <c r="W234" s="2268"/>
      <c r="Z234" s="1624"/>
      <c r="AA234" s="1624"/>
    </row>
    <row r="235" spans="1:27" ht="15">
      <c r="B235" s="2261" t="s">
        <v>2525</v>
      </c>
      <c r="C235" s="2262"/>
      <c r="D235" s="2262"/>
      <c r="E235" s="1667"/>
      <c r="F235" s="1668"/>
      <c r="G235" s="1669"/>
      <c r="H235" s="1669"/>
      <c r="I235" s="1670"/>
      <c r="J235" s="1669"/>
      <c r="K235" s="1669"/>
      <c r="L235" s="1669"/>
      <c r="M235" s="1671"/>
      <c r="N235" s="1672"/>
      <c r="O235" s="1669"/>
      <c r="P235" s="1669"/>
      <c r="Q235" s="1673"/>
      <c r="R235" s="1674"/>
      <c r="S235" s="1675"/>
      <c r="T235" s="1676"/>
      <c r="U235" s="1677"/>
      <c r="V235" s="1678">
        <f>SUM(R235:R238)</f>
        <v>9373009.6821973715</v>
      </c>
      <c r="W235" s="1831">
        <f>V235/V$313</f>
        <v>0.48342856875956214</v>
      </c>
      <c r="Z235" s="1624"/>
      <c r="AA235" s="1624"/>
    </row>
    <row r="236" spans="1:27" s="369" customFormat="1" hidden="1" outlineLevel="1">
      <c r="A236" s="395"/>
      <c r="B236" s="369" t="str">
        <f>D213</f>
        <v>AF-1/2 x 0.11</v>
      </c>
      <c r="C236" s="369" t="s">
        <v>96</v>
      </c>
      <c r="D236" s="369" t="str">
        <f>VLOOKUP($B236,$B$19:$O$206,3,FALSE)</f>
        <v>Al Fin 230mmRW : Plain 0.110mmT</v>
      </c>
      <c r="E236" s="416" t="str">
        <f>VLOOKUP($B236,$B$19:$S$206,4,FALSE)</f>
        <v>kG</v>
      </c>
      <c r="F236" s="380"/>
      <c r="G236" s="400">
        <f>F213</f>
        <v>0.11</v>
      </c>
      <c r="H236" s="393">
        <f>F211</f>
        <v>129.89999999999998</v>
      </c>
      <c r="I236" s="1679">
        <f>H211</f>
        <v>950</v>
      </c>
      <c r="J236" s="1173">
        <f>IF(F236&gt;0,22/28*((F236/1000)^2-(F236/1000-2*G236/1000)^2)*H236/1000,IF(G236&gt;0,G236/1000*H236/1000*I236/1000, IF(H236&gt;0,H236/1000*I236/1000, IF(I236=0,1,I236/1000))))</f>
        <v>1.3574549999999997E-5</v>
      </c>
      <c r="K236" s="441">
        <f>VLOOKUP($B236,$B$19:$O$206,5,FALSE)</f>
        <v>2700</v>
      </c>
      <c r="L236" s="1679">
        <f>ROUNDUP((I209/25.4*G209)*G211,0)</f>
        <v>455</v>
      </c>
      <c r="M236" s="400">
        <f>J236*K236*L236</f>
        <v>16.676334674999996</v>
      </c>
      <c r="N236" s="400">
        <v>1</v>
      </c>
      <c r="O236" s="400">
        <f>J213</f>
        <v>1.0305970149253734</v>
      </c>
      <c r="P236" s="400">
        <f>M236*N236*O236</f>
        <v>17.186580735951491</v>
      </c>
      <c r="Q236" s="1680">
        <f>H$213</f>
        <v>108000</v>
      </c>
      <c r="R236" s="1681">
        <f>P236*Q236</f>
        <v>1856150.7194827611</v>
      </c>
      <c r="S236" s="1682">
        <f>VLOOKUP($B236,$B$19:$O$206,12,FALSE)</f>
        <v>1</v>
      </c>
      <c r="T236" s="1683">
        <f>M236*N236*S236</f>
        <v>16.676334674999996</v>
      </c>
      <c r="U236" s="390"/>
      <c r="V236" s="1684"/>
    </row>
    <row r="237" spans="1:27" s="369" customFormat="1" hidden="1" outlineLevel="1">
      <c r="A237" s="395"/>
      <c r="B237" s="369" t="str">
        <f>D214</f>
        <v>CuLWC-1/2 x 0.34</v>
      </c>
      <c r="C237" s="369" t="s">
        <v>98</v>
      </c>
      <c r="D237" s="369" t="str">
        <f>VLOOKUP($B237,$B$19:$O$206,3,FALSE)</f>
        <v>Copper LWC Plain : 12.70Ø x 0.34T</v>
      </c>
      <c r="E237" s="416" t="str">
        <f>VLOOKUP($B237,$B$19:$S$206,4,FALSE)</f>
        <v>kG</v>
      </c>
      <c r="F237" s="384">
        <f>E211</f>
        <v>9.5249999999999986</v>
      </c>
      <c r="G237" s="400">
        <f>IF(E214="",F214,E214)</f>
        <v>0.33</v>
      </c>
      <c r="H237" s="393">
        <f>I211</f>
        <v>1026.6294665922665</v>
      </c>
      <c r="I237" s="1685"/>
      <c r="J237" s="1173">
        <f>IF(F237&gt;0,22/28*((F237/1000)^2-(F237/1000-2*G237/1000)^2)*H237/1000,IF(G237&gt;0,G237/1000*H237/1000*I237/1000, IF(H237&gt;0,H237/1000*I237/1000, IF(I237=0,1,I237/1000))))</f>
        <v>9.7904812404276308E-6</v>
      </c>
      <c r="K237" s="441">
        <f>VLOOKUP($B237,$B$19:$O$206,5,FALSE)</f>
        <v>8900</v>
      </c>
      <c r="L237" s="1679">
        <f>F209*H209</f>
        <v>228</v>
      </c>
      <c r="M237" s="400">
        <f t="shared" ref="M237:M266" si="38">J237*K237*L237</f>
        <v>19.866844533075749</v>
      </c>
      <c r="N237" s="400">
        <v>1</v>
      </c>
      <c r="O237" s="400">
        <f>J214</f>
        <v>1.02</v>
      </c>
      <c r="P237" s="400">
        <f t="shared" ref="P237:P238" si="39">M237*N237*O237</f>
        <v>20.264181423737263</v>
      </c>
      <c r="Q237" s="1680">
        <f>H$214</f>
        <v>325000</v>
      </c>
      <c r="R237" s="1681">
        <f t="shared" ref="R237:R238" si="40">P237*Q237</f>
        <v>6585858.9627146106</v>
      </c>
      <c r="S237" s="1682">
        <f>VLOOKUP($B237,$B$19:$O$206,12,FALSE)</f>
        <v>1</v>
      </c>
      <c r="T237" s="1683">
        <f>M237*N237*S237</f>
        <v>19.866844533075749</v>
      </c>
      <c r="U237" s="390"/>
      <c r="V237" s="1684"/>
    </row>
    <row r="238" spans="1:27" s="369" customFormat="1" hidden="1" outlineLevel="1">
      <c r="A238" s="395"/>
      <c r="B238" s="369" t="str">
        <f>D224</f>
        <v>UB-3/8</v>
      </c>
      <c r="C238" s="369" t="s">
        <v>99</v>
      </c>
      <c r="D238" s="369" t="str">
        <f>VLOOKUP($B238,$B$19:$O$206,3,FALSE)</f>
        <v>U Bend 3/8" (25p)</v>
      </c>
      <c r="E238" s="416" t="str">
        <f>VLOOKUP($B238,$B$19:$S$206,4,FALSE)</f>
        <v>Pc</v>
      </c>
      <c r="F238" s="380"/>
      <c r="G238" s="400"/>
      <c r="H238" s="400"/>
      <c r="I238" s="1685"/>
      <c r="J238" s="1173">
        <f>IF(F238&gt;0,22/28*((F238/1000)^2-(F238/1000-2*G238/1000)^2)*H238/1000,IF(G238&gt;0,G238/1000*H238/1000*I238/1000, IF(H238&gt;0,H238/1000*I238/1000, IF(I238=0,1,I238/1000))))</f>
        <v>1</v>
      </c>
      <c r="K238" s="441">
        <f>VLOOKUP($B238,$B$19:$O$206,5,FALSE)</f>
        <v>1</v>
      </c>
      <c r="L238" s="1679">
        <f>IF(E224="",F224,E224)</f>
        <v>190</v>
      </c>
      <c r="M238" s="400">
        <f t="shared" si="38"/>
        <v>190</v>
      </c>
      <c r="N238" s="400">
        <v>1</v>
      </c>
      <c r="O238" s="400">
        <v>1</v>
      </c>
      <c r="P238" s="400">
        <f t="shared" si="39"/>
        <v>190</v>
      </c>
      <c r="Q238" s="1680">
        <f>H$224</f>
        <v>4900.0000000000009</v>
      </c>
      <c r="R238" s="1681">
        <f t="shared" si="40"/>
        <v>931000.00000000012</v>
      </c>
      <c r="S238" s="1682">
        <f>VLOOKUP($B238,$B$19:$O$206,12,FALSE)</f>
        <v>6.4294226632653053E-3</v>
      </c>
      <c r="T238" s="1683">
        <f>M238*N238*S238</f>
        <v>1.2215903060204081</v>
      </c>
      <c r="U238" s="390"/>
      <c r="V238" s="1684"/>
    </row>
    <row r="239" spans="1:27" ht="15" collapsed="1">
      <c r="B239" s="2261" t="s">
        <v>2526</v>
      </c>
      <c r="C239" s="2262"/>
      <c r="D239" s="2262"/>
      <c r="E239" s="1686"/>
      <c r="F239" s="1687"/>
      <c r="G239" s="1688"/>
      <c r="H239" s="1688"/>
      <c r="I239" s="1689"/>
      <c r="J239" s="1690"/>
      <c r="K239" s="1691"/>
      <c r="L239" s="1692"/>
      <c r="M239" s="1693"/>
      <c r="N239" s="1688"/>
      <c r="O239" s="1688"/>
      <c r="P239" s="1688"/>
      <c r="Q239" s="1673"/>
      <c r="R239" s="1674"/>
      <c r="S239" s="1675"/>
      <c r="T239" s="1676"/>
      <c r="U239" s="1677"/>
      <c r="V239" s="1678">
        <f>SUM(R239:R246)</f>
        <v>1249887.5188953853</v>
      </c>
      <c r="W239" s="1831">
        <f>V239/V$313</f>
        <v>6.4465028294773158E-2</v>
      </c>
      <c r="Z239" s="1624"/>
      <c r="AA239" s="1624"/>
    </row>
    <row r="240" spans="1:27" s="369" customFormat="1" hidden="1" outlineLevel="1">
      <c r="A240" s="395"/>
      <c r="B240" s="369" t="str">
        <f>D215</f>
        <v>GI-1.5</v>
      </c>
      <c r="C240" s="1694" t="s">
        <v>2527</v>
      </c>
      <c r="D240" s="369" t="str">
        <f t="shared" ref="D240:D245" si="41">VLOOKUP($B240,$B$19:$O$206,3,FALSE)</f>
        <v>SGCC (GI) 1.5mm x 4' x 8' (12.00kG/m2)</v>
      </c>
      <c r="E240" s="416" t="s">
        <v>97</v>
      </c>
      <c r="F240" s="380"/>
      <c r="G240" s="400">
        <f>F215</f>
        <v>1.5</v>
      </c>
      <c r="H240" s="393">
        <f>F211+100*2</f>
        <v>329.9</v>
      </c>
      <c r="I240" s="1679">
        <f>H211+50*2</f>
        <v>1050</v>
      </c>
      <c r="J240" s="1173">
        <f t="shared" ref="J240:J246" si="42">IF(F240&gt;0,22/28*((F240/1000)^2-(F240/1000-2*G240/1000)^2)*H240/1000,IF(G240&gt;0,G240/1000*H240/1000*I240/1000, IF(H240&gt;0,H240/1000*I240/1000, IF(I240=0,1,I240/1000))))</f>
        <v>5.1959249999999988E-4</v>
      </c>
      <c r="K240" s="441">
        <f t="shared" ref="K240:K245" si="43">VLOOKUP($B240,$B$19:$O$206,5,FALSE)</f>
        <v>8080</v>
      </c>
      <c r="L240" s="1679">
        <v>2</v>
      </c>
      <c r="M240" s="400">
        <f t="shared" si="38"/>
        <v>8.3966147999999983</v>
      </c>
      <c r="N240" s="400">
        <v>1</v>
      </c>
      <c r="O240" s="400">
        <f>J215</f>
        <v>1.1499999999999999</v>
      </c>
      <c r="P240" s="400">
        <f t="shared" ref="P240:P308" si="44">M240*N240*O240</f>
        <v>9.6561070199999968</v>
      </c>
      <c r="Q240" s="1680">
        <f>H$215</f>
        <v>24000</v>
      </c>
      <c r="R240" s="1681">
        <f t="shared" ref="R240:R308" si="45">P240*Q240</f>
        <v>231746.56847999993</v>
      </c>
      <c r="S240" s="1682">
        <f t="shared" ref="S240:S246" si="46">VLOOKUP($B240,$B$19:$O$206,12,FALSE)</f>
        <v>1</v>
      </c>
      <c r="T240" s="1683">
        <f t="shared" ref="T240:T246" si="47">M240*N240*S240</f>
        <v>8.3966147999999983</v>
      </c>
      <c r="U240" s="390"/>
      <c r="V240" s="1684"/>
    </row>
    <row r="241" spans="1:27" s="369" customFormat="1" hidden="1" outlineLevel="1">
      <c r="A241" s="395"/>
      <c r="B241" s="369" t="str">
        <f>D215</f>
        <v>GI-1.5</v>
      </c>
      <c r="C241" s="369" t="s">
        <v>101</v>
      </c>
      <c r="D241" s="369" t="str">
        <f t="shared" si="41"/>
        <v>SGCC (GI) 1.5mm x 4' x 8' (12.00kG/m2)</v>
      </c>
      <c r="E241" s="416" t="s">
        <v>97</v>
      </c>
      <c r="F241" s="380"/>
      <c r="G241" s="400">
        <f>G240</f>
        <v>1.5</v>
      </c>
      <c r="H241" s="393">
        <f>H240</f>
        <v>329.9</v>
      </c>
      <c r="I241" s="1679">
        <f>I209+20*2</f>
        <v>940</v>
      </c>
      <c r="J241" s="1173">
        <f t="shared" si="42"/>
        <v>4.6515899999999993E-4</v>
      </c>
      <c r="K241" s="441">
        <f t="shared" si="43"/>
        <v>8080</v>
      </c>
      <c r="L241" s="1679">
        <v>2</v>
      </c>
      <c r="M241" s="400">
        <f t="shared" si="38"/>
        <v>7.5169694399999987</v>
      </c>
      <c r="N241" s="400">
        <v>1</v>
      </c>
      <c r="O241" s="400">
        <f>O240</f>
        <v>1.1499999999999999</v>
      </c>
      <c r="P241" s="400">
        <f t="shared" si="44"/>
        <v>8.6445148559999971</v>
      </c>
      <c r="Q241" s="1680">
        <f t="shared" ref="Q241:Q242" si="48">H$215</f>
        <v>24000</v>
      </c>
      <c r="R241" s="1681">
        <f t="shared" si="45"/>
        <v>207468.35654399992</v>
      </c>
      <c r="S241" s="1682">
        <f t="shared" si="46"/>
        <v>1</v>
      </c>
      <c r="T241" s="1683">
        <f t="shared" si="47"/>
        <v>7.5169694399999987</v>
      </c>
      <c r="U241" s="390"/>
      <c r="V241" s="1684"/>
    </row>
    <row r="242" spans="1:27" s="369" customFormat="1" hidden="1" outlineLevel="1">
      <c r="A242" s="395"/>
      <c r="B242" s="369" t="str">
        <f>D215</f>
        <v>GI-1.5</v>
      </c>
      <c r="C242" s="369" t="s">
        <v>102</v>
      </c>
      <c r="D242" s="369" t="str">
        <f t="shared" si="41"/>
        <v>SGCC (GI) 1.5mm x 4' x 8' (12.00kG/m2)</v>
      </c>
      <c r="E242" s="416" t="s">
        <v>97</v>
      </c>
      <c r="F242" s="380"/>
      <c r="G242" s="400">
        <f>G240</f>
        <v>1.5</v>
      </c>
      <c r="H242" s="393">
        <f>H240</f>
        <v>329.9</v>
      </c>
      <c r="I242" s="1679">
        <f>I240</f>
        <v>1050</v>
      </c>
      <c r="J242" s="1173">
        <f t="shared" si="42"/>
        <v>5.1959249999999988E-4</v>
      </c>
      <c r="K242" s="441">
        <f t="shared" si="43"/>
        <v>8080</v>
      </c>
      <c r="L242" s="1679">
        <f>IF(I209&gt;1500,1,0)</f>
        <v>0</v>
      </c>
      <c r="M242" s="400">
        <f t="shared" si="38"/>
        <v>0</v>
      </c>
      <c r="N242" s="400">
        <v>1</v>
      </c>
      <c r="O242" s="400">
        <f>O240</f>
        <v>1.1499999999999999</v>
      </c>
      <c r="P242" s="400">
        <f t="shared" si="44"/>
        <v>0</v>
      </c>
      <c r="Q242" s="1680">
        <f t="shared" si="48"/>
        <v>24000</v>
      </c>
      <c r="R242" s="1681">
        <f t="shared" si="45"/>
        <v>0</v>
      </c>
      <c r="S242" s="1682">
        <f t="shared" si="46"/>
        <v>1</v>
      </c>
      <c r="T242" s="1683">
        <f t="shared" si="47"/>
        <v>0</v>
      </c>
      <c r="U242" s="390"/>
      <c r="V242" s="1684"/>
    </row>
    <row r="243" spans="1:27" s="369" customFormat="1" hidden="1" outlineLevel="1">
      <c r="A243" s="395"/>
      <c r="B243" s="369" t="str">
        <f>B82</f>
        <v>Bend</v>
      </c>
      <c r="C243" s="1694" t="s">
        <v>2528</v>
      </c>
      <c r="D243" s="398" t="str">
        <f t="shared" si="41"/>
        <v>Metal FabCharge : Shear/Bend GI &lt; 2.0mmT, S</v>
      </c>
      <c r="E243" s="416" t="s">
        <v>103</v>
      </c>
      <c r="F243" s="380"/>
      <c r="G243" s="403"/>
      <c r="H243" s="400"/>
      <c r="I243" s="500"/>
      <c r="J243" s="1173">
        <f>IF(F243&gt;0,22/28*((F243/1000)^2-(F243/1000-2*G243/1000)^2)*H243/1000,IF(G243&gt;0,G243/1000*H243/1000*I243/1000, IF(H243&gt;0,H243/1000*I243/1000, IF(I243=0,1,I243/1000))))</f>
        <v>1</v>
      </c>
      <c r="K243" s="441">
        <f t="shared" si="43"/>
        <v>1</v>
      </c>
      <c r="L243" s="1679">
        <f>(4*L240+4*L241+L242*2)</f>
        <v>16</v>
      </c>
      <c r="M243" s="400">
        <f>J243*K243*L243</f>
        <v>16</v>
      </c>
      <c r="N243" s="400">
        <v>1</v>
      </c>
      <c r="O243" s="400">
        <v>1</v>
      </c>
      <c r="P243" s="400">
        <f t="shared" si="44"/>
        <v>16</v>
      </c>
      <c r="Q243" s="1695">
        <f>VLOOKUP($B243,$B$19:$O$206,11,FALSE)</f>
        <v>1618.4721622788088</v>
      </c>
      <c r="R243" s="1681">
        <f t="shared" si="45"/>
        <v>25895.554596460941</v>
      </c>
      <c r="S243" s="1682">
        <f t="shared" si="46"/>
        <v>0</v>
      </c>
      <c r="T243" s="1683">
        <f t="shared" si="47"/>
        <v>0</v>
      </c>
      <c r="U243" s="390"/>
      <c r="V243" s="1684"/>
    </row>
    <row r="244" spans="1:27" s="369" customFormat="1" hidden="1" outlineLevel="1">
      <c r="A244" s="395"/>
      <c r="B244" s="369" t="str">
        <f>B83</f>
        <v>Punch</v>
      </c>
      <c r="C244" s="1694" t="s">
        <v>2529</v>
      </c>
      <c r="D244" s="398" t="str">
        <f t="shared" si="41"/>
        <v>Metal FabCharge : Punch GI &lt; 2.0mmT</v>
      </c>
      <c r="E244" s="416" t="s">
        <v>103</v>
      </c>
      <c r="F244" s="380"/>
      <c r="G244" s="400"/>
      <c r="H244" s="400"/>
      <c r="I244" s="1685"/>
      <c r="J244" s="1173">
        <f>IF(F244&gt;0,22/28*((F244/1000)^2-(F244/1000-2*G244/1000)^2)*H244/1000,IF(G244&gt;0,G244/1000*H244/1000*I244/1000, IF(H244&gt;0,H244/1000*I244/1000, IF(I244=0,1,I244/1000))))</f>
        <v>1</v>
      </c>
      <c r="K244" s="441">
        <f t="shared" si="43"/>
        <v>1</v>
      </c>
      <c r="L244" s="1679">
        <f>(F209*H209+4)*(L$240+L$242)+(4*L$241)</f>
        <v>472</v>
      </c>
      <c r="M244" s="400">
        <f>J244*K244*L244</f>
        <v>472</v>
      </c>
      <c r="N244" s="400">
        <v>1</v>
      </c>
      <c r="O244" s="400">
        <v>1</v>
      </c>
      <c r="P244" s="400">
        <f t="shared" si="44"/>
        <v>472</v>
      </c>
      <c r="Q244" s="1695">
        <f>VLOOKUP($B244,$B$19:$O$206,11,FALSE)</f>
        <v>511.84721622788078</v>
      </c>
      <c r="R244" s="1681">
        <f t="shared" si="45"/>
        <v>241591.88605955974</v>
      </c>
      <c r="S244" s="1682">
        <f t="shared" si="46"/>
        <v>0</v>
      </c>
      <c r="T244" s="1683">
        <f t="shared" si="47"/>
        <v>0</v>
      </c>
      <c r="U244" s="390"/>
      <c r="V244" s="1684"/>
    </row>
    <row r="245" spans="1:27" s="369" customFormat="1" hidden="1" outlineLevel="1">
      <c r="A245" s="395"/>
      <c r="B245" s="369" t="str">
        <f>B84</f>
        <v>Emboss</v>
      </c>
      <c r="C245" s="1694" t="s">
        <v>2530</v>
      </c>
      <c r="D245" s="398" t="str">
        <f t="shared" si="41"/>
        <v>Metal FabCharge : Emboss 3/8", 1/2", 5/8"</v>
      </c>
      <c r="E245" s="416" t="s">
        <v>103</v>
      </c>
      <c r="F245" s="380"/>
      <c r="G245" s="400"/>
      <c r="H245" s="400"/>
      <c r="I245" s="1685"/>
      <c r="J245" s="1173">
        <f t="shared" si="42"/>
        <v>1</v>
      </c>
      <c r="K245" s="441">
        <f t="shared" si="43"/>
        <v>1</v>
      </c>
      <c r="L245" s="1679">
        <f>IF(D225="Emboss",(F209*H209)*(L$240+L$242),0)</f>
        <v>0</v>
      </c>
      <c r="M245" s="400">
        <f t="shared" si="38"/>
        <v>0</v>
      </c>
      <c r="N245" s="400">
        <f>IF(D$225="FC-Emboss",1,0)</f>
        <v>0</v>
      </c>
      <c r="O245" s="400">
        <v>1</v>
      </c>
      <c r="P245" s="400">
        <f t="shared" si="44"/>
        <v>0</v>
      </c>
      <c r="Q245" s="1695">
        <f>VLOOKUP($B245,$B$19:$O$206,11,FALSE)</f>
        <v>1078.9814415192059</v>
      </c>
      <c r="R245" s="1681">
        <f t="shared" si="45"/>
        <v>0</v>
      </c>
      <c r="S245" s="1682">
        <f t="shared" si="46"/>
        <v>0</v>
      </c>
      <c r="T245" s="1683">
        <f t="shared" si="47"/>
        <v>0</v>
      </c>
      <c r="U245" s="390"/>
      <c r="V245" s="1684"/>
    </row>
    <row r="246" spans="1:27" s="369" customFormat="1" hidden="1" outlineLevel="1">
      <c r="A246" s="395"/>
      <c r="B246" s="369" t="str">
        <f>IF(E$211=9.525,B85,IF(E$211=12.7,B86, IF(E$211=15.875,B87,"NA")))</f>
        <v>AGC-3/8</v>
      </c>
      <c r="C246" s="1694" t="s">
        <v>2531</v>
      </c>
      <c r="D246" s="369" t="str">
        <f>IF(B246="NA","NA",VLOOKUP($B246,$B$19:$O$206,3,FALSE))</f>
        <v>Silicon Ring 3/8"</v>
      </c>
      <c r="E246" s="416" t="s">
        <v>100</v>
      </c>
      <c r="F246" s="380"/>
      <c r="G246" s="400"/>
      <c r="H246" s="400"/>
      <c r="I246" s="1685"/>
      <c r="J246" s="1173">
        <f t="shared" si="42"/>
        <v>1</v>
      </c>
      <c r="K246" s="441">
        <f>IF(B246="NA",0,VLOOKUP($B246,$B$19:$O$206,5,FALSE))</f>
        <v>1</v>
      </c>
      <c r="L246" s="1679">
        <f>(F209*H209)*(L$240+L$242)*IF(OR(B246="NA",D225="Punch",D225="Emboss"),0,1)</f>
        <v>456</v>
      </c>
      <c r="M246" s="400">
        <f t="shared" si="38"/>
        <v>456</v>
      </c>
      <c r="N246" s="400">
        <f>IF(D$225="FC-Emboss",0,1)</f>
        <v>1</v>
      </c>
      <c r="O246" s="400">
        <v>1</v>
      </c>
      <c r="P246" s="400">
        <f t="shared" si="44"/>
        <v>456</v>
      </c>
      <c r="Q246" s="1680">
        <f>H$225</f>
        <v>1191.1955114372033</v>
      </c>
      <c r="R246" s="1681">
        <f t="shared" si="45"/>
        <v>543185.15321536467</v>
      </c>
      <c r="S246" s="1682">
        <f t="shared" si="46"/>
        <v>8.25E-4</v>
      </c>
      <c r="T246" s="1683">
        <f t="shared" si="47"/>
        <v>0.37619999999999998</v>
      </c>
      <c r="U246" s="390"/>
      <c r="V246" s="1684"/>
    </row>
    <row r="247" spans="1:27" ht="15" collapsed="1">
      <c r="B247" s="2261" t="s">
        <v>2532</v>
      </c>
      <c r="C247" s="2262"/>
      <c r="D247" s="2263"/>
      <c r="E247" s="1686"/>
      <c r="F247" s="1687"/>
      <c r="G247" s="1688"/>
      <c r="H247" s="1688"/>
      <c r="I247" s="1689"/>
      <c r="J247" s="1696"/>
      <c r="K247" s="1691"/>
      <c r="L247" s="1697"/>
      <c r="M247" s="1693"/>
      <c r="N247" s="1688"/>
      <c r="O247" s="1688"/>
      <c r="P247" s="1688"/>
      <c r="Q247" s="1673"/>
      <c r="R247" s="1674"/>
      <c r="S247" s="1675"/>
      <c r="T247" s="1676"/>
      <c r="U247" s="1677"/>
      <c r="V247" s="1678">
        <f>SUM(R247:R250)</f>
        <v>972895.00000000012</v>
      </c>
      <c r="W247" s="1831">
        <f>V247/V$313</f>
        <v>5.0178678284803935E-2</v>
      </c>
      <c r="Z247" s="1624"/>
      <c r="AA247" s="1624"/>
    </row>
    <row r="248" spans="1:27" s="369" customFormat="1" hidden="1" outlineLevel="1">
      <c r="A248" s="395"/>
      <c r="B248" s="369" t="str">
        <f>D226</f>
        <v>TXV407-2</v>
      </c>
      <c r="C248" s="1694" t="s">
        <v>104</v>
      </c>
      <c r="D248" s="417" t="str">
        <f>VLOOKUP($D226,$B$19:$O$206,3,FALSE)</f>
        <v>TXV 2TR R407c</v>
      </c>
      <c r="E248" s="416" t="s">
        <v>100</v>
      </c>
      <c r="F248" s="380"/>
      <c r="G248" s="400"/>
      <c r="H248" s="400"/>
      <c r="I248" s="1685"/>
      <c r="J248" s="1698">
        <f t="shared" ref="J248:J293" si="49">IF(F248&gt;0,22/28*((F248/1000)^2-(F248/1000-2*G248/1000)^2)*H248/1000,IF(G248&gt;0,G248/1000*H248/1000*I248/1000, IF(H248&gt;0,H248/1000*I248/1000, IF(I248=0,1,I248/1000))))</f>
        <v>1</v>
      </c>
      <c r="K248" s="441">
        <f>VLOOKUP($D226,$B$19:$O$206,5,FALSE)</f>
        <v>1</v>
      </c>
      <c r="L248" s="1679">
        <f>F226</f>
        <v>0</v>
      </c>
      <c r="M248" s="372">
        <f t="shared" si="38"/>
        <v>0</v>
      </c>
      <c r="N248" s="400">
        <v>1</v>
      </c>
      <c r="O248" s="400">
        <v>1</v>
      </c>
      <c r="P248" s="400">
        <f t="shared" si="44"/>
        <v>0</v>
      </c>
      <c r="Q248" s="1680">
        <f>H$226</f>
        <v>1400000</v>
      </c>
      <c r="R248" s="1681">
        <f t="shared" si="45"/>
        <v>0</v>
      </c>
      <c r="S248" s="1682">
        <f>VLOOKUP($D226,$B$19:$O$206,12,FALSE)</f>
        <v>0.38</v>
      </c>
      <c r="T248" s="1683">
        <f>M248*N248*S248</f>
        <v>0</v>
      </c>
      <c r="U248" s="390"/>
      <c r="V248" s="1684"/>
    </row>
    <row r="249" spans="1:27" s="369" customFormat="1" hidden="1" outlineLevel="1">
      <c r="A249" s="395"/>
      <c r="B249" s="369" t="str">
        <f>D227</f>
        <v>25W</v>
      </c>
      <c r="C249" s="1694" t="s">
        <v>105</v>
      </c>
      <c r="D249" s="417" t="str">
        <f>VLOOKUP($D227,$B$19:$O$206,3,FALSE)</f>
        <v>Conical 25W x 7/8"</v>
      </c>
      <c r="E249" s="416" t="s">
        <v>100</v>
      </c>
      <c r="F249" s="380"/>
      <c r="G249" s="400"/>
      <c r="H249" s="400"/>
      <c r="I249" s="1685"/>
      <c r="J249" s="1698">
        <f t="shared" si="49"/>
        <v>1</v>
      </c>
      <c r="K249" s="441">
        <f>VLOOKUP($D227,$B$19:$O$206,5,FALSE)</f>
        <v>1</v>
      </c>
      <c r="L249" s="1679">
        <f>F227</f>
        <v>0</v>
      </c>
      <c r="M249" s="372">
        <f t="shared" si="38"/>
        <v>0</v>
      </c>
      <c r="N249" s="400">
        <v>1</v>
      </c>
      <c r="O249" s="400">
        <v>1</v>
      </c>
      <c r="P249" s="400">
        <f t="shared" si="44"/>
        <v>0</v>
      </c>
      <c r="Q249" s="1695">
        <f>H227</f>
        <v>678125</v>
      </c>
      <c r="R249" s="1681">
        <f t="shared" si="45"/>
        <v>0</v>
      </c>
      <c r="S249" s="1682">
        <f>VLOOKUP($D227,$B$19:$O$206,12,FALSE)</f>
        <v>0.71242953370089279</v>
      </c>
      <c r="T249" s="1683">
        <f>M249*N249*S249</f>
        <v>0</v>
      </c>
      <c r="U249" s="390"/>
      <c r="V249" s="1684"/>
    </row>
    <row r="250" spans="1:27" s="369" customFormat="1" hidden="1" outlineLevel="1">
      <c r="A250" s="395"/>
      <c r="B250" s="369" t="s">
        <v>2247</v>
      </c>
      <c r="C250" s="1694" t="s">
        <v>2533</v>
      </c>
      <c r="D250" s="417" t="str">
        <f>VLOOKUP($B250,$B$19:$O$206,3,FALSE)</f>
        <v>Cu Pancake, 1/4" x 0.71mmT x 15m x 1.680kG/Roll</v>
      </c>
      <c r="E250" s="416" t="s">
        <v>1080</v>
      </c>
      <c r="F250" s="380"/>
      <c r="G250" s="400"/>
      <c r="H250" s="400"/>
      <c r="I250" s="1679">
        <f>E228</f>
        <v>0</v>
      </c>
      <c r="J250" s="1173">
        <f t="shared" si="49"/>
        <v>1</v>
      </c>
      <c r="K250" s="441">
        <f>VLOOKUP($B250,$B$19:$O$206,5,FALSE)</f>
        <v>1</v>
      </c>
      <c r="L250" s="1679">
        <f>J211</f>
        <v>38</v>
      </c>
      <c r="M250" s="372">
        <f t="shared" si="38"/>
        <v>38</v>
      </c>
      <c r="N250" s="400">
        <v>1</v>
      </c>
      <c r="O250" s="400">
        <v>1</v>
      </c>
      <c r="P250" s="400">
        <f t="shared" si="44"/>
        <v>38</v>
      </c>
      <c r="Q250" s="1695">
        <f>VLOOKUP($B250,$B$19:$O$206,11,FALSE)</f>
        <v>25602.500000000004</v>
      </c>
      <c r="R250" s="1681">
        <f t="shared" si="45"/>
        <v>972895.00000000012</v>
      </c>
      <c r="S250" s="1682">
        <f>VLOOKUP($B250,$B$19:$O$206,12,FALSE)</f>
        <v>0.112</v>
      </c>
      <c r="T250" s="1683">
        <f>M250*N250*S250</f>
        <v>4.2560000000000002</v>
      </c>
      <c r="U250" s="390"/>
      <c r="V250" s="1684"/>
    </row>
    <row r="251" spans="1:27" ht="15" collapsed="1">
      <c r="B251" s="2261" t="s">
        <v>2534</v>
      </c>
      <c r="C251" s="2262"/>
      <c r="D251" s="2263"/>
      <c r="E251" s="1686"/>
      <c r="F251" s="1687"/>
      <c r="G251" s="1688"/>
      <c r="H251" s="1688"/>
      <c r="I251" s="1689"/>
      <c r="J251" s="1696"/>
      <c r="K251" s="1691"/>
      <c r="L251" s="1699"/>
      <c r="M251" s="1693"/>
      <c r="N251" s="1688"/>
      <c r="O251" s="1688"/>
      <c r="P251" s="1688"/>
      <c r="Q251" s="1673"/>
      <c r="R251" s="1674"/>
      <c r="S251" s="1675"/>
      <c r="T251" s="1676"/>
      <c r="U251" s="1677"/>
      <c r="V251" s="1678">
        <f>SUM(R251:R266)</f>
        <v>807632.77231983433</v>
      </c>
      <c r="W251" s="1831">
        <f>V251/V$313</f>
        <v>4.1655003936191745E-2</v>
      </c>
      <c r="Z251" s="1624"/>
      <c r="AA251" s="1624"/>
    </row>
    <row r="252" spans="1:27" s="369" customFormat="1" hidden="1" outlineLevel="1">
      <c r="A252" s="395"/>
      <c r="B252" s="398" t="str">
        <f>IF(D$209="CWC",D$218,0)</f>
        <v>BS40-2</v>
      </c>
      <c r="C252" s="398" t="s">
        <v>2535</v>
      </c>
      <c r="D252" s="398" t="str">
        <f>IF(D$209="CWC",VLOOKUP($B252,$B$19:$O$206,3,FALSE),0)</f>
        <v>Steel Pipe, 2" ANSI Sch40 (65mm)</v>
      </c>
      <c r="E252" s="416" t="s">
        <v>1080</v>
      </c>
      <c r="F252" s="372"/>
      <c r="G252" s="400"/>
      <c r="H252" s="403"/>
      <c r="I252" s="1679">
        <f>H$211+150</f>
        <v>1100</v>
      </c>
      <c r="J252" s="1698">
        <f>IF(F252&gt;0,22/28*((F252/1000)^2-(F252/1000-2*G252/1000)^2)*H252/1000,IF(G252&gt;0,G252/1000*H252/1000*I252/1000, IF(H252&gt;0,H252/1000*I252/1000, IF(I252=0,1,I252/1000))))</f>
        <v>1.1000000000000001</v>
      </c>
      <c r="K252" s="450">
        <v>1</v>
      </c>
      <c r="L252" s="1679">
        <v>1</v>
      </c>
      <c r="M252" s="372">
        <f>J252*K252*L252</f>
        <v>1.1000000000000001</v>
      </c>
      <c r="N252" s="400">
        <f>IF(D$209="CWC",1,0)</f>
        <v>1</v>
      </c>
      <c r="O252" s="400">
        <v>1.05</v>
      </c>
      <c r="P252" s="400">
        <f t="shared" si="44"/>
        <v>1.1550000000000002</v>
      </c>
      <c r="Q252" s="1680">
        <f>IF(B252=0,0,H$218)</f>
        <v>281686.08833261358</v>
      </c>
      <c r="R252" s="1681">
        <f t="shared" si="45"/>
        <v>325347.43202416878</v>
      </c>
      <c r="S252" s="1682">
        <f t="shared" ref="S252:S266" si="50">IF(D252=0,0,VLOOKUP($B252,$B$19:$O$206,12,FALSE))</f>
        <v>5.43</v>
      </c>
      <c r="T252" s="1683">
        <f t="shared" ref="T252:T266" si="51">M252*N252*S252</f>
        <v>5.9729999999999999</v>
      </c>
      <c r="U252" s="390"/>
      <c r="V252" s="1684"/>
    </row>
    <row r="253" spans="1:27" s="369" customFormat="1" hidden="1" outlineLevel="1">
      <c r="A253" s="395"/>
      <c r="B253" s="398" t="str">
        <f>IF(D$209="CWC",D$219,0)</f>
        <v>Cap-BS 2</v>
      </c>
      <c r="C253" s="1700" t="s">
        <v>2536</v>
      </c>
      <c r="D253" s="398" t="str">
        <f>IF(D$209="CWC",VLOOKUP($B253,$B$19:$O$206,3,FALSE),0)</f>
        <v xml:space="preserve">Black Steel Cap - 2" </v>
      </c>
      <c r="E253" s="416" t="s">
        <v>100</v>
      </c>
      <c r="F253" s="372"/>
      <c r="G253" s="400"/>
      <c r="H253" s="403"/>
      <c r="I253" s="1679"/>
      <c r="J253" s="1698">
        <f>IF(F253&gt;0,22/28*((F253/1000)^2-(F253/1000-2*G253/1000)^2)*H253/1000,IF(G253&gt;0,G253/1000*H253/1000*I253/1000, IF(H253&gt;0,H253/1000*I253/1000, IF(I253=0,1,I253/1000))))</f>
        <v>1</v>
      </c>
      <c r="K253" s="450">
        <v>1</v>
      </c>
      <c r="L253" s="1679">
        <v>2</v>
      </c>
      <c r="M253" s="372">
        <f>J253*K253*L253</f>
        <v>2</v>
      </c>
      <c r="N253" s="400">
        <f>IF(D$209="CWC",1,0)</f>
        <v>1</v>
      </c>
      <c r="O253" s="400">
        <v>1</v>
      </c>
      <c r="P253" s="400">
        <f t="shared" si="44"/>
        <v>2</v>
      </c>
      <c r="Q253" s="1695">
        <f>IF(B253=0,0,VLOOKUP($B253,$B$19:$O$206,11,FALSE))</f>
        <v>2998.076010472394</v>
      </c>
      <c r="R253" s="1681">
        <f t="shared" si="45"/>
        <v>5996.1520209447881</v>
      </c>
      <c r="S253" s="1682">
        <f t="shared" si="50"/>
        <v>7.6878726978421727E-2</v>
      </c>
      <c r="T253" s="1683">
        <f t="shared" si="51"/>
        <v>0.15375745395684345</v>
      </c>
      <c r="U253" s="390"/>
      <c r="V253" s="1684"/>
    </row>
    <row r="254" spans="1:27" s="369" customFormat="1" hidden="1" outlineLevel="1">
      <c r="A254" s="395"/>
      <c r="B254" s="398" t="str">
        <f>IF(D$209="CWC",D$220,0)</f>
        <v>BS40-2</v>
      </c>
      <c r="C254" s="398" t="s">
        <v>2537</v>
      </c>
      <c r="D254" s="398" t="str">
        <f>IF(D$209="CWC",VLOOKUP($B254,$B$19:$O$206,3,FALSE),0)</f>
        <v>Steel Pipe, 2" ANSI Sch40 (65mm)</v>
      </c>
      <c r="E254" s="416" t="s">
        <v>1080</v>
      </c>
      <c r="F254" s="372"/>
      <c r="G254" s="400"/>
      <c r="H254" s="403"/>
      <c r="I254" s="1679">
        <f>H$211+150</f>
        <v>1100</v>
      </c>
      <c r="J254" s="1698">
        <f>IF(F254&gt;0,22/28*((F254/1000)^2-(F254/1000-2*G254/1000)^2)*H254/1000,IF(G254&gt;0,G254/1000*H254/1000*I254/1000, IF(H254&gt;0,H254/1000*I254/1000, IF(I254=0,1,I254/1000))))</f>
        <v>1.1000000000000001</v>
      </c>
      <c r="K254" s="450">
        <v>1</v>
      </c>
      <c r="L254" s="1679">
        <v>1</v>
      </c>
      <c r="M254" s="372">
        <f>J254*K254*L254</f>
        <v>1.1000000000000001</v>
      </c>
      <c r="N254" s="400">
        <f>IF(D$209="CWC",1,0)</f>
        <v>1</v>
      </c>
      <c r="O254" s="400">
        <v>1.05</v>
      </c>
      <c r="P254" s="400">
        <f t="shared" si="44"/>
        <v>1.1550000000000002</v>
      </c>
      <c r="Q254" s="1680">
        <f>IF(B254=0,0,H$220)</f>
        <v>281686.08833261358</v>
      </c>
      <c r="R254" s="1681">
        <f t="shared" si="45"/>
        <v>325347.43202416878</v>
      </c>
      <c r="S254" s="1682">
        <f t="shared" si="50"/>
        <v>5.43</v>
      </c>
      <c r="T254" s="1683">
        <f t="shared" si="51"/>
        <v>5.9729999999999999</v>
      </c>
      <c r="U254" s="390"/>
      <c r="V254" s="1684"/>
    </row>
    <row r="255" spans="1:27" s="369" customFormat="1" hidden="1" outlineLevel="1">
      <c r="A255" s="395"/>
      <c r="B255" s="398" t="str">
        <f>IF(D$209="CWC",D$221,0)</f>
        <v>Cap-BS 2</v>
      </c>
      <c r="C255" s="1700" t="s">
        <v>2538</v>
      </c>
      <c r="D255" s="398" t="str">
        <f>IF(D$209="CWC",VLOOKUP($B255,$B$19:$O$206,3,FALSE),0)</f>
        <v xml:space="preserve">Black Steel Cap - 2" </v>
      </c>
      <c r="E255" s="416" t="s">
        <v>100</v>
      </c>
      <c r="F255" s="372"/>
      <c r="G255" s="400"/>
      <c r="H255" s="403"/>
      <c r="I255" s="1685"/>
      <c r="J255" s="1698">
        <f>IF(F255&gt;0,22/28*((F255/1000)^2-(F255/1000-2*G255/1000)^2)*H255/1000,IF(G255&gt;0,G255/1000*H255/1000*I255/1000, IF(H255&gt;0,H255/1000*I255/1000, IF(I255=0,1,I255/1000))))</f>
        <v>1</v>
      </c>
      <c r="K255" s="450">
        <v>1</v>
      </c>
      <c r="L255" s="1679">
        <v>2</v>
      </c>
      <c r="M255" s="372">
        <f>J255*K255*L255</f>
        <v>2</v>
      </c>
      <c r="N255" s="400">
        <f>IF(D$209="CWC",1,0)</f>
        <v>1</v>
      </c>
      <c r="O255" s="400">
        <v>1</v>
      </c>
      <c r="P255" s="400">
        <f t="shared" si="44"/>
        <v>2</v>
      </c>
      <c r="Q255" s="1695">
        <f>IF(B255=0,0,VLOOKUP($B255,$B$19:$O$206,11,FALSE))</f>
        <v>2998.076010472394</v>
      </c>
      <c r="R255" s="1681">
        <f t="shared" si="45"/>
        <v>5996.1520209447881</v>
      </c>
      <c r="S255" s="1682">
        <f t="shared" si="50"/>
        <v>7.6878726978421727E-2</v>
      </c>
      <c r="T255" s="1683">
        <f t="shared" si="51"/>
        <v>0.15375745395684345</v>
      </c>
      <c r="U255" s="390"/>
      <c r="V255" s="1684"/>
    </row>
    <row r="256" spans="1:27" s="369" customFormat="1" hidden="1" outlineLevel="1">
      <c r="A256" s="395"/>
      <c r="B256" s="399" t="str">
        <f>IF(D$209="CWC",IF(E$209="3/8",B$119,IF(E$209="1/2",B$120, IF(E$209="5/8",B$121,"NA"))),0)</f>
        <v>CuDX/ACC-3/8</v>
      </c>
      <c r="C256" s="1701" t="s">
        <v>2539</v>
      </c>
      <c r="D256" s="382" t="str">
        <f>IF(D$209="CWC",VLOOKUP($B256,$B$19:$O$206,3,FALSE),0)</f>
        <v>Cu Pancake, 3/8" x 0.81mmT x 15m x 2.962kG/Roll</v>
      </c>
      <c r="E256" s="490" t="s">
        <v>1080</v>
      </c>
      <c r="F256" s="396"/>
      <c r="G256" s="491"/>
      <c r="H256" s="404"/>
      <c r="I256" s="1702">
        <v>50</v>
      </c>
      <c r="J256" s="1703">
        <f>IF(F256&gt;0,22/28*((F256/1000)^2-(F256/1000-2*G256/1000)^2)*H256/1000,IF(G256&gt;0,G256/1000*H256/1000*I256/1000, IF(H256&gt;0,H256/1000*I256/1000, IF(I256=0,1,I256/1000))))</f>
        <v>0.05</v>
      </c>
      <c r="K256" s="468">
        <v>1</v>
      </c>
      <c r="L256" s="1704">
        <f>J209*2</f>
        <v>76</v>
      </c>
      <c r="M256" s="396">
        <f>J256*K256*L256</f>
        <v>3.8000000000000003</v>
      </c>
      <c r="N256" s="491">
        <f>IF(D$209="CWC",1,0)</f>
        <v>1</v>
      </c>
      <c r="O256" s="491">
        <v>1.05</v>
      </c>
      <c r="P256" s="491">
        <f t="shared" si="44"/>
        <v>3.9900000000000007</v>
      </c>
      <c r="Q256" s="1705">
        <f>IF(B256=0,0,VLOOKUP($B256,$B$19:$O$206,11,FALSE))</f>
        <v>36327.219105164731</v>
      </c>
      <c r="R256" s="1706">
        <f t="shared" si="45"/>
        <v>144945.6042296073</v>
      </c>
      <c r="S256" s="1707">
        <f t="shared" si="50"/>
        <v>0.19746666666666668</v>
      </c>
      <c r="T256" s="1708">
        <f t="shared" si="51"/>
        <v>0.75037333333333345</v>
      </c>
      <c r="U256" s="390"/>
      <c r="V256" s="1684"/>
    </row>
    <row r="257" spans="1:27" s="369" customFormat="1" hidden="1" outlineLevel="1">
      <c r="A257" s="395"/>
      <c r="B257" s="398">
        <f>IF(D$209="DXC",D$218,0)</f>
        <v>0</v>
      </c>
      <c r="C257" s="398" t="s">
        <v>2540</v>
      </c>
      <c r="D257" s="398">
        <f>IF(D$209="DXC",VLOOKUP($B257,$B$19:$O$206,3,FALSE),0)</f>
        <v>0</v>
      </c>
      <c r="E257" s="416" t="s">
        <v>1080</v>
      </c>
      <c r="F257" s="380"/>
      <c r="G257" s="400"/>
      <c r="H257" s="400"/>
      <c r="I257" s="1679">
        <v>150</v>
      </c>
      <c r="J257" s="1698">
        <f t="shared" si="49"/>
        <v>0.15</v>
      </c>
      <c r="K257" s="450">
        <v>1</v>
      </c>
      <c r="L257" s="1679">
        <v>1</v>
      </c>
      <c r="M257" s="372">
        <f t="shared" si="38"/>
        <v>0.15</v>
      </c>
      <c r="N257" s="400">
        <f>IF(D$209="DXC",1,0)</f>
        <v>0</v>
      </c>
      <c r="O257" s="400">
        <v>1.05</v>
      </c>
      <c r="P257" s="400">
        <f t="shared" si="44"/>
        <v>0</v>
      </c>
      <c r="Q257" s="1680">
        <f>IF(B257=0,0,H$218)</f>
        <v>0</v>
      </c>
      <c r="R257" s="1681">
        <f t="shared" si="45"/>
        <v>0</v>
      </c>
      <c r="S257" s="1682">
        <f t="shared" si="50"/>
        <v>0</v>
      </c>
      <c r="T257" s="1683">
        <f t="shared" si="51"/>
        <v>0</v>
      </c>
      <c r="U257" s="390"/>
      <c r="V257" s="1684"/>
    </row>
    <row r="258" spans="1:27" s="369" customFormat="1" hidden="1" outlineLevel="1">
      <c r="A258" s="395"/>
      <c r="B258" s="398">
        <f>IF(D$209="DXC",D$219,0)</f>
        <v>0</v>
      </c>
      <c r="C258" s="1700" t="s">
        <v>2541</v>
      </c>
      <c r="D258" s="398">
        <f>IF(D$209="DXC",VLOOKUP($B258,$B$19:$O$206,3,FALSE),0)</f>
        <v>0</v>
      </c>
      <c r="E258" s="416" t="s">
        <v>100</v>
      </c>
      <c r="F258" s="380"/>
      <c r="G258" s="400"/>
      <c r="H258" s="400"/>
      <c r="I258" s="1679"/>
      <c r="J258" s="1698">
        <f t="shared" si="49"/>
        <v>1</v>
      </c>
      <c r="K258" s="450">
        <v>1</v>
      </c>
      <c r="L258" s="1679">
        <v>2</v>
      </c>
      <c r="M258" s="372">
        <f t="shared" si="38"/>
        <v>2</v>
      </c>
      <c r="N258" s="400">
        <f>IF(D$209="DXC",1,0)</f>
        <v>0</v>
      </c>
      <c r="O258" s="400">
        <v>1</v>
      </c>
      <c r="P258" s="400">
        <f t="shared" si="44"/>
        <v>0</v>
      </c>
      <c r="Q258" s="1695">
        <f>IF(B258=0,0,VLOOKUP($B258,$B$19:$O$206,11,FALSE))</f>
        <v>0</v>
      </c>
      <c r="R258" s="1681">
        <f t="shared" si="45"/>
        <v>0</v>
      </c>
      <c r="S258" s="1682">
        <f t="shared" si="50"/>
        <v>0</v>
      </c>
      <c r="T258" s="1683">
        <f t="shared" si="51"/>
        <v>0</v>
      </c>
      <c r="U258" s="390"/>
      <c r="V258" s="1684"/>
    </row>
    <row r="259" spans="1:27" s="369" customFormat="1" hidden="1" outlineLevel="1">
      <c r="A259" s="395"/>
      <c r="B259" s="398">
        <f>IF(D$209="DXC",D$220,0)</f>
        <v>0</v>
      </c>
      <c r="C259" s="398" t="s">
        <v>2542</v>
      </c>
      <c r="D259" s="398">
        <f>IF(D$209="DXC",VLOOKUP($B259,$B$19:$O$206,3,FALSE),0)</f>
        <v>0</v>
      </c>
      <c r="E259" s="416" t="s">
        <v>1080</v>
      </c>
      <c r="F259" s="380"/>
      <c r="G259" s="400"/>
      <c r="H259" s="400"/>
      <c r="I259" s="1679">
        <f>H$211+600</f>
        <v>1550</v>
      </c>
      <c r="J259" s="1698">
        <f t="shared" si="49"/>
        <v>1.55</v>
      </c>
      <c r="K259" s="450">
        <v>1</v>
      </c>
      <c r="L259" s="1679">
        <v>1</v>
      </c>
      <c r="M259" s="372">
        <f t="shared" si="38"/>
        <v>1.55</v>
      </c>
      <c r="N259" s="400">
        <f>IF(D$209="DXC",1,0)</f>
        <v>0</v>
      </c>
      <c r="O259" s="400">
        <v>1.05</v>
      </c>
      <c r="P259" s="400">
        <f t="shared" si="44"/>
        <v>0</v>
      </c>
      <c r="Q259" s="1680">
        <f>IF(B259=0,0,H$220)</f>
        <v>0</v>
      </c>
      <c r="R259" s="1681">
        <f t="shared" si="45"/>
        <v>0</v>
      </c>
      <c r="S259" s="1682">
        <f t="shared" si="50"/>
        <v>0</v>
      </c>
      <c r="T259" s="1683">
        <f t="shared" si="51"/>
        <v>0</v>
      </c>
      <c r="U259" s="390"/>
      <c r="V259" s="1684"/>
    </row>
    <row r="260" spans="1:27" s="369" customFormat="1" hidden="1" outlineLevel="1">
      <c r="A260" s="395"/>
      <c r="B260" s="398">
        <f>IF(D$209="DXC",D$221,0)</f>
        <v>0</v>
      </c>
      <c r="C260" s="1700" t="s">
        <v>2543</v>
      </c>
      <c r="D260" s="398">
        <f>IF(D$209="DXC",VLOOKUP($B260,$B$19:$O$206,3,FALSE),0)</f>
        <v>0</v>
      </c>
      <c r="E260" s="416" t="s">
        <v>100</v>
      </c>
      <c r="F260" s="380"/>
      <c r="G260" s="400"/>
      <c r="H260" s="400"/>
      <c r="I260" s="1685"/>
      <c r="J260" s="1698">
        <f t="shared" si="49"/>
        <v>1</v>
      </c>
      <c r="K260" s="450">
        <v>1</v>
      </c>
      <c r="L260" s="1679">
        <v>2</v>
      </c>
      <c r="M260" s="372">
        <f t="shared" si="38"/>
        <v>2</v>
      </c>
      <c r="N260" s="400">
        <f>IF(D$209="DXC",1,0)</f>
        <v>0</v>
      </c>
      <c r="O260" s="400">
        <v>1</v>
      </c>
      <c r="P260" s="400">
        <f t="shared" si="44"/>
        <v>0</v>
      </c>
      <c r="Q260" s="1695">
        <f>IF(B260=0,0,VLOOKUP($B260,$B$19:$O$206,11,FALSE))</f>
        <v>0</v>
      </c>
      <c r="R260" s="1681">
        <f t="shared" si="45"/>
        <v>0</v>
      </c>
      <c r="S260" s="1682">
        <f t="shared" si="50"/>
        <v>0</v>
      </c>
      <c r="T260" s="1683">
        <f t="shared" si="51"/>
        <v>0</v>
      </c>
      <c r="U260" s="390"/>
      <c r="V260" s="1684"/>
    </row>
    <row r="261" spans="1:27" s="369" customFormat="1" hidden="1" outlineLevel="1">
      <c r="A261" s="395"/>
      <c r="B261" s="399">
        <f>IF(D$209="DXC",IF(E$209="3/8",B$119,IF(E$209="1/2",B$120, IF(E$209="5/8",B$121,"NA"))),0)</f>
        <v>0</v>
      </c>
      <c r="C261" s="399" t="s">
        <v>2544</v>
      </c>
      <c r="D261" s="382">
        <f>IF(D$209="DXC",VLOOKUP($B261,$B$19:$O$206,3,FALSE),0)</f>
        <v>0</v>
      </c>
      <c r="E261" s="490" t="s">
        <v>1080</v>
      </c>
      <c r="F261" s="396"/>
      <c r="G261" s="491"/>
      <c r="H261" s="404"/>
      <c r="I261" s="1702">
        <v>50</v>
      </c>
      <c r="J261" s="1703">
        <f t="shared" si="49"/>
        <v>0.05</v>
      </c>
      <c r="K261" s="468">
        <v>1</v>
      </c>
      <c r="L261" s="1704">
        <f>J209</f>
        <v>38</v>
      </c>
      <c r="M261" s="396">
        <f t="shared" si="38"/>
        <v>1.9000000000000001</v>
      </c>
      <c r="N261" s="491">
        <f>IF(D$209="DXC",1,0)</f>
        <v>0</v>
      </c>
      <c r="O261" s="491">
        <v>1.05</v>
      </c>
      <c r="P261" s="491">
        <f t="shared" si="44"/>
        <v>0</v>
      </c>
      <c r="Q261" s="1705">
        <f>IF(B261=0,0,VLOOKUP($B261,$B$19:$O$206,11,FALSE))</f>
        <v>0</v>
      </c>
      <c r="R261" s="1706">
        <f t="shared" si="45"/>
        <v>0</v>
      </c>
      <c r="S261" s="1707">
        <f t="shared" si="50"/>
        <v>0</v>
      </c>
      <c r="T261" s="1708">
        <f t="shared" si="51"/>
        <v>0</v>
      </c>
      <c r="U261" s="390"/>
      <c r="V261" s="1684"/>
    </row>
    <row r="262" spans="1:27" s="369" customFormat="1" hidden="1" outlineLevel="1">
      <c r="A262" s="395"/>
      <c r="B262" s="398">
        <f>IF(D$209="ACC",D$218,0)</f>
        <v>0</v>
      </c>
      <c r="C262" s="398" t="s">
        <v>2545</v>
      </c>
      <c r="D262" s="398">
        <f>IF(D$209="ACC",VLOOKUP($B262,$B$19:$O$206,3,FALSE),0)</f>
        <v>0</v>
      </c>
      <c r="E262" s="416" t="s">
        <v>1080</v>
      </c>
      <c r="F262" s="372"/>
      <c r="G262" s="400"/>
      <c r="H262" s="403"/>
      <c r="I262" s="1679">
        <f>H$211+150</f>
        <v>1100</v>
      </c>
      <c r="J262" s="1698">
        <f t="shared" si="49"/>
        <v>1.1000000000000001</v>
      </c>
      <c r="K262" s="450">
        <v>1</v>
      </c>
      <c r="L262" s="1679">
        <v>1</v>
      </c>
      <c r="M262" s="400">
        <f t="shared" si="38"/>
        <v>1.1000000000000001</v>
      </c>
      <c r="N262" s="400">
        <f>IF(D$209="ACC",1,0)</f>
        <v>0</v>
      </c>
      <c r="O262" s="400">
        <v>1.05</v>
      </c>
      <c r="P262" s="400">
        <f t="shared" si="44"/>
        <v>0</v>
      </c>
      <c r="Q262" s="1680">
        <f>IF(B262=0,0,H$218)</f>
        <v>0</v>
      </c>
      <c r="R262" s="1681">
        <f t="shared" si="45"/>
        <v>0</v>
      </c>
      <c r="S262" s="1682">
        <f t="shared" si="50"/>
        <v>0</v>
      </c>
      <c r="T262" s="1683">
        <f t="shared" si="51"/>
        <v>0</v>
      </c>
      <c r="U262" s="390"/>
      <c r="V262" s="1684"/>
    </row>
    <row r="263" spans="1:27" s="369" customFormat="1" hidden="1" outlineLevel="1">
      <c r="A263" s="395"/>
      <c r="B263" s="398">
        <f>IF(D$209="ACC",D$219,0)</f>
        <v>0</v>
      </c>
      <c r="C263" s="1700" t="s">
        <v>2546</v>
      </c>
      <c r="D263" s="398">
        <f>IF(D$209="ACC",VLOOKUP($B263,$B$19:$O$206,3,FALSE),0)</f>
        <v>0</v>
      </c>
      <c r="E263" s="416" t="s">
        <v>100</v>
      </c>
      <c r="F263" s="372"/>
      <c r="G263" s="400"/>
      <c r="H263" s="403"/>
      <c r="I263" s="1679"/>
      <c r="J263" s="1698">
        <f t="shared" si="49"/>
        <v>1</v>
      </c>
      <c r="K263" s="450">
        <v>1</v>
      </c>
      <c r="L263" s="1679">
        <v>2</v>
      </c>
      <c r="M263" s="400">
        <f t="shared" si="38"/>
        <v>2</v>
      </c>
      <c r="N263" s="400">
        <f>IF(D$209="ACC",1,0)</f>
        <v>0</v>
      </c>
      <c r="O263" s="400">
        <v>1</v>
      </c>
      <c r="P263" s="400">
        <f t="shared" si="44"/>
        <v>0</v>
      </c>
      <c r="Q263" s="1695">
        <f>IF(B263=0,0,VLOOKUP($B263,$B$19:$O$206,11,FALSE))</f>
        <v>0</v>
      </c>
      <c r="R263" s="1681">
        <f t="shared" si="45"/>
        <v>0</v>
      </c>
      <c r="S263" s="1682">
        <f t="shared" si="50"/>
        <v>0</v>
      </c>
      <c r="T263" s="1683">
        <f t="shared" si="51"/>
        <v>0</v>
      </c>
      <c r="U263" s="390"/>
      <c r="V263" s="1684"/>
    </row>
    <row r="264" spans="1:27" s="369" customFormat="1" hidden="1" outlineLevel="1">
      <c r="A264" s="395"/>
      <c r="B264" s="398">
        <f>IF(D$209="ACC",D$220,0)</f>
        <v>0</v>
      </c>
      <c r="C264" s="398" t="s">
        <v>2547</v>
      </c>
      <c r="D264" s="398">
        <f>IF(D$209="ACC",VLOOKUP($B264,$B$19:$O$206,3,FALSE),0)</f>
        <v>0</v>
      </c>
      <c r="E264" s="416" t="s">
        <v>1080</v>
      </c>
      <c r="F264" s="372"/>
      <c r="G264" s="400"/>
      <c r="H264" s="403"/>
      <c r="I264" s="1679">
        <f>H$211+150</f>
        <v>1100</v>
      </c>
      <c r="J264" s="1698">
        <f t="shared" si="49"/>
        <v>1.1000000000000001</v>
      </c>
      <c r="K264" s="450">
        <v>1</v>
      </c>
      <c r="L264" s="1679">
        <v>1</v>
      </c>
      <c r="M264" s="400">
        <f t="shared" si="38"/>
        <v>1.1000000000000001</v>
      </c>
      <c r="N264" s="400">
        <f>IF(D$209="ACC",1,0)</f>
        <v>0</v>
      </c>
      <c r="O264" s="400">
        <v>1.05</v>
      </c>
      <c r="P264" s="400">
        <f t="shared" si="44"/>
        <v>0</v>
      </c>
      <c r="Q264" s="1680">
        <f>IF(B264=0,0,H$220)</f>
        <v>0</v>
      </c>
      <c r="R264" s="1681">
        <f t="shared" si="45"/>
        <v>0</v>
      </c>
      <c r="S264" s="1682">
        <f t="shared" si="50"/>
        <v>0</v>
      </c>
      <c r="T264" s="1683">
        <f t="shared" si="51"/>
        <v>0</v>
      </c>
      <c r="U264" s="390"/>
      <c r="V264" s="1684"/>
    </row>
    <row r="265" spans="1:27" s="369" customFormat="1" hidden="1" outlineLevel="1">
      <c r="A265" s="395"/>
      <c r="B265" s="398">
        <f>IF(D$209="ACC",D$221,0)</f>
        <v>0</v>
      </c>
      <c r="C265" s="1700" t="s">
        <v>2546</v>
      </c>
      <c r="D265" s="398">
        <f>IF(D$209="ACC",VLOOKUP($B265,$B$19:$O$206,3,FALSE),0)</f>
        <v>0</v>
      </c>
      <c r="E265" s="416" t="s">
        <v>100</v>
      </c>
      <c r="F265" s="372"/>
      <c r="G265" s="400"/>
      <c r="H265" s="403"/>
      <c r="I265" s="1685"/>
      <c r="J265" s="1698">
        <f t="shared" si="49"/>
        <v>1</v>
      </c>
      <c r="K265" s="450">
        <v>1</v>
      </c>
      <c r="L265" s="1679">
        <v>2</v>
      </c>
      <c r="M265" s="400">
        <f t="shared" si="38"/>
        <v>2</v>
      </c>
      <c r="N265" s="400">
        <f>IF(D$209="ACC",1,0)</f>
        <v>0</v>
      </c>
      <c r="O265" s="400">
        <v>1</v>
      </c>
      <c r="P265" s="400">
        <f t="shared" si="44"/>
        <v>0</v>
      </c>
      <c r="Q265" s="1695">
        <f>IF(B265=0,0,VLOOKUP($B265,$B$19:$O$206,11,FALSE))</f>
        <v>0</v>
      </c>
      <c r="R265" s="1681">
        <f t="shared" si="45"/>
        <v>0</v>
      </c>
      <c r="S265" s="1682">
        <f t="shared" si="50"/>
        <v>0</v>
      </c>
      <c r="T265" s="1683">
        <f t="shared" si="51"/>
        <v>0</v>
      </c>
      <c r="U265" s="390"/>
      <c r="V265" s="1684"/>
    </row>
    <row r="266" spans="1:27" s="369" customFormat="1" hidden="1" outlineLevel="1">
      <c r="A266" s="395"/>
      <c r="B266" s="398">
        <f>IF(D$209="ACC",IF(E$209="3/8",B$119,IF(E$209="1/2",B$120, IF(E$209="5/8",B$121,"NA"))),0)</f>
        <v>0</v>
      </c>
      <c r="C266" s="1700" t="s">
        <v>2548</v>
      </c>
      <c r="D266" s="398">
        <f>IF(D$209="ACC",VLOOKUP($B266,$B$19:$O$206,3,FALSE),0)</f>
        <v>0</v>
      </c>
      <c r="E266" s="416" t="s">
        <v>1080</v>
      </c>
      <c r="F266" s="372"/>
      <c r="G266" s="400"/>
      <c r="H266" s="403"/>
      <c r="I266" s="1709">
        <v>50</v>
      </c>
      <c r="J266" s="1710">
        <f t="shared" si="49"/>
        <v>0.05</v>
      </c>
      <c r="K266" s="450">
        <v>1</v>
      </c>
      <c r="L266" s="1679">
        <f>J209*2</f>
        <v>76</v>
      </c>
      <c r="M266" s="400">
        <f t="shared" si="38"/>
        <v>3.8000000000000003</v>
      </c>
      <c r="N266" s="400">
        <f>IF(D$209="ACC",1,0)</f>
        <v>0</v>
      </c>
      <c r="O266" s="400">
        <v>1.05</v>
      </c>
      <c r="P266" s="400">
        <f t="shared" si="44"/>
        <v>0</v>
      </c>
      <c r="Q266" s="1695">
        <f>IF(B266=0,0,VLOOKUP($B266,$B$19:$O$206,11,FALSE))</f>
        <v>0</v>
      </c>
      <c r="R266" s="1681">
        <f t="shared" si="45"/>
        <v>0</v>
      </c>
      <c r="S266" s="1682">
        <f t="shared" si="50"/>
        <v>0</v>
      </c>
      <c r="T266" s="1683">
        <f t="shared" si="51"/>
        <v>0</v>
      </c>
      <c r="U266" s="390"/>
      <c r="V266" s="1684"/>
    </row>
    <row r="267" spans="1:27" ht="15" collapsed="1">
      <c r="B267" s="2261" t="s">
        <v>106</v>
      </c>
      <c r="C267" s="2262"/>
      <c r="D267" s="2263"/>
      <c r="E267" s="1686"/>
      <c r="F267" s="1693"/>
      <c r="G267" s="1688"/>
      <c r="H267" s="1690"/>
      <c r="I267" s="1711"/>
      <c r="J267" s="1696"/>
      <c r="K267" s="1712"/>
      <c r="L267" s="1713"/>
      <c r="M267" s="1714"/>
      <c r="N267" s="1688"/>
      <c r="O267" s="1715"/>
      <c r="P267" s="1716"/>
      <c r="Q267" s="1717"/>
      <c r="R267" s="1674"/>
      <c r="S267" s="1675"/>
      <c r="T267" s="1676"/>
      <c r="U267" s="1677"/>
      <c r="V267" s="1678">
        <f>SUM(R267:R297)</f>
        <v>6443793.5424326574</v>
      </c>
      <c r="W267" s="1831">
        <f>V267/V$313</f>
        <v>0.33234937285053923</v>
      </c>
      <c r="Z267" s="1624"/>
      <c r="AA267" s="1624"/>
    </row>
    <row r="268" spans="1:27" s="369" customFormat="1" hidden="1" outlineLevel="1">
      <c r="A268" s="395"/>
      <c r="B268" s="415" t="s">
        <v>2102</v>
      </c>
      <c r="C268" s="1700" t="s">
        <v>2549</v>
      </c>
      <c r="D268" s="398" t="s">
        <v>2550</v>
      </c>
      <c r="E268" s="1718">
        <f>F$237</f>
        <v>9.5249999999999986</v>
      </c>
      <c r="F268" s="372"/>
      <c r="G268" s="400"/>
      <c r="H268" s="403"/>
      <c r="I268" s="1709">
        <f t="shared" ref="I268:I290" si="52">22/7*E268</f>
        <v>29.93571428571428</v>
      </c>
      <c r="J268" s="1698">
        <f t="shared" ref="J268:J275" si="53">IF(F268&gt;0,22/28*((F268/1000)^2-(F268/1000-2*G268/1000)^2)*H268/1000,IF(G268&gt;0,G268/1000*H268/1000*I268/1000, IF(H268&gt;0,H268/1000*I268/1000, IF(I268=0,1,I268/1000))))</f>
        <v>2.9935714285714281E-2</v>
      </c>
      <c r="K268" s="1719">
        <f t="shared" ref="K268:K297" si="54">VLOOKUP($B268,$B$19:$O$206,5,FALSE)</f>
        <v>2.843192307125415E-2</v>
      </c>
      <c r="L268" s="1679">
        <f>L$238*2</f>
        <v>380</v>
      </c>
      <c r="M268" s="441">
        <f t="shared" ref="M268:M308" si="55">J268*K268*L268</f>
        <v>0.32342937174869946</v>
      </c>
      <c r="N268" s="400">
        <f t="shared" ref="N268:N275" si="56">IF(D$209="CWC",1,0)</f>
        <v>1</v>
      </c>
      <c r="O268" s="400">
        <v>1</v>
      </c>
      <c r="P268" s="400">
        <f t="shared" si="44"/>
        <v>0.32342937174869946</v>
      </c>
      <c r="Q268" s="1695">
        <f t="shared" ref="Q268:Q297" si="57">VLOOKUP($B268,$B$19:$O$206,11,FALSE)</f>
        <v>818917.24212343548</v>
      </c>
      <c r="R268" s="1681">
        <f t="shared" si="45"/>
        <v>264861.88913416036</v>
      </c>
      <c r="S268" s="1682">
        <f t="shared" ref="S268:S297" si="58">VLOOKUP($B268,$B$19:$O$206,12,FALSE)</f>
        <v>1</v>
      </c>
      <c r="T268" s="1683">
        <f t="shared" ref="T268:T297" si="59">M268*N268*S268</f>
        <v>0.32342937174869946</v>
      </c>
      <c r="U268" s="390"/>
      <c r="V268" s="1684"/>
    </row>
    <row r="269" spans="1:27" s="369" customFormat="1" hidden="1" outlineLevel="1">
      <c r="A269" s="395"/>
      <c r="B269" s="415" t="s">
        <v>2102</v>
      </c>
      <c r="C269" s="1700" t="s">
        <v>2549</v>
      </c>
      <c r="D269" s="398" t="s">
        <v>2551</v>
      </c>
      <c r="E269" s="1718">
        <f>F$237</f>
        <v>9.5249999999999986</v>
      </c>
      <c r="F269" s="372"/>
      <c r="G269" s="400"/>
      <c r="H269" s="403"/>
      <c r="I269" s="1709">
        <f t="shared" si="52"/>
        <v>29.93571428571428</v>
      </c>
      <c r="J269" s="1698">
        <f t="shared" si="53"/>
        <v>2.9935714285714281E-2</v>
      </c>
      <c r="K269" s="1719">
        <f t="shared" si="54"/>
        <v>2.843192307125415E-2</v>
      </c>
      <c r="L269" s="1679">
        <f>J$211</f>
        <v>38</v>
      </c>
      <c r="M269" s="441">
        <f t="shared" si="55"/>
        <v>3.2342937174869947E-2</v>
      </c>
      <c r="N269" s="400">
        <f t="shared" si="56"/>
        <v>1</v>
      </c>
      <c r="O269" s="400">
        <v>1</v>
      </c>
      <c r="P269" s="400">
        <f t="shared" si="44"/>
        <v>3.2342937174869947E-2</v>
      </c>
      <c r="Q269" s="1695">
        <f t="shared" si="57"/>
        <v>818917.24212343548</v>
      </c>
      <c r="R269" s="1681">
        <f t="shared" si="45"/>
        <v>26486.188913416034</v>
      </c>
      <c r="S269" s="1682">
        <f t="shared" si="58"/>
        <v>1</v>
      </c>
      <c r="T269" s="1683">
        <f t="shared" si="59"/>
        <v>3.2342937174869947E-2</v>
      </c>
      <c r="U269" s="390"/>
      <c r="V269" s="1684"/>
    </row>
    <row r="270" spans="1:27" s="369" customFormat="1" hidden="1" outlineLevel="1">
      <c r="A270" s="395"/>
      <c r="B270" s="415" t="s">
        <v>2102</v>
      </c>
      <c r="C270" s="1700" t="s">
        <v>2549</v>
      </c>
      <c r="D270" s="398" t="s">
        <v>2552</v>
      </c>
      <c r="E270" s="1718">
        <f>F$237</f>
        <v>9.5249999999999986</v>
      </c>
      <c r="F270" s="372"/>
      <c r="G270" s="400"/>
      <c r="H270" s="403"/>
      <c r="I270" s="1709">
        <f t="shared" si="52"/>
        <v>29.93571428571428</v>
      </c>
      <c r="J270" s="1698">
        <f t="shared" si="53"/>
        <v>2.9935714285714281E-2</v>
      </c>
      <c r="K270" s="1719">
        <f t="shared" si="54"/>
        <v>2.843192307125415E-2</v>
      </c>
      <c r="L270" s="1679">
        <f>J$211</f>
        <v>38</v>
      </c>
      <c r="M270" s="441">
        <f t="shared" si="55"/>
        <v>3.2342937174869947E-2</v>
      </c>
      <c r="N270" s="400">
        <f t="shared" si="56"/>
        <v>1</v>
      </c>
      <c r="O270" s="400">
        <v>1</v>
      </c>
      <c r="P270" s="400">
        <f t="shared" si="44"/>
        <v>3.2342937174869947E-2</v>
      </c>
      <c r="Q270" s="1695">
        <f t="shared" si="57"/>
        <v>818917.24212343548</v>
      </c>
      <c r="R270" s="1681">
        <f t="shared" si="45"/>
        <v>26486.188913416034</v>
      </c>
      <c r="S270" s="1682">
        <f t="shared" si="58"/>
        <v>1</v>
      </c>
      <c r="T270" s="1683">
        <f t="shared" si="59"/>
        <v>3.2342937174869947E-2</v>
      </c>
      <c r="U270" s="390"/>
      <c r="V270" s="1684"/>
    </row>
    <row r="271" spans="1:27" s="369" customFormat="1" hidden="1" outlineLevel="1">
      <c r="A271" s="395"/>
      <c r="B271" s="415" t="str">
        <f>IF(D$216="Copper", "Alloy-2%", "Alloy-35%")</f>
        <v>Alloy-35%</v>
      </c>
      <c r="C271" s="1700" t="s">
        <v>2553</v>
      </c>
      <c r="D271" s="398" t="s">
        <v>2554</v>
      </c>
      <c r="E271" s="1718">
        <f>F$237</f>
        <v>9.5249999999999986</v>
      </c>
      <c r="F271" s="372"/>
      <c r="G271" s="400"/>
      <c r="H271" s="403"/>
      <c r="I271" s="1709">
        <f t="shared" si="52"/>
        <v>29.93571428571428</v>
      </c>
      <c r="J271" s="1698">
        <f t="shared" si="53"/>
        <v>2.9935714285714281E-2</v>
      </c>
      <c r="K271" s="1719">
        <f t="shared" si="54"/>
        <v>0.11077789370208702</v>
      </c>
      <c r="L271" s="1679">
        <f t="shared" ref="L271:L272" si="60">J$211</f>
        <v>38</v>
      </c>
      <c r="M271" s="441">
        <f t="shared" si="55"/>
        <v>0.12601618425147837</v>
      </c>
      <c r="N271" s="400">
        <f t="shared" si="56"/>
        <v>1</v>
      </c>
      <c r="O271" s="400">
        <v>1</v>
      </c>
      <c r="P271" s="400">
        <f t="shared" si="44"/>
        <v>0.12601618425147837</v>
      </c>
      <c r="Q271" s="1695">
        <f t="shared" si="57"/>
        <v>9257679.7583081573</v>
      </c>
      <c r="R271" s="1681">
        <f t="shared" si="45"/>
        <v>1166617.4781641425</v>
      </c>
      <c r="S271" s="1682">
        <f t="shared" si="58"/>
        <v>1</v>
      </c>
      <c r="T271" s="1683">
        <f t="shared" si="59"/>
        <v>0.12601618425147837</v>
      </c>
      <c r="U271" s="390"/>
      <c r="V271" s="1684"/>
    </row>
    <row r="272" spans="1:27" s="369" customFormat="1" hidden="1" outlineLevel="1">
      <c r="A272" s="395"/>
      <c r="B272" s="415" t="str">
        <f>IF(D$216="Copper", "Alloy-2%", "Alloy-35%")</f>
        <v>Alloy-35%</v>
      </c>
      <c r="C272" s="1700" t="s">
        <v>2553</v>
      </c>
      <c r="D272" s="398" t="s">
        <v>2555</v>
      </c>
      <c r="E272" s="1718">
        <f>F$237</f>
        <v>9.5249999999999986</v>
      </c>
      <c r="F272" s="372"/>
      <c r="G272" s="400"/>
      <c r="H272" s="403"/>
      <c r="I272" s="1709">
        <f t="shared" si="52"/>
        <v>29.93571428571428</v>
      </c>
      <c r="J272" s="1698">
        <f t="shared" si="53"/>
        <v>2.9935714285714281E-2</v>
      </c>
      <c r="K272" s="1719">
        <f t="shared" si="54"/>
        <v>0.11077789370208702</v>
      </c>
      <c r="L272" s="1679">
        <f t="shared" si="60"/>
        <v>38</v>
      </c>
      <c r="M272" s="441">
        <f t="shared" si="55"/>
        <v>0.12601618425147837</v>
      </c>
      <c r="N272" s="400">
        <f t="shared" si="56"/>
        <v>1</v>
      </c>
      <c r="O272" s="400">
        <v>1</v>
      </c>
      <c r="P272" s="400">
        <f t="shared" si="44"/>
        <v>0.12601618425147837</v>
      </c>
      <c r="Q272" s="1695">
        <f t="shared" si="57"/>
        <v>9257679.7583081573</v>
      </c>
      <c r="R272" s="1681">
        <f t="shared" si="45"/>
        <v>1166617.4781641425</v>
      </c>
      <c r="S272" s="1682">
        <f t="shared" si="58"/>
        <v>1</v>
      </c>
      <c r="T272" s="1683">
        <f t="shared" si="59"/>
        <v>0.12601618425147837</v>
      </c>
      <c r="U272" s="390"/>
      <c r="V272" s="1684"/>
    </row>
    <row r="273" spans="1:24" s="369" customFormat="1" hidden="1" outlineLevel="1">
      <c r="A273" s="395"/>
      <c r="B273" s="415" t="str">
        <f>IF(D$216="Copper", "Alloy-2%", "Alloy-35%")</f>
        <v>Alloy-35%</v>
      </c>
      <c r="C273" s="1700" t="s">
        <v>2553</v>
      </c>
      <c r="D273" s="398" t="s">
        <v>2556</v>
      </c>
      <c r="E273" s="1718">
        <f>M$209*25.4</f>
        <v>50.8</v>
      </c>
      <c r="F273" s="372"/>
      <c r="G273" s="400"/>
      <c r="H273" s="403"/>
      <c r="I273" s="1709">
        <f t="shared" si="52"/>
        <v>159.65714285714284</v>
      </c>
      <c r="J273" s="1698">
        <f t="shared" si="53"/>
        <v>0.15965714285714283</v>
      </c>
      <c r="K273" s="1719">
        <f t="shared" si="54"/>
        <v>0.11077789370208702</v>
      </c>
      <c r="L273" s="1679">
        <v>1</v>
      </c>
      <c r="M273" s="441">
        <f t="shared" si="55"/>
        <v>1.768648200020749E-2</v>
      </c>
      <c r="N273" s="400">
        <f t="shared" si="56"/>
        <v>1</v>
      </c>
      <c r="O273" s="400">
        <v>1</v>
      </c>
      <c r="P273" s="400">
        <f t="shared" si="44"/>
        <v>1.768648200020749E-2</v>
      </c>
      <c r="Q273" s="1695">
        <f t="shared" si="57"/>
        <v>9257679.7583081573</v>
      </c>
      <c r="R273" s="1681">
        <f t="shared" si="45"/>
        <v>163735.78640900247</v>
      </c>
      <c r="S273" s="1682">
        <f t="shared" si="58"/>
        <v>1</v>
      </c>
      <c r="T273" s="1683">
        <f t="shared" si="59"/>
        <v>1.768648200020749E-2</v>
      </c>
      <c r="U273" s="390"/>
      <c r="V273" s="1684"/>
    </row>
    <row r="274" spans="1:24" s="369" customFormat="1" hidden="1" outlineLevel="1">
      <c r="A274" s="395"/>
      <c r="B274" s="415" t="str">
        <f>IF(D$216="Copper", "Alloy-2%", "Welding")</f>
        <v>Welding</v>
      </c>
      <c r="C274" s="1700" t="s">
        <v>2553</v>
      </c>
      <c r="D274" s="398" t="s">
        <v>2557</v>
      </c>
      <c r="E274" s="1718">
        <f>M$209*25.4</f>
        <v>50.8</v>
      </c>
      <c r="F274" s="372"/>
      <c r="G274" s="400"/>
      <c r="H274" s="403"/>
      <c r="I274" s="1709">
        <f t="shared" si="52"/>
        <v>159.65714285714284</v>
      </c>
      <c r="J274" s="1698">
        <f t="shared" si="53"/>
        <v>0.15965714285714283</v>
      </c>
      <c r="K274" s="1719">
        <f t="shared" si="54"/>
        <v>0.05</v>
      </c>
      <c r="L274" s="1679">
        <v>1</v>
      </c>
      <c r="M274" s="441">
        <f t="shared" si="55"/>
        <v>7.9828571428571422E-3</v>
      </c>
      <c r="N274" s="400">
        <f t="shared" si="56"/>
        <v>1</v>
      </c>
      <c r="O274" s="400">
        <v>1</v>
      </c>
      <c r="P274" s="400">
        <f t="shared" si="44"/>
        <v>7.9828571428571422E-3</v>
      </c>
      <c r="Q274" s="1695">
        <f t="shared" si="57"/>
        <v>26586.102719033235</v>
      </c>
      <c r="R274" s="1681">
        <f t="shared" si="45"/>
        <v>212.23305999136815</v>
      </c>
      <c r="S274" s="1682">
        <f t="shared" si="58"/>
        <v>1</v>
      </c>
      <c r="T274" s="1683">
        <f t="shared" si="59"/>
        <v>7.9828571428571422E-3</v>
      </c>
      <c r="U274" s="390"/>
      <c r="V274" s="1684"/>
    </row>
    <row r="275" spans="1:24" s="369" customFormat="1" hidden="1" outlineLevel="1">
      <c r="A275" s="395"/>
      <c r="B275" s="422" t="str">
        <f>IF(D$216="Copper", "Alloy-2%", "Welding")</f>
        <v>Welding</v>
      </c>
      <c r="C275" s="1701" t="s">
        <v>2553</v>
      </c>
      <c r="D275" s="399" t="s">
        <v>2558</v>
      </c>
      <c r="E275" s="1720">
        <f>M$209*25.4</f>
        <v>50.8</v>
      </c>
      <c r="F275" s="1721"/>
      <c r="G275" s="1722"/>
      <c r="H275" s="1722"/>
      <c r="I275" s="1702">
        <f t="shared" si="52"/>
        <v>159.65714285714284</v>
      </c>
      <c r="J275" s="1723">
        <f t="shared" si="53"/>
        <v>0.15965714285714283</v>
      </c>
      <c r="K275" s="1724">
        <f t="shared" si="54"/>
        <v>0.05</v>
      </c>
      <c r="L275" s="1704">
        <v>6</v>
      </c>
      <c r="M275" s="492">
        <f t="shared" si="55"/>
        <v>4.7897142857142853E-2</v>
      </c>
      <c r="N275" s="491">
        <f t="shared" si="56"/>
        <v>1</v>
      </c>
      <c r="O275" s="491">
        <v>1</v>
      </c>
      <c r="P275" s="491">
        <f t="shared" si="44"/>
        <v>4.7897142857142853E-2</v>
      </c>
      <c r="Q275" s="1705">
        <f t="shared" si="57"/>
        <v>26586.102719033235</v>
      </c>
      <c r="R275" s="1706">
        <f t="shared" si="45"/>
        <v>1273.398359948209</v>
      </c>
      <c r="S275" s="1707">
        <f t="shared" si="58"/>
        <v>1</v>
      </c>
      <c r="T275" s="1708">
        <f t="shared" si="59"/>
        <v>4.7897142857142853E-2</v>
      </c>
      <c r="U275" s="390"/>
      <c r="V275" s="1684"/>
      <c r="W275" s="1725"/>
      <c r="X275" s="1726"/>
    </row>
    <row r="276" spans="1:24" s="369" customFormat="1" hidden="1" outlineLevel="1">
      <c r="A276" s="395"/>
      <c r="B276" s="415" t="s">
        <v>2102</v>
      </c>
      <c r="C276" s="1700" t="s">
        <v>2559</v>
      </c>
      <c r="D276" s="398" t="s">
        <v>2550</v>
      </c>
      <c r="E276" s="1718">
        <f>E$211</f>
        <v>9.5249999999999986</v>
      </c>
      <c r="F276" s="372"/>
      <c r="G276" s="400"/>
      <c r="H276" s="403"/>
      <c r="I276" s="1709">
        <f t="shared" si="52"/>
        <v>29.93571428571428</v>
      </c>
      <c r="J276" s="1698">
        <f t="shared" si="49"/>
        <v>2.9935714285714281E-2</v>
      </c>
      <c r="K276" s="1719">
        <f t="shared" si="54"/>
        <v>2.843192307125415E-2</v>
      </c>
      <c r="L276" s="1679">
        <f>L238*2</f>
        <v>380</v>
      </c>
      <c r="M276" s="441">
        <f t="shared" si="55"/>
        <v>0.32342937174869946</v>
      </c>
      <c r="N276" s="400">
        <f t="shared" ref="N276:N284" si="61">IF(D$209="DXC",1,0)</f>
        <v>0</v>
      </c>
      <c r="O276" s="400">
        <v>1</v>
      </c>
      <c r="P276" s="400">
        <f t="shared" si="44"/>
        <v>0</v>
      </c>
      <c r="Q276" s="1695">
        <f t="shared" si="57"/>
        <v>818917.24212343548</v>
      </c>
      <c r="R276" s="1681">
        <f t="shared" si="45"/>
        <v>0</v>
      </c>
      <c r="S276" s="1682">
        <f t="shared" si="58"/>
        <v>1</v>
      </c>
      <c r="T276" s="1683">
        <f t="shared" si="59"/>
        <v>0</v>
      </c>
      <c r="U276" s="390"/>
      <c r="V276" s="1684"/>
    </row>
    <row r="277" spans="1:24" s="369" customFormat="1" hidden="1" outlineLevel="1">
      <c r="A277" s="395"/>
      <c r="B277" s="415" t="s">
        <v>2102</v>
      </c>
      <c r="C277" s="1700" t="s">
        <v>2559</v>
      </c>
      <c r="D277" s="398" t="s">
        <v>2560</v>
      </c>
      <c r="E277" s="1718">
        <f>1/4*25.4</f>
        <v>6.35</v>
      </c>
      <c r="F277" s="372"/>
      <c r="G277" s="400"/>
      <c r="H277" s="403"/>
      <c r="I277" s="1709">
        <f>22/7*E277</f>
        <v>19.957142857142856</v>
      </c>
      <c r="J277" s="1698">
        <f>IF(F277&gt;0,22/28*((F277/1000)^2-(F277/1000-2*G277/1000)^2)*H277/1000,IF(G277&gt;0,G277/1000*H277/1000*I277/1000, IF(H277&gt;0,H277/1000*I277/1000, IF(I277=0,1,I277/1000))))</f>
        <v>1.9957142857142854E-2</v>
      </c>
      <c r="K277" s="1719">
        <f>VLOOKUP($B277,$B$19:$O$206,5,FALSE)</f>
        <v>2.843192307125415E-2</v>
      </c>
      <c r="L277" s="1679">
        <f>J$211</f>
        <v>38</v>
      </c>
      <c r="M277" s="441">
        <f>J277*K277*L277</f>
        <v>2.1561958116579964E-2</v>
      </c>
      <c r="N277" s="400">
        <f t="shared" si="61"/>
        <v>0</v>
      </c>
      <c r="O277" s="400">
        <v>1</v>
      </c>
      <c r="P277" s="400">
        <f>M277*N277*O277</f>
        <v>0</v>
      </c>
      <c r="Q277" s="1695">
        <f>VLOOKUP($B277,$B$19:$O$206,11,FALSE)</f>
        <v>818917.24212343548</v>
      </c>
      <c r="R277" s="1681">
        <f>P277*Q277</f>
        <v>0</v>
      </c>
      <c r="S277" s="1682">
        <f>VLOOKUP($B277,$B$19:$O$206,12,FALSE)</f>
        <v>1</v>
      </c>
      <c r="T277" s="1683">
        <f>M277*N277*S277</f>
        <v>0</v>
      </c>
      <c r="U277" s="390"/>
      <c r="V277" s="1684"/>
    </row>
    <row r="278" spans="1:24" s="369" customFormat="1" hidden="1" outlineLevel="1">
      <c r="A278" s="395"/>
      <c r="B278" s="415" t="s">
        <v>2102</v>
      </c>
      <c r="C278" s="1700" t="s">
        <v>2559</v>
      </c>
      <c r="D278" s="398" t="s">
        <v>2552</v>
      </c>
      <c r="E278" s="1718">
        <f>E$211</f>
        <v>9.5249999999999986</v>
      </c>
      <c r="F278" s="372"/>
      <c r="G278" s="400"/>
      <c r="H278" s="403"/>
      <c r="I278" s="1709">
        <f t="shared" si="52"/>
        <v>29.93571428571428</v>
      </c>
      <c r="J278" s="1698">
        <f t="shared" si="49"/>
        <v>2.9935714285714281E-2</v>
      </c>
      <c r="K278" s="1719">
        <f t="shared" si="54"/>
        <v>2.843192307125415E-2</v>
      </c>
      <c r="L278" s="1679">
        <f>J$211</f>
        <v>38</v>
      </c>
      <c r="M278" s="441">
        <f t="shared" si="55"/>
        <v>3.2342937174869947E-2</v>
      </c>
      <c r="N278" s="400">
        <f t="shared" si="61"/>
        <v>0</v>
      </c>
      <c r="O278" s="400">
        <v>1</v>
      </c>
      <c r="P278" s="400">
        <f t="shared" si="44"/>
        <v>0</v>
      </c>
      <c r="Q278" s="1695">
        <f t="shared" si="57"/>
        <v>818917.24212343548</v>
      </c>
      <c r="R278" s="1681">
        <f t="shared" si="45"/>
        <v>0</v>
      </c>
      <c r="S278" s="1682">
        <f t="shared" si="58"/>
        <v>1</v>
      </c>
      <c r="T278" s="1683">
        <f t="shared" si="59"/>
        <v>0</v>
      </c>
      <c r="U278" s="390"/>
      <c r="V278" s="1684"/>
    </row>
    <row r="279" spans="1:24" s="369" customFormat="1" hidden="1" outlineLevel="1">
      <c r="A279" s="395"/>
      <c r="B279" s="415" t="s">
        <v>2102</v>
      </c>
      <c r="C279" s="1700" t="s">
        <v>2561</v>
      </c>
      <c r="D279" s="398" t="s">
        <v>2562</v>
      </c>
      <c r="E279" s="1718">
        <f>E$211</f>
        <v>9.5249999999999986</v>
      </c>
      <c r="F279" s="372"/>
      <c r="G279" s="400"/>
      <c r="H279" s="403"/>
      <c r="I279" s="1709">
        <f t="shared" si="52"/>
        <v>29.93571428571428</v>
      </c>
      <c r="J279" s="1698">
        <f t="shared" si="49"/>
        <v>2.9935714285714281E-2</v>
      </c>
      <c r="K279" s="1719">
        <f t="shared" si="54"/>
        <v>2.843192307125415E-2</v>
      </c>
      <c r="L279" s="1679">
        <f>J$211</f>
        <v>38</v>
      </c>
      <c r="M279" s="441">
        <f t="shared" si="55"/>
        <v>3.2342937174869947E-2</v>
      </c>
      <c r="N279" s="400">
        <f t="shared" si="61"/>
        <v>0</v>
      </c>
      <c r="O279" s="400">
        <v>1</v>
      </c>
      <c r="P279" s="400">
        <f t="shared" si="44"/>
        <v>0</v>
      </c>
      <c r="Q279" s="1695">
        <f t="shared" si="57"/>
        <v>818917.24212343548</v>
      </c>
      <c r="R279" s="1681">
        <f t="shared" si="45"/>
        <v>0</v>
      </c>
      <c r="S279" s="1682">
        <f t="shared" si="58"/>
        <v>1</v>
      </c>
      <c r="T279" s="1683">
        <f t="shared" si="59"/>
        <v>0</v>
      </c>
      <c r="U279" s="390"/>
      <c r="V279" s="1684"/>
    </row>
    <row r="280" spans="1:24" s="369" customFormat="1" hidden="1" outlineLevel="1">
      <c r="A280" s="395"/>
      <c r="B280" s="415" t="s">
        <v>2102</v>
      </c>
      <c r="C280" s="1700" t="s">
        <v>2561</v>
      </c>
      <c r="D280" s="398" t="s">
        <v>2563</v>
      </c>
      <c r="E280" s="1718">
        <f>M$209*25.4</f>
        <v>50.8</v>
      </c>
      <c r="F280" s="372"/>
      <c r="G280" s="400"/>
      <c r="H280" s="403"/>
      <c r="I280" s="1709">
        <f t="shared" si="52"/>
        <v>159.65714285714284</v>
      </c>
      <c r="J280" s="1698">
        <f t="shared" si="49"/>
        <v>0.15965714285714283</v>
      </c>
      <c r="K280" s="1719">
        <f t="shared" si="54"/>
        <v>2.843192307125415E-2</v>
      </c>
      <c r="L280" s="1679">
        <v>2</v>
      </c>
      <c r="M280" s="441">
        <f t="shared" si="55"/>
        <v>9.0787192069810372E-3</v>
      </c>
      <c r="N280" s="400">
        <f t="shared" si="61"/>
        <v>0</v>
      </c>
      <c r="O280" s="400">
        <v>1</v>
      </c>
      <c r="P280" s="400">
        <f t="shared" si="44"/>
        <v>0</v>
      </c>
      <c r="Q280" s="1695">
        <f t="shared" si="57"/>
        <v>818917.24212343548</v>
      </c>
      <c r="R280" s="1681">
        <f t="shared" si="45"/>
        <v>0</v>
      </c>
      <c r="S280" s="1682">
        <f t="shared" si="58"/>
        <v>1</v>
      </c>
      <c r="T280" s="1683">
        <f t="shared" si="59"/>
        <v>0</v>
      </c>
      <c r="U280" s="390"/>
      <c r="V280" s="1684"/>
    </row>
    <row r="281" spans="1:24" s="369" customFormat="1" hidden="1" outlineLevel="1">
      <c r="A281" s="395"/>
      <c r="B281" s="415" t="s">
        <v>2102</v>
      </c>
      <c r="C281" s="1700" t="s">
        <v>2564</v>
      </c>
      <c r="D281" s="398" t="s">
        <v>2565</v>
      </c>
      <c r="E281" s="1718">
        <f>L$209*25.4</f>
        <v>50.8</v>
      </c>
      <c r="F281" s="372"/>
      <c r="G281" s="400"/>
      <c r="H281" s="403"/>
      <c r="I281" s="1709">
        <f>22/7*E281</f>
        <v>159.65714285714284</v>
      </c>
      <c r="J281" s="1698">
        <f>IF(F281&gt;0,22/28*((F281/1000)^2-(F281/1000-2*G281/1000)^2)*H281/1000,IF(G281&gt;0,G281/1000*H281/1000*I281/1000, IF(H281&gt;0,H281/1000*I281/1000, IF(I281=0,1,I281/1000))))</f>
        <v>0.15965714285714283</v>
      </c>
      <c r="K281" s="1719">
        <f t="shared" si="54"/>
        <v>2.843192307125415E-2</v>
      </c>
      <c r="L281" s="1679">
        <f>F227</f>
        <v>0</v>
      </c>
      <c r="M281" s="441">
        <f>J281*K281*L281</f>
        <v>0</v>
      </c>
      <c r="N281" s="400">
        <f t="shared" si="61"/>
        <v>0</v>
      </c>
      <c r="O281" s="400">
        <v>1</v>
      </c>
      <c r="P281" s="400">
        <f t="shared" si="44"/>
        <v>0</v>
      </c>
      <c r="Q281" s="1695">
        <f t="shared" si="57"/>
        <v>818917.24212343548</v>
      </c>
      <c r="R281" s="1681">
        <f t="shared" si="45"/>
        <v>0</v>
      </c>
      <c r="S281" s="1682">
        <f t="shared" si="58"/>
        <v>1</v>
      </c>
      <c r="T281" s="1683">
        <f t="shared" si="59"/>
        <v>0</v>
      </c>
      <c r="U281" s="390"/>
      <c r="V281" s="1684"/>
    </row>
    <row r="282" spans="1:24" s="369" customFormat="1" hidden="1" outlineLevel="1">
      <c r="A282" s="395"/>
      <c r="B282" s="415" t="s">
        <v>2105</v>
      </c>
      <c r="C282" s="1700" t="s">
        <v>2564</v>
      </c>
      <c r="D282" s="398" t="s">
        <v>2566</v>
      </c>
      <c r="E282" s="1718">
        <f>1/4*25.4</f>
        <v>6.35</v>
      </c>
      <c r="F282" s="372"/>
      <c r="G282" s="400"/>
      <c r="H282" s="403"/>
      <c r="I282" s="1709">
        <f t="shared" si="52"/>
        <v>19.957142857142856</v>
      </c>
      <c r="J282" s="1698">
        <f t="shared" si="49"/>
        <v>1.9957142857142854E-2</v>
      </c>
      <c r="K282" s="1719">
        <f t="shared" si="54"/>
        <v>0.11077789370208702</v>
      </c>
      <c r="L282" s="1679">
        <f>J$211</f>
        <v>38</v>
      </c>
      <c r="M282" s="441">
        <f t="shared" si="55"/>
        <v>8.4010789500985575E-2</v>
      </c>
      <c r="N282" s="400">
        <f t="shared" si="61"/>
        <v>0</v>
      </c>
      <c r="O282" s="400">
        <v>1</v>
      </c>
      <c r="P282" s="400">
        <f t="shared" si="44"/>
        <v>0</v>
      </c>
      <c r="Q282" s="1695">
        <f t="shared" si="57"/>
        <v>9257679.7583081573</v>
      </c>
      <c r="R282" s="1681">
        <f t="shared" si="45"/>
        <v>0</v>
      </c>
      <c r="S282" s="1682">
        <f t="shared" si="58"/>
        <v>1</v>
      </c>
      <c r="T282" s="1683">
        <f t="shared" si="59"/>
        <v>0</v>
      </c>
      <c r="U282" s="390"/>
      <c r="V282" s="1684"/>
    </row>
    <row r="283" spans="1:24" s="369" customFormat="1" hidden="1" outlineLevel="1">
      <c r="A283" s="395"/>
      <c r="B283" s="415" t="s">
        <v>2105</v>
      </c>
      <c r="C283" s="1700" t="s">
        <v>2564</v>
      </c>
      <c r="D283" s="398" t="s">
        <v>2567</v>
      </c>
      <c r="E283" s="1718">
        <f>L209*25.4</f>
        <v>50.8</v>
      </c>
      <c r="F283" s="372"/>
      <c r="G283" s="400"/>
      <c r="H283" s="403"/>
      <c r="I283" s="1709">
        <f t="shared" si="52"/>
        <v>159.65714285714284</v>
      </c>
      <c r="J283" s="1698">
        <f t="shared" si="49"/>
        <v>0.15965714285714283</v>
      </c>
      <c r="K283" s="1719">
        <f t="shared" si="54"/>
        <v>0.11077789370208702</v>
      </c>
      <c r="L283" s="1679">
        <f>F227</f>
        <v>0</v>
      </c>
      <c r="M283" s="441">
        <f t="shared" si="55"/>
        <v>0</v>
      </c>
      <c r="N283" s="400">
        <f t="shared" si="61"/>
        <v>0</v>
      </c>
      <c r="O283" s="400">
        <v>1</v>
      </c>
      <c r="P283" s="400">
        <f t="shared" si="44"/>
        <v>0</v>
      </c>
      <c r="Q283" s="1695">
        <f t="shared" si="57"/>
        <v>9257679.7583081573</v>
      </c>
      <c r="R283" s="1681">
        <f t="shared" si="45"/>
        <v>0</v>
      </c>
      <c r="S283" s="1682">
        <f t="shared" si="58"/>
        <v>1</v>
      </c>
      <c r="T283" s="1683">
        <f t="shared" si="59"/>
        <v>0</v>
      </c>
      <c r="U283" s="390"/>
      <c r="V283" s="1684"/>
    </row>
    <row r="284" spans="1:24" s="369" customFormat="1" hidden="1" outlineLevel="1">
      <c r="A284" s="395"/>
      <c r="B284" s="422" t="s">
        <v>2105</v>
      </c>
      <c r="C284" s="1701" t="s">
        <v>2564</v>
      </c>
      <c r="D284" s="399" t="s">
        <v>2568</v>
      </c>
      <c r="E284" s="1720">
        <f>L209*25.4</f>
        <v>50.8</v>
      </c>
      <c r="F284" s="396"/>
      <c r="G284" s="491"/>
      <c r="H284" s="404"/>
      <c r="I284" s="1702">
        <f t="shared" si="52"/>
        <v>159.65714285714284</v>
      </c>
      <c r="J284" s="1723">
        <f t="shared" si="49"/>
        <v>0.15965714285714283</v>
      </c>
      <c r="K284" s="1724">
        <f t="shared" si="54"/>
        <v>0.11077789370208702</v>
      </c>
      <c r="L284" s="1704">
        <f>F226</f>
        <v>0</v>
      </c>
      <c r="M284" s="492">
        <f t="shared" si="55"/>
        <v>0</v>
      </c>
      <c r="N284" s="491">
        <f t="shared" si="61"/>
        <v>0</v>
      </c>
      <c r="O284" s="491">
        <v>1</v>
      </c>
      <c r="P284" s="491">
        <f t="shared" si="44"/>
        <v>0</v>
      </c>
      <c r="Q284" s="1705">
        <f t="shared" si="57"/>
        <v>9257679.7583081573</v>
      </c>
      <c r="R284" s="1706">
        <f t="shared" si="45"/>
        <v>0</v>
      </c>
      <c r="S284" s="1707">
        <f t="shared" si="58"/>
        <v>1</v>
      </c>
      <c r="T284" s="1708">
        <f t="shared" si="59"/>
        <v>0</v>
      </c>
      <c r="U284" s="390"/>
      <c r="V284" s="1684"/>
    </row>
    <row r="285" spans="1:24" s="369" customFormat="1" hidden="1" outlineLevel="1">
      <c r="A285" s="395"/>
      <c r="B285" s="415" t="s">
        <v>2102</v>
      </c>
      <c r="C285" s="1700" t="s">
        <v>2569</v>
      </c>
      <c r="D285" s="398" t="s">
        <v>2550</v>
      </c>
      <c r="E285" s="1718">
        <f>F$237</f>
        <v>9.5249999999999986</v>
      </c>
      <c r="F285" s="1727"/>
      <c r="G285" s="1728"/>
      <c r="H285" s="1728"/>
      <c r="I285" s="1709">
        <f t="shared" si="52"/>
        <v>29.93571428571428</v>
      </c>
      <c r="J285" s="1698">
        <f t="shared" si="49"/>
        <v>2.9935714285714281E-2</v>
      </c>
      <c r="K285" s="1719">
        <f t="shared" si="54"/>
        <v>2.843192307125415E-2</v>
      </c>
      <c r="L285" s="1679">
        <f>L$238*2</f>
        <v>380</v>
      </c>
      <c r="M285" s="441">
        <f t="shared" si="55"/>
        <v>0.32342937174869946</v>
      </c>
      <c r="N285" s="400">
        <f t="shared" ref="N285:N290" si="62">IF(D$209="ACC",1,0)</f>
        <v>0</v>
      </c>
      <c r="O285" s="400">
        <v>1</v>
      </c>
      <c r="P285" s="400">
        <f t="shared" si="44"/>
        <v>0</v>
      </c>
      <c r="Q285" s="1695">
        <f t="shared" si="57"/>
        <v>818917.24212343548</v>
      </c>
      <c r="R285" s="1681">
        <f t="shared" si="45"/>
        <v>0</v>
      </c>
      <c r="S285" s="1682">
        <f t="shared" si="58"/>
        <v>1</v>
      </c>
      <c r="T285" s="1683">
        <f t="shared" si="59"/>
        <v>0</v>
      </c>
      <c r="U285" s="390"/>
      <c r="V285" s="1684"/>
      <c r="W285" s="1725"/>
      <c r="X285" s="1726"/>
    </row>
    <row r="286" spans="1:24" s="369" customFormat="1" hidden="1" outlineLevel="1">
      <c r="A286" s="395"/>
      <c r="B286" s="415" t="s">
        <v>2102</v>
      </c>
      <c r="C286" s="1700" t="s">
        <v>2569</v>
      </c>
      <c r="D286" s="398" t="s">
        <v>2570</v>
      </c>
      <c r="E286" s="1718">
        <f>F$237</f>
        <v>9.5249999999999986</v>
      </c>
      <c r="F286" s="1727"/>
      <c r="G286" s="1728"/>
      <c r="H286" s="1728"/>
      <c r="I286" s="1709">
        <f t="shared" si="52"/>
        <v>29.93571428571428</v>
      </c>
      <c r="J286" s="1698">
        <f t="shared" si="49"/>
        <v>2.9935714285714281E-2</v>
      </c>
      <c r="K286" s="1719">
        <f t="shared" si="54"/>
        <v>2.843192307125415E-2</v>
      </c>
      <c r="L286" s="1679">
        <f>J$211*2</f>
        <v>76</v>
      </c>
      <c r="M286" s="441">
        <f t="shared" si="55"/>
        <v>6.4685874349739894E-2</v>
      </c>
      <c r="N286" s="400">
        <f t="shared" si="62"/>
        <v>0</v>
      </c>
      <c r="O286" s="400">
        <v>1</v>
      </c>
      <c r="P286" s="400">
        <f t="shared" si="44"/>
        <v>0</v>
      </c>
      <c r="Q286" s="1695">
        <f t="shared" si="57"/>
        <v>818917.24212343548</v>
      </c>
      <c r="R286" s="1681">
        <f t="shared" si="45"/>
        <v>0</v>
      </c>
      <c r="S286" s="1682">
        <f t="shared" si="58"/>
        <v>1</v>
      </c>
      <c r="T286" s="1683">
        <f t="shared" si="59"/>
        <v>0</v>
      </c>
      <c r="U286" s="390"/>
      <c r="V286" s="1684"/>
      <c r="W286" s="1725"/>
      <c r="X286" s="1726"/>
    </row>
    <row r="287" spans="1:24" s="369" customFormat="1" hidden="1" outlineLevel="1">
      <c r="A287" s="395"/>
      <c r="B287" s="415" t="s">
        <v>2102</v>
      </c>
      <c r="C287" s="1700" t="s">
        <v>2569</v>
      </c>
      <c r="D287" s="398" t="s">
        <v>2570</v>
      </c>
      <c r="E287" s="1718">
        <f>F$237</f>
        <v>9.5249999999999986</v>
      </c>
      <c r="F287" s="1727"/>
      <c r="G287" s="1728"/>
      <c r="H287" s="1728"/>
      <c r="I287" s="1709">
        <f t="shared" si="52"/>
        <v>29.93571428571428</v>
      </c>
      <c r="J287" s="1698">
        <f t="shared" si="49"/>
        <v>2.9935714285714281E-2</v>
      </c>
      <c r="K287" s="1719">
        <f t="shared" si="54"/>
        <v>2.843192307125415E-2</v>
      </c>
      <c r="L287" s="1679">
        <f>J$211*2</f>
        <v>76</v>
      </c>
      <c r="M287" s="441">
        <f t="shared" si="55"/>
        <v>6.4685874349739894E-2</v>
      </c>
      <c r="N287" s="400">
        <f t="shared" si="62"/>
        <v>0</v>
      </c>
      <c r="O287" s="400">
        <v>1</v>
      </c>
      <c r="P287" s="400">
        <f t="shared" si="44"/>
        <v>0</v>
      </c>
      <c r="Q287" s="1695">
        <f t="shared" si="57"/>
        <v>818917.24212343548</v>
      </c>
      <c r="R287" s="1681">
        <f t="shared" si="45"/>
        <v>0</v>
      </c>
      <c r="S287" s="1682">
        <f t="shared" si="58"/>
        <v>1</v>
      </c>
      <c r="T287" s="1683">
        <f t="shared" si="59"/>
        <v>0</v>
      </c>
      <c r="U287" s="390"/>
      <c r="V287" s="1684"/>
      <c r="W287" s="1725"/>
      <c r="X287" s="1726"/>
    </row>
    <row r="288" spans="1:24" s="369" customFormat="1" hidden="1" outlineLevel="1">
      <c r="A288" s="395"/>
      <c r="B288" s="415" t="s">
        <v>2102</v>
      </c>
      <c r="C288" s="1700" t="s">
        <v>2571</v>
      </c>
      <c r="D288" s="398" t="s">
        <v>2572</v>
      </c>
      <c r="E288" s="1718">
        <f t="shared" ref="E288" si="63">F$237</f>
        <v>9.5249999999999986</v>
      </c>
      <c r="F288" s="1727"/>
      <c r="G288" s="1728"/>
      <c r="H288" s="1728"/>
      <c r="I288" s="1709">
        <f t="shared" si="52"/>
        <v>29.93571428571428</v>
      </c>
      <c r="J288" s="1698">
        <f t="shared" si="49"/>
        <v>2.9935714285714281E-2</v>
      </c>
      <c r="K288" s="1719">
        <f t="shared" si="54"/>
        <v>2.843192307125415E-2</v>
      </c>
      <c r="L288" s="1679">
        <f>J$211*2</f>
        <v>76</v>
      </c>
      <c r="M288" s="441">
        <f t="shared" si="55"/>
        <v>6.4685874349739894E-2</v>
      </c>
      <c r="N288" s="400">
        <f t="shared" si="62"/>
        <v>0</v>
      </c>
      <c r="O288" s="400">
        <v>1</v>
      </c>
      <c r="P288" s="400">
        <f t="shared" si="44"/>
        <v>0</v>
      </c>
      <c r="Q288" s="1695">
        <f t="shared" si="57"/>
        <v>818917.24212343548</v>
      </c>
      <c r="R288" s="1681">
        <f t="shared" si="45"/>
        <v>0</v>
      </c>
      <c r="S288" s="1682">
        <f t="shared" si="58"/>
        <v>1</v>
      </c>
      <c r="T288" s="1683">
        <f t="shared" si="59"/>
        <v>0</v>
      </c>
      <c r="U288" s="390"/>
      <c r="V288" s="1684"/>
      <c r="W288" s="1725"/>
      <c r="X288" s="1726"/>
    </row>
    <row r="289" spans="1:28" s="369" customFormat="1" hidden="1" outlineLevel="1">
      <c r="A289" s="395"/>
      <c r="B289" s="415" t="s">
        <v>2102</v>
      </c>
      <c r="C289" s="1700" t="s">
        <v>2571</v>
      </c>
      <c r="D289" s="398" t="s">
        <v>2573</v>
      </c>
      <c r="E289" s="1718">
        <f>M$209*25.4</f>
        <v>50.8</v>
      </c>
      <c r="F289" s="1727"/>
      <c r="G289" s="1728"/>
      <c r="H289" s="1728"/>
      <c r="I289" s="1709">
        <f t="shared" si="52"/>
        <v>159.65714285714284</v>
      </c>
      <c r="J289" s="1698">
        <f t="shared" si="49"/>
        <v>0.15965714285714283</v>
      </c>
      <c r="K289" s="1719">
        <f t="shared" si="54"/>
        <v>2.843192307125415E-2</v>
      </c>
      <c r="L289" s="1679">
        <v>2</v>
      </c>
      <c r="M289" s="441">
        <f t="shared" si="55"/>
        <v>9.0787192069810372E-3</v>
      </c>
      <c r="N289" s="400">
        <f t="shared" si="62"/>
        <v>0</v>
      </c>
      <c r="O289" s="400">
        <v>1</v>
      </c>
      <c r="P289" s="400">
        <f t="shared" si="44"/>
        <v>0</v>
      </c>
      <c r="Q289" s="1695">
        <f t="shared" si="57"/>
        <v>818917.24212343548</v>
      </c>
      <c r="R289" s="1681">
        <f t="shared" si="45"/>
        <v>0</v>
      </c>
      <c r="S289" s="1682">
        <f t="shared" si="58"/>
        <v>1</v>
      </c>
      <c r="T289" s="1683">
        <f t="shared" si="59"/>
        <v>0</v>
      </c>
      <c r="U289" s="390"/>
      <c r="V289" s="1684"/>
      <c r="W289" s="1725"/>
      <c r="X289" s="1726"/>
    </row>
    <row r="290" spans="1:28" s="369" customFormat="1" hidden="1" outlineLevel="1">
      <c r="A290" s="395"/>
      <c r="B290" s="422" t="s">
        <v>2102</v>
      </c>
      <c r="C290" s="1701" t="s">
        <v>2571</v>
      </c>
      <c r="D290" s="399" t="s">
        <v>2574</v>
      </c>
      <c r="E290" s="1720">
        <f>M$209*25.4</f>
        <v>50.8</v>
      </c>
      <c r="F290" s="1729"/>
      <c r="G290" s="1722"/>
      <c r="H290" s="1722"/>
      <c r="I290" s="1702">
        <f t="shared" si="52"/>
        <v>159.65714285714284</v>
      </c>
      <c r="J290" s="1723">
        <f t="shared" si="49"/>
        <v>0.15965714285714283</v>
      </c>
      <c r="K290" s="1724">
        <f t="shared" si="54"/>
        <v>2.843192307125415E-2</v>
      </c>
      <c r="L290" s="1704">
        <v>6</v>
      </c>
      <c r="M290" s="492">
        <f t="shared" si="55"/>
        <v>2.7236157620943113E-2</v>
      </c>
      <c r="N290" s="491">
        <f t="shared" si="62"/>
        <v>0</v>
      </c>
      <c r="O290" s="491">
        <v>1</v>
      </c>
      <c r="P290" s="491">
        <f t="shared" si="44"/>
        <v>0</v>
      </c>
      <c r="Q290" s="1705">
        <f t="shared" si="57"/>
        <v>818917.24212343548</v>
      </c>
      <c r="R290" s="1706">
        <f t="shared" si="45"/>
        <v>0</v>
      </c>
      <c r="S290" s="1707">
        <f t="shared" si="58"/>
        <v>1</v>
      </c>
      <c r="T290" s="1708">
        <f t="shared" si="59"/>
        <v>0</v>
      </c>
      <c r="U290" s="390"/>
      <c r="V290" s="1684"/>
      <c r="W290" s="1725"/>
      <c r="X290" s="1726"/>
    </row>
    <row r="291" spans="1:28" s="369" customFormat="1" hidden="1" outlineLevel="1">
      <c r="A291" s="395"/>
      <c r="B291" s="415" t="s">
        <v>1415</v>
      </c>
      <c r="C291" s="1700" t="s">
        <v>2575</v>
      </c>
      <c r="D291" s="398" t="str">
        <f t="shared" ref="D291:D297" si="64">VLOOKUP($B291,$B$19:$O$206,3,FALSE)</f>
        <v>Industrial Gas, LPG : 6m3/150bar</v>
      </c>
      <c r="E291" s="407" t="s">
        <v>107</v>
      </c>
      <c r="F291" s="1727"/>
      <c r="G291" s="1728"/>
      <c r="H291" s="1728"/>
      <c r="I291" s="387">
        <f>SUMPRODUCT(I$268:I$290,L$268:L$290,N$268:N$290)</f>
        <v>17203.057142857135</v>
      </c>
      <c r="J291" s="1730">
        <f t="shared" si="49"/>
        <v>17.203057142857133</v>
      </c>
      <c r="K291" s="1719">
        <f t="shared" si="54"/>
        <v>4.6713473567181002E-2</v>
      </c>
      <c r="L291" s="1679">
        <v>1</v>
      </c>
      <c r="M291" s="441">
        <f t="shared" si="55"/>
        <v>0.80361455511756108</v>
      </c>
      <c r="N291" s="400">
        <v>1</v>
      </c>
      <c r="O291" s="400">
        <v>1</v>
      </c>
      <c r="P291" s="400">
        <f t="shared" si="44"/>
        <v>0.80361455511756108</v>
      </c>
      <c r="Q291" s="1695">
        <f t="shared" si="57"/>
        <v>1483599.4820889083</v>
      </c>
      <c r="R291" s="1681">
        <f t="shared" si="45"/>
        <v>1192242.1377715222</v>
      </c>
      <c r="S291" s="1682">
        <f t="shared" si="58"/>
        <v>0</v>
      </c>
      <c r="T291" s="1683">
        <f t="shared" si="59"/>
        <v>0</v>
      </c>
      <c r="U291" s="390"/>
      <c r="V291" s="1684"/>
      <c r="W291" s="1725"/>
      <c r="X291" s="1726"/>
    </row>
    <row r="292" spans="1:28" s="369" customFormat="1" hidden="1" outlineLevel="1">
      <c r="A292" s="395"/>
      <c r="B292" s="415" t="s">
        <v>1417</v>
      </c>
      <c r="C292" s="1700" t="s">
        <v>2575</v>
      </c>
      <c r="D292" s="398" t="str">
        <f t="shared" si="64"/>
        <v>Industrial Gas, Oxygen : 6m3/150bar</v>
      </c>
      <c r="E292" s="407" t="s">
        <v>107</v>
      </c>
      <c r="F292" s="1727"/>
      <c r="G292" s="1728"/>
      <c r="H292" s="1728"/>
      <c r="I292" s="387">
        <f>I291</f>
        <v>17203.057142857135</v>
      </c>
      <c r="J292" s="1730">
        <f t="shared" si="49"/>
        <v>17.203057142857133</v>
      </c>
      <c r="K292" s="1719">
        <f t="shared" si="54"/>
        <v>4.6713473567181002E-2</v>
      </c>
      <c r="L292" s="1679">
        <v>1</v>
      </c>
      <c r="M292" s="441">
        <f t="shared" si="55"/>
        <v>0.80361455511756108</v>
      </c>
      <c r="N292" s="400">
        <v>1</v>
      </c>
      <c r="O292" s="400">
        <v>1</v>
      </c>
      <c r="P292" s="400">
        <f t="shared" si="44"/>
        <v>0.80361455511756108</v>
      </c>
      <c r="Q292" s="1695">
        <f t="shared" si="57"/>
        <v>1329305.1359516617</v>
      </c>
      <c r="R292" s="1681">
        <f t="shared" si="45"/>
        <v>1068248.9554432838</v>
      </c>
      <c r="S292" s="1682">
        <f t="shared" si="58"/>
        <v>0</v>
      </c>
      <c r="T292" s="1683">
        <f t="shared" si="59"/>
        <v>0</v>
      </c>
      <c r="U292" s="390"/>
      <c r="V292" s="1684"/>
      <c r="W292" s="1725"/>
      <c r="X292" s="1726"/>
    </row>
    <row r="293" spans="1:28" s="369" customFormat="1" hidden="1" outlineLevel="1">
      <c r="A293" s="395"/>
      <c r="B293" s="422" t="s">
        <v>1419</v>
      </c>
      <c r="C293" s="1701" t="s">
        <v>2575</v>
      </c>
      <c r="D293" s="399" t="str">
        <f t="shared" si="64"/>
        <v>Industrial Gas, Nitrogen : 6m3/150bar</v>
      </c>
      <c r="E293" s="408" t="s">
        <v>107</v>
      </c>
      <c r="F293" s="1729"/>
      <c r="G293" s="1722"/>
      <c r="H293" s="1722"/>
      <c r="I293" s="402">
        <f>I291</f>
        <v>17203.057142857135</v>
      </c>
      <c r="J293" s="1731">
        <f t="shared" si="49"/>
        <v>17.203057142857133</v>
      </c>
      <c r="K293" s="1724">
        <f t="shared" si="54"/>
        <v>4.6713473567181002E-2</v>
      </c>
      <c r="L293" s="1704">
        <v>1</v>
      </c>
      <c r="M293" s="492">
        <f t="shared" si="55"/>
        <v>0.80361455511756108</v>
      </c>
      <c r="N293" s="491">
        <v>1</v>
      </c>
      <c r="O293" s="491">
        <v>1</v>
      </c>
      <c r="P293" s="491">
        <f t="shared" si="44"/>
        <v>0.80361455511756108</v>
      </c>
      <c r="Q293" s="1705">
        <f t="shared" si="57"/>
        <v>1661631.4199395771</v>
      </c>
      <c r="R293" s="1706">
        <f t="shared" si="45"/>
        <v>1335311.1943041047</v>
      </c>
      <c r="S293" s="1707">
        <f t="shared" si="58"/>
        <v>0</v>
      </c>
      <c r="T293" s="1708">
        <f t="shared" si="59"/>
        <v>0</v>
      </c>
      <c r="U293" s="390"/>
      <c r="V293" s="1684"/>
      <c r="W293" s="1725"/>
      <c r="X293" s="1726"/>
    </row>
    <row r="294" spans="1:28" s="369" customFormat="1" hidden="1" outlineLevel="1">
      <c r="A294" s="395"/>
      <c r="B294" s="415" t="s">
        <v>2119</v>
      </c>
      <c r="C294" s="1700" t="s">
        <v>2576</v>
      </c>
      <c r="D294" s="398" t="str">
        <f t="shared" si="64"/>
        <v>Industrial Gas, Nitrogen : 6m3/150bar</v>
      </c>
      <c r="E294" s="407" t="s">
        <v>107</v>
      </c>
      <c r="F294" s="1732">
        <f>F237</f>
        <v>9.5249999999999986</v>
      </c>
      <c r="G294" s="1728">
        <f>G237</f>
        <v>0.33</v>
      </c>
      <c r="H294" s="1733">
        <f>H$237</f>
        <v>1026.6294665922665</v>
      </c>
      <c r="I294" s="410"/>
      <c r="J294" s="1173">
        <f>IF(F294&gt;0,22/28*((F294/1000)^2-(F294/1000-2*G294/1000)^2)*H294/1000,IF(G294&gt;0,G294/1000*H294/1000*I294/1000, IF(H294&gt;0,H294/1000*I294/1000, IF(I294=0,1,I294/1000))))</f>
        <v>9.7904812404276308E-6</v>
      </c>
      <c r="K294" s="1719">
        <f t="shared" si="54"/>
        <v>5</v>
      </c>
      <c r="L294" s="1679">
        <f>F223</f>
        <v>228</v>
      </c>
      <c r="M294" s="441">
        <f t="shared" si="55"/>
        <v>1.1161148614087501E-2</v>
      </c>
      <c r="N294" s="400">
        <v>1</v>
      </c>
      <c r="O294" s="400">
        <v>1</v>
      </c>
      <c r="P294" s="400">
        <f t="shared" si="44"/>
        <v>1.1161148614087501E-2</v>
      </c>
      <c r="Q294" s="1695">
        <f t="shared" si="57"/>
        <v>1661631.4199395771</v>
      </c>
      <c r="R294" s="1681">
        <f t="shared" si="45"/>
        <v>18545.715219782858</v>
      </c>
      <c r="S294" s="1682">
        <f t="shared" si="58"/>
        <v>0</v>
      </c>
      <c r="T294" s="1683">
        <f t="shared" si="59"/>
        <v>0</v>
      </c>
      <c r="U294" s="390"/>
      <c r="V294" s="1684"/>
      <c r="W294" s="1725"/>
      <c r="X294" s="1726"/>
    </row>
    <row r="295" spans="1:28" s="369" customFormat="1" hidden="1" outlineLevel="1">
      <c r="A295" s="395"/>
      <c r="B295" s="415" t="s">
        <v>2119</v>
      </c>
      <c r="C295" s="1700" t="s">
        <v>2577</v>
      </c>
      <c r="D295" s="398" t="str">
        <f t="shared" si="64"/>
        <v>Industrial Gas, Nitrogen : 6m3/150bar</v>
      </c>
      <c r="E295" s="407" t="s">
        <v>107</v>
      </c>
      <c r="F295" s="1732">
        <f>M$209*25.4</f>
        <v>50.8</v>
      </c>
      <c r="G295" s="1728">
        <v>5</v>
      </c>
      <c r="H295" s="1733">
        <f>I252</f>
        <v>1100</v>
      </c>
      <c r="I295" s="410"/>
      <c r="J295" s="1698">
        <f>IF(F295&gt;0,22/28*((F295/1000)^2-(F295/1000-2*G295/1000)^2)*H295/1000,IF(G295&gt;0,G295/1000*H295/1000*I295/1000, IF(H295&gt;0,H295/1000*I295/1000, IF(I295=0,1,I295/1000))))</f>
        <v>7.9168571428571454E-4</v>
      </c>
      <c r="K295" s="1719">
        <f t="shared" si="54"/>
        <v>5</v>
      </c>
      <c r="L295" s="1679">
        <v>2</v>
      </c>
      <c r="M295" s="441">
        <f>J295*K295*L295</f>
        <v>7.9168571428571456E-3</v>
      </c>
      <c r="N295" s="400">
        <f>IF(D$209="CWC",1,0)</f>
        <v>1</v>
      </c>
      <c r="O295" s="400">
        <v>1</v>
      </c>
      <c r="P295" s="400">
        <f t="shared" si="44"/>
        <v>7.9168571428571456E-3</v>
      </c>
      <c r="Q295" s="1695">
        <f t="shared" si="57"/>
        <v>1661631.4199395771</v>
      </c>
      <c r="R295" s="1681">
        <f t="shared" si="45"/>
        <v>13154.898575744503</v>
      </c>
      <c r="S295" s="1682">
        <f t="shared" si="58"/>
        <v>0</v>
      </c>
      <c r="T295" s="1683">
        <f t="shared" si="59"/>
        <v>0</v>
      </c>
      <c r="U295" s="390"/>
      <c r="V295" s="1684"/>
      <c r="W295" s="1725"/>
      <c r="X295" s="1726"/>
    </row>
    <row r="296" spans="1:28" s="369" customFormat="1" hidden="1" outlineLevel="1">
      <c r="A296" s="395"/>
      <c r="B296" s="415" t="s">
        <v>2119</v>
      </c>
      <c r="C296" s="1700" t="s">
        <v>2578</v>
      </c>
      <c r="D296" s="398" t="str">
        <f t="shared" si="64"/>
        <v>Industrial Gas, Nitrogen : 6m3/150bar</v>
      </c>
      <c r="E296" s="407" t="s">
        <v>107</v>
      </c>
      <c r="F296" s="1732">
        <f>M$209*25.4</f>
        <v>50.8</v>
      </c>
      <c r="G296" s="1728">
        <v>1.2</v>
      </c>
      <c r="H296" s="1733">
        <f>I259</f>
        <v>1550</v>
      </c>
      <c r="I296" s="410"/>
      <c r="J296" s="1698">
        <f>IF(F296&gt;0,22/28*((F296/1000)^2-(F296/1000-2*G296/1000)^2)*H296/1000,IF(G296&gt;0,G296/1000*H296/1000*I296/1000, IF(H296&gt;0,H296/1000*I296/1000, IF(I296=0,1,I296/1000))))</f>
        <v>2.8994742857142849E-4</v>
      </c>
      <c r="K296" s="1719">
        <f t="shared" si="54"/>
        <v>5</v>
      </c>
      <c r="L296" s="1679">
        <v>1</v>
      </c>
      <c r="M296" s="441">
        <f t="shared" si="55"/>
        <v>1.4497371428571423E-3</v>
      </c>
      <c r="N296" s="400">
        <f>IF(D$209="DXC",1,0)</f>
        <v>0</v>
      </c>
      <c r="O296" s="400">
        <v>1</v>
      </c>
      <c r="P296" s="400">
        <f t="shared" si="44"/>
        <v>0</v>
      </c>
      <c r="Q296" s="1695">
        <f t="shared" si="57"/>
        <v>1661631.4199395771</v>
      </c>
      <c r="R296" s="1681">
        <f t="shared" si="45"/>
        <v>0</v>
      </c>
      <c r="S296" s="1682">
        <f t="shared" si="58"/>
        <v>0</v>
      </c>
      <c r="T296" s="1683">
        <f t="shared" si="59"/>
        <v>0</v>
      </c>
      <c r="U296" s="390"/>
      <c r="V296" s="1684"/>
      <c r="W296" s="1725"/>
      <c r="X296" s="1726"/>
    </row>
    <row r="297" spans="1:28" s="369" customFormat="1" hidden="1" outlineLevel="1">
      <c r="A297" s="395"/>
      <c r="B297" s="422" t="s">
        <v>2119</v>
      </c>
      <c r="C297" s="1701" t="s">
        <v>2579</v>
      </c>
      <c r="D297" s="399" t="str">
        <f t="shared" si="64"/>
        <v>Industrial Gas, Nitrogen : 6m3/150bar</v>
      </c>
      <c r="E297" s="408" t="s">
        <v>107</v>
      </c>
      <c r="F297" s="1734">
        <f>M$209*25.4</f>
        <v>50.8</v>
      </c>
      <c r="G297" s="1722">
        <v>1.2</v>
      </c>
      <c r="H297" s="1735">
        <f>I262</f>
        <v>1100</v>
      </c>
      <c r="I297" s="411"/>
      <c r="J297" s="1723">
        <f t="shared" ref="J297" si="65">IF(F297&gt;0,22/28*((F297/1000)^2-(F297/1000-2*G297/1000)^2)*H297/1000,IF(G297&gt;0,G297/1000*H297/1000*I297/1000, IF(H297&gt;0,H297/1000*I297/1000, IF(I297=0,1,I297/1000))))</f>
        <v>2.0576914285714277E-4</v>
      </c>
      <c r="K297" s="1724">
        <f t="shared" si="54"/>
        <v>5</v>
      </c>
      <c r="L297" s="1704">
        <v>2</v>
      </c>
      <c r="M297" s="492">
        <f t="shared" si="55"/>
        <v>2.0576914285714279E-3</v>
      </c>
      <c r="N297" s="491">
        <f>IF(D$209="ACC",1,0)</f>
        <v>0</v>
      </c>
      <c r="O297" s="491">
        <v>1</v>
      </c>
      <c r="P297" s="491">
        <f t="shared" si="44"/>
        <v>0</v>
      </c>
      <c r="Q297" s="1705">
        <f t="shared" si="57"/>
        <v>1661631.4199395771</v>
      </c>
      <c r="R297" s="1706">
        <f t="shared" si="45"/>
        <v>0</v>
      </c>
      <c r="S297" s="1707">
        <f t="shared" si="58"/>
        <v>0</v>
      </c>
      <c r="T297" s="1708">
        <f t="shared" si="59"/>
        <v>0</v>
      </c>
      <c r="U297" s="390"/>
      <c r="V297" s="1684"/>
      <c r="W297" s="1725"/>
      <c r="X297" s="1726"/>
    </row>
    <row r="298" spans="1:28" s="369" customFormat="1" ht="15" collapsed="1">
      <c r="A298" s="395"/>
      <c r="B298" s="2261" t="s">
        <v>108</v>
      </c>
      <c r="C298" s="2262"/>
      <c r="D298" s="2262"/>
      <c r="E298" s="1736"/>
      <c r="F298" s="1737"/>
      <c r="G298" s="1738"/>
      <c r="H298" s="1738"/>
      <c r="I298" s="1739"/>
      <c r="J298" s="1740"/>
      <c r="K298" s="1741"/>
      <c r="L298" s="1742"/>
      <c r="M298" s="1738"/>
      <c r="N298" s="1743"/>
      <c r="O298" s="1744"/>
      <c r="P298" s="1745"/>
      <c r="Q298" s="1673"/>
      <c r="R298" s="1746"/>
      <c r="S298" s="1747"/>
      <c r="T298" s="1748"/>
      <c r="U298" s="390"/>
      <c r="V298" s="1684">
        <f>SUM(R298:R308)</f>
        <v>0</v>
      </c>
      <c r="W298" s="1831">
        <f>V298/V$313</f>
        <v>0</v>
      </c>
      <c r="X298" s="1726"/>
    </row>
    <row r="299" spans="1:28" s="369" customFormat="1" hidden="1" outlineLevel="1">
      <c r="A299" s="395"/>
      <c r="B299" s="415" t="s">
        <v>83</v>
      </c>
      <c r="C299" s="2271" t="s">
        <v>2580</v>
      </c>
      <c r="D299" s="1694" t="str">
        <f t="shared" ref="D299:D308" si="66">VLOOKUP($B299,$B$19:$X$206,3,FALSE)</f>
        <v>Heresite Phenolic VR514 (5USG Pail @ 4.442kG/USG)</v>
      </c>
      <c r="E299" s="416" t="s">
        <v>54</v>
      </c>
      <c r="F299" s="380"/>
      <c r="G299" s="406"/>
      <c r="H299" s="484">
        <f t="shared" ref="H299:I308" si="67">H$236</f>
        <v>129.89999999999998</v>
      </c>
      <c r="I299" s="1709">
        <f t="shared" si="67"/>
        <v>950</v>
      </c>
      <c r="J299" s="1710">
        <f t="shared" ref="J299:J308" si="68">IF(F299&gt;0,22/28*((F299/1000)^2-(F299/1000-2*G299/1000)^2)*H299/1000,IF(G299&gt;0,G299/1000*H299/1000*I299/1000, IF(H299&gt;0,H299/1000*I299/1000, IF(I299=0,1,I299/1000))))</f>
        <v>0.12340499999999999</v>
      </c>
      <c r="K299" s="1719">
        <f t="shared" ref="K299:K308" si="69">VLOOKUP($B299,$B$19:$O$206,5,FALSE)</f>
        <v>2.7096200000000004E-2</v>
      </c>
      <c r="L299" s="1679">
        <f t="shared" ref="L299:L308" si="70">L$236*2</f>
        <v>910</v>
      </c>
      <c r="M299" s="1750">
        <f t="shared" si="55"/>
        <v>3.0428639705100005</v>
      </c>
      <c r="N299" s="400">
        <f>IF(OR(D$229="VR514",D$229="VR514/UC5504"),1,0)</f>
        <v>0</v>
      </c>
      <c r="O299" s="400">
        <v>1</v>
      </c>
      <c r="P299" s="500">
        <f t="shared" si="44"/>
        <v>0</v>
      </c>
      <c r="Q299" s="1695">
        <f t="shared" ref="Q299:Q308" si="71">VLOOKUP($B299,$B$19:$O$206,11,FALSE)</f>
        <v>1234943.1818181819</v>
      </c>
      <c r="R299" s="1751">
        <f t="shared" si="45"/>
        <v>0</v>
      </c>
      <c r="S299" s="1752">
        <f t="shared" ref="S299:S308" si="72">VLOOKUP($B299,$B$19:$O$206,12,FALSE)</f>
        <v>0.63</v>
      </c>
      <c r="T299" s="1683">
        <f t="shared" ref="T299:T308" si="73">M299*N299*S299</f>
        <v>0</v>
      </c>
      <c r="U299" s="390"/>
      <c r="V299" s="1684"/>
      <c r="W299" s="1725"/>
      <c r="X299" s="1726"/>
    </row>
    <row r="300" spans="1:28" s="369" customFormat="1" hidden="1" outlineLevel="1">
      <c r="A300" s="395"/>
      <c r="B300" s="422" t="s">
        <v>84</v>
      </c>
      <c r="C300" s="2272"/>
      <c r="D300" s="1753" t="str">
        <f t="shared" si="66"/>
        <v>Heresite Solvent S440 (Impala Super)</v>
      </c>
      <c r="E300" s="490" t="s">
        <v>54</v>
      </c>
      <c r="F300" s="381"/>
      <c r="G300" s="409"/>
      <c r="H300" s="1754">
        <f t="shared" si="67"/>
        <v>129.89999999999998</v>
      </c>
      <c r="I300" s="1702">
        <f t="shared" si="67"/>
        <v>950</v>
      </c>
      <c r="J300" s="1703">
        <f t="shared" si="68"/>
        <v>0.12340499999999999</v>
      </c>
      <c r="K300" s="1724">
        <f t="shared" si="69"/>
        <v>1.3047439999999999E-2</v>
      </c>
      <c r="L300" s="1704">
        <f t="shared" si="70"/>
        <v>910</v>
      </c>
      <c r="M300" s="1755">
        <f t="shared" si="55"/>
        <v>1.4652085932119996</v>
      </c>
      <c r="N300" s="491">
        <f>IF(OR(D$229="VR514",D$229="VR514/UC5504"),1,0)</f>
        <v>0</v>
      </c>
      <c r="O300" s="491">
        <v>1</v>
      </c>
      <c r="P300" s="501">
        <f t="shared" si="44"/>
        <v>0</v>
      </c>
      <c r="Q300" s="1705">
        <f t="shared" si="71"/>
        <v>2309.8206574899941</v>
      </c>
      <c r="R300" s="1756">
        <f t="shared" si="45"/>
        <v>0</v>
      </c>
      <c r="S300" s="1757">
        <f t="shared" si="72"/>
        <v>0</v>
      </c>
      <c r="T300" s="1708">
        <f t="shared" si="73"/>
        <v>0</v>
      </c>
      <c r="U300" s="390"/>
      <c r="V300" s="1684"/>
      <c r="W300" s="1725"/>
      <c r="X300" s="1726"/>
    </row>
    <row r="301" spans="1:28" s="369" customFormat="1" hidden="1" outlineLevel="1">
      <c r="A301" s="395"/>
      <c r="B301" s="415" t="s">
        <v>85</v>
      </c>
      <c r="C301" s="2271" t="s">
        <v>2581</v>
      </c>
      <c r="D301" s="1749" t="str">
        <f t="shared" si="66"/>
        <v>Heresite Polyurethane UC5504</v>
      </c>
      <c r="E301" s="474" t="s">
        <v>54</v>
      </c>
      <c r="F301" s="1758"/>
      <c r="G301" s="405"/>
      <c r="H301" s="1759">
        <f t="shared" si="67"/>
        <v>129.89999999999998</v>
      </c>
      <c r="I301" s="1760">
        <f t="shared" si="67"/>
        <v>950</v>
      </c>
      <c r="J301" s="1761">
        <f>IF(F301&gt;0,22/28*((F301/1000)^2-(F301/1000-2*G301/1000)^2)*H301/1000,IF(G301&gt;0,G301/1000*H301/1000*I301/1000, IF(H301&gt;0,H301/1000*I301/1000, IF(I301=0,1,I301/1000))))</f>
        <v>0.12340499999999999</v>
      </c>
      <c r="K301" s="1762">
        <f t="shared" si="69"/>
        <v>2.9926247555555559E-2</v>
      </c>
      <c r="L301" s="1763">
        <f t="shared" si="70"/>
        <v>910</v>
      </c>
      <c r="M301" s="1764">
        <f>J301*K301*L301</f>
        <v>3.3606742074299332</v>
      </c>
      <c r="N301" s="498">
        <f>IF(OR(D$229="UC5504",D$229="VR514/UC5504"),1,0)</f>
        <v>0</v>
      </c>
      <c r="O301" s="498">
        <v>1</v>
      </c>
      <c r="P301" s="500">
        <f t="shared" si="44"/>
        <v>0</v>
      </c>
      <c r="Q301" s="1695">
        <f t="shared" si="71"/>
        <v>792588.07969383162</v>
      </c>
      <c r="R301" s="1751">
        <f t="shared" si="45"/>
        <v>0</v>
      </c>
      <c r="S301" s="1752">
        <f t="shared" si="72"/>
        <v>0.61</v>
      </c>
      <c r="T301" s="1683">
        <f t="shared" si="73"/>
        <v>0</v>
      </c>
      <c r="U301" s="390"/>
      <c r="V301" s="1491"/>
      <c r="W301" s="400"/>
      <c r="X301" s="1765"/>
      <c r="AA301" s="1726"/>
      <c r="AB301" s="1726"/>
    </row>
    <row r="302" spans="1:28" s="369" customFormat="1" hidden="1" outlineLevel="1">
      <c r="A302" s="395"/>
      <c r="B302" s="422" t="s">
        <v>86</v>
      </c>
      <c r="C302" s="2272"/>
      <c r="D302" s="1753" t="str">
        <f t="shared" si="66"/>
        <v>Heresite Solvent S330</v>
      </c>
      <c r="E302" s="490" t="s">
        <v>54</v>
      </c>
      <c r="F302" s="381"/>
      <c r="G302" s="409"/>
      <c r="H302" s="1754">
        <f t="shared" si="67"/>
        <v>129.89999999999998</v>
      </c>
      <c r="I302" s="1702">
        <f t="shared" si="67"/>
        <v>950</v>
      </c>
      <c r="J302" s="1703">
        <f>IF(F302&gt;0,22/28*((F302/1000)^2-(F302/1000-2*G302/1000)^2)*H302/1000,IF(G302&gt;0,G302/1000*H302/1000*I302/1000, IF(H302&gt;0,H302/1000*I302/1000, IF(I302=0,1,I302/1000))))</f>
        <v>0.12340499999999999</v>
      </c>
      <c r="K302" s="1724">
        <f t="shared" si="69"/>
        <v>1.4410172622222219E-2</v>
      </c>
      <c r="L302" s="1704">
        <f t="shared" si="70"/>
        <v>910</v>
      </c>
      <c r="M302" s="1755">
        <f>J302*K302*L302</f>
        <v>1.6182414907252529</v>
      </c>
      <c r="N302" s="491">
        <f>IF(OR(D$229="UC5504",D$229="VR514/UC5504"),1,0)</f>
        <v>0</v>
      </c>
      <c r="O302" s="491">
        <v>1</v>
      </c>
      <c r="P302" s="500">
        <f t="shared" si="44"/>
        <v>0</v>
      </c>
      <c r="Q302" s="1695">
        <f t="shared" si="71"/>
        <v>2309.8206574899941</v>
      </c>
      <c r="R302" s="1751">
        <f t="shared" si="45"/>
        <v>0</v>
      </c>
      <c r="S302" s="1752">
        <f t="shared" si="72"/>
        <v>0</v>
      </c>
      <c r="T302" s="1683">
        <f t="shared" si="73"/>
        <v>0</v>
      </c>
      <c r="U302" s="390"/>
      <c r="V302" s="1491"/>
      <c r="W302" s="400"/>
      <c r="X302" s="1765"/>
      <c r="AA302" s="1726"/>
      <c r="AB302" s="1726"/>
    </row>
    <row r="303" spans="1:28" s="369" customFormat="1" hidden="1" outlineLevel="1">
      <c r="A303" s="395"/>
      <c r="B303" s="1766" t="s">
        <v>2130</v>
      </c>
      <c r="C303" s="2271" t="s">
        <v>2580</v>
      </c>
      <c r="D303" s="1749" t="str">
        <f t="shared" si="66"/>
        <v>Heresite Phenolic WB506 (5USG/4.442kG per Pail)</v>
      </c>
      <c r="E303" s="474" t="s">
        <v>54</v>
      </c>
      <c r="F303" s="1758"/>
      <c r="G303" s="405"/>
      <c r="H303" s="1759">
        <f t="shared" si="67"/>
        <v>129.89999999999998</v>
      </c>
      <c r="I303" s="1760">
        <f t="shared" si="67"/>
        <v>950</v>
      </c>
      <c r="J303" s="1761">
        <f t="shared" si="68"/>
        <v>0.12340499999999999</v>
      </c>
      <c r="K303" s="1762">
        <f t="shared" si="69"/>
        <v>2.3090940000000001E-2</v>
      </c>
      <c r="L303" s="1763">
        <f t="shared" si="70"/>
        <v>910</v>
      </c>
      <c r="M303" s="1764">
        <f t="shared" si="55"/>
        <v>2.5930790801370001</v>
      </c>
      <c r="N303" s="498">
        <f>IF(D$229="WB506",1,0)</f>
        <v>0</v>
      </c>
      <c r="O303" s="498">
        <v>1</v>
      </c>
      <c r="P303" s="1767">
        <f t="shared" si="44"/>
        <v>0</v>
      </c>
      <c r="Q303" s="1768">
        <f t="shared" si="71"/>
        <v>411079.41036614357</v>
      </c>
      <c r="R303" s="1769">
        <f t="shared" si="45"/>
        <v>0</v>
      </c>
      <c r="S303" s="1770">
        <f t="shared" si="72"/>
        <v>0.3</v>
      </c>
      <c r="T303" s="1771">
        <f t="shared" si="73"/>
        <v>0</v>
      </c>
      <c r="U303" s="390"/>
      <c r="V303" s="1684"/>
      <c r="W303" s="1725"/>
      <c r="X303" s="1726"/>
    </row>
    <row r="304" spans="1:28" s="369" customFormat="1" hidden="1" outlineLevel="1">
      <c r="A304" s="395"/>
      <c r="B304" s="415" t="s">
        <v>2134</v>
      </c>
      <c r="C304" s="2272"/>
      <c r="D304" s="1694" t="str">
        <f t="shared" si="66"/>
        <v>Water</v>
      </c>
      <c r="E304" s="416" t="s">
        <v>54</v>
      </c>
      <c r="F304" s="380"/>
      <c r="G304" s="406"/>
      <c r="H304" s="484">
        <f t="shared" si="67"/>
        <v>129.89999999999998</v>
      </c>
      <c r="I304" s="1709">
        <f t="shared" si="67"/>
        <v>950</v>
      </c>
      <c r="J304" s="1710">
        <f t="shared" si="68"/>
        <v>0.12340499999999999</v>
      </c>
      <c r="K304" s="1719">
        <f t="shared" si="69"/>
        <v>0</v>
      </c>
      <c r="L304" s="1679">
        <f t="shared" si="70"/>
        <v>910</v>
      </c>
      <c r="M304" s="1750">
        <f t="shared" si="55"/>
        <v>0</v>
      </c>
      <c r="N304" s="400">
        <f>IF(D$229="WB506",1,0)</f>
        <v>0</v>
      </c>
      <c r="O304" s="400">
        <v>1</v>
      </c>
      <c r="P304" s="500">
        <f t="shared" si="44"/>
        <v>0</v>
      </c>
      <c r="Q304" s="1695">
        <f t="shared" si="71"/>
        <v>0</v>
      </c>
      <c r="R304" s="1751">
        <f t="shared" si="45"/>
        <v>0</v>
      </c>
      <c r="S304" s="1752">
        <f t="shared" si="72"/>
        <v>0</v>
      </c>
      <c r="T304" s="1683">
        <f t="shared" si="73"/>
        <v>0</v>
      </c>
      <c r="U304" s="390"/>
      <c r="V304" s="1684"/>
      <c r="W304" s="1725"/>
      <c r="X304" s="1726"/>
    </row>
    <row r="305" spans="1:28" s="369" customFormat="1" hidden="1" outlineLevel="1">
      <c r="A305" s="395"/>
      <c r="B305" s="1766" t="s">
        <v>2135</v>
      </c>
      <c r="C305" s="2271" t="s">
        <v>2582</v>
      </c>
      <c r="D305" s="1749" t="str">
        <f t="shared" si="66"/>
        <v>Aeris AG-CPB-5 (AUD$451.52 per 5Liter)</v>
      </c>
      <c r="E305" s="474" t="s">
        <v>54</v>
      </c>
      <c r="F305" s="1758"/>
      <c r="G305" s="405"/>
      <c r="H305" s="1759">
        <f t="shared" si="67"/>
        <v>129.89999999999998</v>
      </c>
      <c r="I305" s="1760">
        <f t="shared" si="67"/>
        <v>950</v>
      </c>
      <c r="J305" s="1761">
        <f t="shared" si="68"/>
        <v>0.12340499999999999</v>
      </c>
      <c r="K305" s="1762">
        <f t="shared" si="69"/>
        <v>0.05</v>
      </c>
      <c r="L305" s="1763">
        <f t="shared" si="70"/>
        <v>910</v>
      </c>
      <c r="M305" s="1764">
        <f t="shared" si="55"/>
        <v>5.6149274999999994</v>
      </c>
      <c r="N305" s="498">
        <f>IF(D$229="Aeris",1,0)</f>
        <v>0</v>
      </c>
      <c r="O305" s="498">
        <v>1</v>
      </c>
      <c r="P305" s="1767">
        <f t="shared" si="44"/>
        <v>0</v>
      </c>
      <c r="Q305" s="1768">
        <f t="shared" si="71"/>
        <v>1430268.0362537764</v>
      </c>
      <c r="R305" s="1769">
        <f t="shared" si="45"/>
        <v>0</v>
      </c>
      <c r="S305" s="1770">
        <f t="shared" si="72"/>
        <v>0.3</v>
      </c>
      <c r="T305" s="1771">
        <f t="shared" si="73"/>
        <v>0</v>
      </c>
      <c r="U305" s="390"/>
      <c r="V305" s="1491"/>
      <c r="W305" s="400"/>
      <c r="X305" s="1765"/>
      <c r="AA305" s="1726"/>
      <c r="AB305" s="1726"/>
    </row>
    <row r="306" spans="1:28" s="369" customFormat="1" hidden="1" outlineLevel="1">
      <c r="A306" s="395"/>
      <c r="B306" s="422" t="s">
        <v>2138</v>
      </c>
      <c r="C306" s="2272"/>
      <c r="D306" s="1753" t="str">
        <f t="shared" si="66"/>
        <v>Aeris AG-CPB-5 (AUD$115.02 per 1.25Liter)</v>
      </c>
      <c r="E306" s="490" t="s">
        <v>54</v>
      </c>
      <c r="F306" s="381"/>
      <c r="G306" s="409"/>
      <c r="H306" s="1754">
        <f t="shared" si="67"/>
        <v>129.89999999999998</v>
      </c>
      <c r="I306" s="1702">
        <f t="shared" si="67"/>
        <v>950</v>
      </c>
      <c r="J306" s="1703">
        <f t="shared" si="68"/>
        <v>0.12340499999999999</v>
      </c>
      <c r="K306" s="1724">
        <f t="shared" si="69"/>
        <v>2.8999999999999998E-3</v>
      </c>
      <c r="L306" s="1704">
        <f t="shared" si="70"/>
        <v>910</v>
      </c>
      <c r="M306" s="1755">
        <f t="shared" si="55"/>
        <v>0.32566579499999998</v>
      </c>
      <c r="N306" s="491">
        <f>IF(D$229="Aeris",1,0)</f>
        <v>0</v>
      </c>
      <c r="O306" s="491">
        <v>1</v>
      </c>
      <c r="P306" s="501">
        <f t="shared" si="44"/>
        <v>0</v>
      </c>
      <c r="Q306" s="1705">
        <f t="shared" si="71"/>
        <v>1457383.3232628398</v>
      </c>
      <c r="R306" s="1756">
        <f t="shared" si="45"/>
        <v>0</v>
      </c>
      <c r="S306" s="1757">
        <f t="shared" si="72"/>
        <v>0</v>
      </c>
      <c r="T306" s="1708">
        <f t="shared" si="73"/>
        <v>0</v>
      </c>
      <c r="U306" s="390"/>
      <c r="V306" s="1684"/>
      <c r="W306" s="1725"/>
      <c r="X306" s="1726"/>
    </row>
    <row r="307" spans="1:28" s="369" customFormat="1" hidden="1" outlineLevel="1">
      <c r="A307" s="395"/>
      <c r="B307" s="1766" t="s">
        <v>2141</v>
      </c>
      <c r="C307" s="2271" t="s">
        <v>2583</v>
      </c>
      <c r="D307" s="1749" t="str">
        <f t="shared" si="66"/>
        <v>ECRA-DMT TiO2</v>
      </c>
      <c r="E307" s="474" t="s">
        <v>54</v>
      </c>
      <c r="F307" s="1758"/>
      <c r="G307" s="405"/>
      <c r="H307" s="1759">
        <f t="shared" si="67"/>
        <v>129.89999999999998</v>
      </c>
      <c r="I307" s="1760">
        <f t="shared" si="67"/>
        <v>950</v>
      </c>
      <c r="J307" s="1761">
        <f t="shared" si="68"/>
        <v>0.12340499999999999</v>
      </c>
      <c r="K307" s="1762">
        <f t="shared" si="69"/>
        <v>2.3090940000000001E-2</v>
      </c>
      <c r="L307" s="1763">
        <f t="shared" si="70"/>
        <v>910</v>
      </c>
      <c r="M307" s="1764">
        <f t="shared" si="55"/>
        <v>2.5930790801370001</v>
      </c>
      <c r="N307" s="498">
        <f>IF(D$229="TiO2",1,0)</f>
        <v>0</v>
      </c>
      <c r="O307" s="498">
        <v>1</v>
      </c>
      <c r="P307" s="1767">
        <f t="shared" si="44"/>
        <v>0</v>
      </c>
      <c r="Q307" s="1768">
        <f t="shared" si="71"/>
        <v>1417500</v>
      </c>
      <c r="R307" s="1769">
        <f t="shared" si="45"/>
        <v>0</v>
      </c>
      <c r="S307" s="1770">
        <f t="shared" si="72"/>
        <v>0.3</v>
      </c>
      <c r="T307" s="1771">
        <f t="shared" si="73"/>
        <v>0</v>
      </c>
      <c r="U307" s="390"/>
      <c r="V307" s="1491"/>
      <c r="W307" s="400"/>
      <c r="X307" s="1765"/>
      <c r="AA307" s="1726"/>
      <c r="AB307" s="1726"/>
    </row>
    <row r="308" spans="1:28" s="369" customFormat="1" hidden="1" outlineLevel="1">
      <c r="A308" s="395"/>
      <c r="B308" s="422" t="s">
        <v>2134</v>
      </c>
      <c r="C308" s="2272"/>
      <c r="D308" s="1753" t="str">
        <f t="shared" si="66"/>
        <v>Water</v>
      </c>
      <c r="E308" s="490" t="s">
        <v>54</v>
      </c>
      <c r="F308" s="381"/>
      <c r="G308" s="409"/>
      <c r="H308" s="1754">
        <f t="shared" si="67"/>
        <v>129.89999999999998</v>
      </c>
      <c r="I308" s="1702">
        <f t="shared" si="67"/>
        <v>950</v>
      </c>
      <c r="J308" s="1703">
        <f t="shared" si="68"/>
        <v>0.12340499999999999</v>
      </c>
      <c r="K308" s="1724">
        <f t="shared" si="69"/>
        <v>0</v>
      </c>
      <c r="L308" s="1704">
        <f t="shared" si="70"/>
        <v>910</v>
      </c>
      <c r="M308" s="1755">
        <f t="shared" si="55"/>
        <v>0</v>
      </c>
      <c r="N308" s="491">
        <f>IF(D$229="TiO2",1,0)</f>
        <v>0</v>
      </c>
      <c r="O308" s="491">
        <v>1</v>
      </c>
      <c r="P308" s="501">
        <f t="shared" si="44"/>
        <v>0</v>
      </c>
      <c r="Q308" s="1705">
        <f t="shared" si="71"/>
        <v>0</v>
      </c>
      <c r="R308" s="1756">
        <f t="shared" si="45"/>
        <v>0</v>
      </c>
      <c r="S308" s="1757">
        <f t="shared" si="72"/>
        <v>0</v>
      </c>
      <c r="T308" s="1708">
        <f t="shared" si="73"/>
        <v>0</v>
      </c>
      <c r="U308" s="390"/>
      <c r="V308" s="1684"/>
      <c r="W308" s="1725"/>
      <c r="X308" s="1726"/>
    </row>
    <row r="309" spans="1:28" s="369" customFormat="1" ht="15" collapsed="1">
      <c r="A309" s="395"/>
      <c r="B309" s="2261" t="s">
        <v>2639</v>
      </c>
      <c r="C309" s="2262"/>
      <c r="D309" s="2262"/>
      <c r="E309" s="1736"/>
      <c r="F309" s="1737"/>
      <c r="G309" s="1738"/>
      <c r="H309" s="1738"/>
      <c r="I309" s="1739"/>
      <c r="J309" s="1740"/>
      <c r="K309" s="1741"/>
      <c r="L309" s="1742"/>
      <c r="M309" s="1738"/>
      <c r="N309" s="1743"/>
      <c r="O309" s="1744"/>
      <c r="P309" s="1745"/>
      <c r="Q309" s="1673"/>
      <c r="R309" s="1746"/>
      <c r="S309" s="1747"/>
      <c r="T309" s="1748"/>
      <c r="U309" s="390"/>
      <c r="V309" s="1684">
        <f>SUM(R309:R311)</f>
        <v>541395</v>
      </c>
      <c r="W309" s="1831">
        <f>V309/V$313</f>
        <v>2.7923347874129707E-2</v>
      </c>
      <c r="X309" s="1726"/>
    </row>
    <row r="310" spans="1:28" s="369" customFormat="1" hidden="1" outlineLevel="1">
      <c r="A310" s="395"/>
      <c r="B310" s="1766" t="s">
        <v>2640</v>
      </c>
      <c r="C310" s="1832" t="str">
        <f>D231</f>
        <v>Std Packing</v>
      </c>
      <c r="D310" s="1833">
        <f>(F211+100)/1000*(H211+100)/1000*(I209+100)/1000</f>
        <v>0.24139499999999994</v>
      </c>
      <c r="E310" s="1834" t="s">
        <v>1171</v>
      </c>
      <c r="F310" s="1835"/>
      <c r="G310" s="1836"/>
      <c r="H310" s="1837"/>
      <c r="I310" s="1838"/>
      <c r="J310" s="1839">
        <f>IF(F310&gt;0,22/28*((F310/1000)^2-(F310/1000-2*G310/1000)^2)*H310/1000,IF(G310&gt;0,G310/1000*H310/1000*I310/1000, IF(H310&gt;0,H310/1000*I310/1000, IF(I310=0,1,I310/1000))))</f>
        <v>1</v>
      </c>
      <c r="K310" s="1762">
        <v>1</v>
      </c>
      <c r="L310" s="1763">
        <f>D310</f>
        <v>0.24139499999999994</v>
      </c>
      <c r="M310" s="1840">
        <f t="shared" ref="M310" si="74">J310*K310*L310</f>
        <v>0.24139499999999994</v>
      </c>
      <c r="N310" s="498">
        <v>1</v>
      </c>
      <c r="O310" s="498">
        <v>1</v>
      </c>
      <c r="P310" s="498">
        <f t="shared" ref="P310:P312" si="75">M310*N310*O310</f>
        <v>0.24139499999999994</v>
      </c>
      <c r="Q310" s="1768">
        <f>H231</f>
        <v>1000000</v>
      </c>
      <c r="R310" s="1841">
        <f t="shared" ref="R310:R312" si="76">P310*Q310</f>
        <v>241394.99999999994</v>
      </c>
      <c r="S310" s="1842">
        <v>0</v>
      </c>
      <c r="T310" s="1771">
        <f t="shared" ref="T310:T312" si="77">M310*N310*S310</f>
        <v>0</v>
      </c>
      <c r="U310" s="390"/>
      <c r="V310" s="1684"/>
      <c r="W310" s="1725"/>
      <c r="X310" s="1726"/>
    </row>
    <row r="311" spans="1:28" s="369" customFormat="1" hidden="1" outlineLevel="1">
      <c r="A311" s="395"/>
      <c r="B311" s="415" t="s">
        <v>1534</v>
      </c>
      <c r="C311" s="1700"/>
      <c r="D311" s="398"/>
      <c r="E311" s="407" t="s">
        <v>100</v>
      </c>
      <c r="F311" s="1732"/>
      <c r="G311" s="1728"/>
      <c r="H311" s="1733"/>
      <c r="I311" s="410"/>
      <c r="J311" s="1698">
        <f>IF(F311&gt;0,22/28*((F311/1000)^2-(F311/1000-2*G311/1000)^2)*H311/1000,IF(G311&gt;0,G311/1000*H311/1000*I311/1000, IF(H311&gt;0,H311/1000*I311/1000, IF(I311=0,1,I311/1000))))</f>
        <v>1</v>
      </c>
      <c r="K311" s="1719">
        <v>1</v>
      </c>
      <c r="L311" s="1679">
        <v>2</v>
      </c>
      <c r="M311" s="441">
        <f>J311*K311*L311</f>
        <v>2</v>
      </c>
      <c r="N311" s="400">
        <f>IF(D$209="CWC",1,0)</f>
        <v>1</v>
      </c>
      <c r="O311" s="400">
        <v>1</v>
      </c>
      <c r="P311" s="400">
        <f t="shared" si="75"/>
        <v>2</v>
      </c>
      <c r="Q311" s="1695">
        <v>150000</v>
      </c>
      <c r="R311" s="1681">
        <f t="shared" si="76"/>
        <v>300000</v>
      </c>
      <c r="S311" s="1682">
        <v>0</v>
      </c>
      <c r="T311" s="1683">
        <f t="shared" si="77"/>
        <v>0</v>
      </c>
      <c r="U311" s="390"/>
      <c r="V311" s="1684"/>
      <c r="W311" s="1725"/>
      <c r="X311" s="1726"/>
    </row>
    <row r="312" spans="1:28" s="369" customFormat="1" hidden="1" outlineLevel="1">
      <c r="A312" s="395"/>
      <c r="B312" s="422" t="s">
        <v>2641</v>
      </c>
      <c r="C312" s="1701" t="str">
        <f>D232</f>
        <v>By Customer</v>
      </c>
      <c r="D312" s="399"/>
      <c r="E312" s="408" t="s">
        <v>1172</v>
      </c>
      <c r="F312" s="1734"/>
      <c r="G312" s="1722"/>
      <c r="H312" s="1735"/>
      <c r="I312" s="411"/>
      <c r="J312" s="1723">
        <f>IF(F312&gt;0,22/28*((F312/1000)^2-(F312/1000-2*G312/1000)^2)*H312/1000,IF(G312&gt;0,G312/1000*H312/1000*I312/1000, IF(H312&gt;0,H312/1000*I312/1000, IF(I312=0,1,I312/1000))))</f>
        <v>1</v>
      </c>
      <c r="K312" s="1724">
        <v>1</v>
      </c>
      <c r="L312" s="1704">
        <f>F232</f>
        <v>0</v>
      </c>
      <c r="M312" s="492">
        <f>J312*K312*L312</f>
        <v>0</v>
      </c>
      <c r="N312" s="491">
        <f>IF(D$209="CWC",1,0)</f>
        <v>1</v>
      </c>
      <c r="O312" s="491">
        <v>1</v>
      </c>
      <c r="P312" s="491">
        <f t="shared" si="75"/>
        <v>0</v>
      </c>
      <c r="Q312" s="1705">
        <f>H232</f>
        <v>2000000</v>
      </c>
      <c r="R312" s="1706">
        <f t="shared" si="76"/>
        <v>0</v>
      </c>
      <c r="S312" s="1707">
        <v>0</v>
      </c>
      <c r="T312" s="1708">
        <f t="shared" si="77"/>
        <v>0</v>
      </c>
      <c r="U312" s="390"/>
      <c r="V312" s="1684"/>
      <c r="W312" s="1725"/>
      <c r="X312" s="1726"/>
    </row>
    <row r="313" spans="1:28" s="370" customFormat="1" ht="15" collapsed="1">
      <c r="A313" s="394"/>
      <c r="B313" s="2219" t="s">
        <v>2584</v>
      </c>
      <c r="C313" s="2219"/>
      <c r="E313" s="394"/>
      <c r="F313" s="502"/>
      <c r="G313" s="502"/>
      <c r="H313" s="394"/>
      <c r="I313" s="394"/>
      <c r="J313" s="1772"/>
      <c r="K313" s="432"/>
      <c r="L313" s="432"/>
      <c r="M313" s="432"/>
      <c r="N313" s="432"/>
      <c r="O313" s="1773"/>
      <c r="P313" s="1774"/>
      <c r="Q313" s="1775"/>
      <c r="R313" s="1776">
        <f>SUM(R235:R312)</f>
        <v>19388613.51584525</v>
      </c>
      <c r="T313" s="392">
        <f>SUM(T235:T312)</f>
        <v>72.02815609194478</v>
      </c>
      <c r="U313" s="390" t="s">
        <v>97</v>
      </c>
      <c r="V313" s="1777">
        <f>SUM(V235:V312)</f>
        <v>19388613.51584525</v>
      </c>
      <c r="W313" s="1457">
        <f>SUM(W235:W312)</f>
        <v>0.99999999999999989</v>
      </c>
      <c r="Z313" s="1778"/>
      <c r="AA313" s="1778"/>
    </row>
    <row r="314" spans="1:28">
      <c r="Q314" s="1457">
        <v>0.3</v>
      </c>
    </row>
    <row r="315" spans="1:28">
      <c r="R315" s="1843">
        <f>R313/(1-Q314)</f>
        <v>27698019.308350358</v>
      </c>
    </row>
    <row r="316" spans="1:28">
      <c r="R316" s="1780">
        <f>ROUNDUP(R315,-5)</f>
        <v>27700000</v>
      </c>
    </row>
  </sheetData>
  <mergeCells count="39">
    <mergeCell ref="C307:C308"/>
    <mergeCell ref="B309:D309"/>
    <mergeCell ref="B313:C313"/>
    <mergeCell ref="B267:D267"/>
    <mergeCell ref="B298:D298"/>
    <mergeCell ref="C299:C300"/>
    <mergeCell ref="C301:C302"/>
    <mergeCell ref="C303:C304"/>
    <mergeCell ref="C305:C306"/>
    <mergeCell ref="S234:T234"/>
    <mergeCell ref="V234:W234"/>
    <mergeCell ref="B235:D235"/>
    <mergeCell ref="B239:D239"/>
    <mergeCell ref="B247:D247"/>
    <mergeCell ref="Q234:R234"/>
    <mergeCell ref="B251:D251"/>
    <mergeCell ref="B216:D216"/>
    <mergeCell ref="B217:B221"/>
    <mergeCell ref="B222:D222"/>
    <mergeCell ref="B223:B229"/>
    <mergeCell ref="B230:D230"/>
    <mergeCell ref="B213:B215"/>
    <mergeCell ref="B57:C57"/>
    <mergeCell ref="B61:C61"/>
    <mergeCell ref="B65:C65"/>
    <mergeCell ref="B70:C70"/>
    <mergeCell ref="B81:C81"/>
    <mergeCell ref="B88:C88"/>
    <mergeCell ref="B147:C147"/>
    <mergeCell ref="B176:C176"/>
    <mergeCell ref="B208:D208"/>
    <mergeCell ref="B209:B211"/>
    <mergeCell ref="B212:D212"/>
    <mergeCell ref="B52:C52"/>
    <mergeCell ref="B1:T1"/>
    <mergeCell ref="B2:C2"/>
    <mergeCell ref="B10:C10"/>
    <mergeCell ref="B18:C18"/>
    <mergeCell ref="B36:C36"/>
  </mergeCells>
  <dataValidations count="17">
    <dataValidation type="list" allowBlank="1" showInputMessage="1" showErrorMessage="1" sqref="D227" xr:uid="{F383B084-BBB0-41DB-B94C-943BBBAF7C6F}">
      <formula1>$B$177:$B$206</formula1>
    </dataValidation>
    <dataValidation type="list" allowBlank="1" showInputMessage="1" showErrorMessage="1" sqref="D226:D227" xr:uid="{FE9AB659-A192-4CE4-BA0C-67CAE1D920CC}">
      <formula1>$B$148:$B$175</formula1>
    </dataValidation>
    <dataValidation type="list" allowBlank="1" showInputMessage="1" showErrorMessage="1" sqref="D215" xr:uid="{DA48029C-5780-4A81-A3E9-FD14801081D8}">
      <formula1>$B$19:$B$35</formula1>
    </dataValidation>
    <dataValidation type="list" allowBlank="1" showInputMessage="1" showErrorMessage="1" sqref="D213" xr:uid="{04ABC7CC-7BAF-4C4D-879B-41C925375FE3}">
      <formula1>$B$37:$B$51</formula1>
    </dataValidation>
    <dataValidation type="list" allowBlank="1" showInputMessage="1" showErrorMessage="1" sqref="D214" xr:uid="{93E8351C-6257-4711-A36A-8DD6F4467B3E}">
      <formula1>$B$53:$B$56</formula1>
    </dataValidation>
    <dataValidation type="list" allowBlank="1" showInputMessage="1" showErrorMessage="1" sqref="D209" xr:uid="{1AA1E877-AF78-4AC0-848B-166350ABD544}">
      <formula1>"CWC, DXC, ACC"</formula1>
    </dataValidation>
    <dataValidation type="list" allowBlank="1" showInputMessage="1" showErrorMessage="1" sqref="E209" xr:uid="{9F9B2C48-6788-4B58-8F10-1E6633C49626}">
      <formula1>$B$13:$B$16</formula1>
    </dataValidation>
    <dataValidation type="list" allowBlank="1" showInputMessage="1" showErrorMessage="1" sqref="D229" xr:uid="{D4F83E3E-ADF6-4296-971B-B4CE05935B27}">
      <formula1>"No Coating, VR514, UC5504, VR514/UC5504, WB506, Aeris, TiO2"</formula1>
    </dataValidation>
    <dataValidation type="list" allowBlank="1" showInputMessage="1" showErrorMessage="1" sqref="D225" xr:uid="{6731725F-23EB-49C2-8EDF-568BFCB912E9}">
      <formula1>"Punch, Emboss, AGC-3/8, AGC-1/2, AGC-5/8"</formula1>
    </dataValidation>
    <dataValidation type="list" allowBlank="1" showInputMessage="1" showErrorMessage="1" sqref="D223" xr:uid="{6BC149EA-8DCA-4C22-9136-31ACAAA96B34}">
      <formula1>"Straight Pin, Hairpin (FL&lt;1400)"</formula1>
    </dataValidation>
    <dataValidation type="list" allowBlank="1" showInputMessage="1" showErrorMessage="1" sqref="B250" xr:uid="{F00311ED-E6A9-4ED6-A48D-36344A463DFB}">
      <formula1>$B$116:$B$122</formula1>
    </dataValidation>
    <dataValidation type="list" allowBlank="1" showInputMessage="1" showErrorMessage="1" sqref="D218 D220" xr:uid="{D36984E8-71CA-4A98-ADDE-61113DEFD114}">
      <formula1>$B$89:$B$122</formula1>
    </dataValidation>
    <dataValidation type="list" allowBlank="1" showInputMessage="1" showErrorMessage="1" sqref="D219 D221" xr:uid="{A80C46C7-AD58-4F43-A6F6-8368D307FA0B}">
      <formula1>$B$123:$B$146</formula1>
    </dataValidation>
    <dataValidation type="list" allowBlank="1" showInputMessage="1" showErrorMessage="1" sqref="D217" xr:uid="{DDB472A3-B09B-4090-A03A-541244FF826B}">
      <formula1>"Copper, Black Steel"</formula1>
    </dataValidation>
    <dataValidation type="list" allowBlank="1" showInputMessage="1" showErrorMessage="1" sqref="B268:B290" xr:uid="{2FC662E8-0A03-4FAD-A4BE-ED41B003F794}">
      <formula1>$B$62:$B$64</formula1>
    </dataValidation>
    <dataValidation type="list" allowBlank="1" showInputMessage="1" showErrorMessage="1" sqref="D231" xr:uid="{D64B6558-BB97-44BB-811D-01E268C5BB48}">
      <formula1>"No Packing, Std Packing, Full Enclosed Packing"</formula1>
    </dataValidation>
    <dataValidation type="list" allowBlank="1" showInputMessage="1" showErrorMessage="1" sqref="D232" xr:uid="{61B91C05-8345-4C11-9288-A91078869A2B}">
      <formula1>"By UJB, By Customer"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B2:T78"/>
  <sheetViews>
    <sheetView showGridLines="0" view="pageBreakPreview" topLeftCell="A16" zoomScaleNormal="100" zoomScaleSheetLayoutView="100" workbookViewId="0">
      <selection activeCell="L8" sqref="L8:L9"/>
    </sheetView>
  </sheetViews>
  <sheetFormatPr defaultRowHeight="15"/>
  <cols>
    <col min="1" max="1" width="9.28515625" customWidth="1"/>
    <col min="2" max="2" width="8.140625" customWidth="1"/>
    <col min="6" max="6" width="8.7109375" customWidth="1"/>
    <col min="7" max="7" width="11.42578125" customWidth="1"/>
    <col min="8" max="8" width="14" customWidth="1"/>
    <col min="9" max="9" width="11" customWidth="1"/>
    <col min="10" max="10" width="14.85546875" customWidth="1"/>
    <col min="11" max="11" width="23" customWidth="1"/>
    <col min="12" max="12" width="23.85546875" customWidth="1"/>
    <col min="13" max="13" width="19.7109375" customWidth="1"/>
    <col min="15" max="15" width="15.85546875" bestFit="1" customWidth="1"/>
    <col min="16" max="16" width="14.42578125" bestFit="1" customWidth="1"/>
    <col min="18" max="18" width="16" bestFit="1" customWidth="1"/>
    <col min="19" max="20" width="14.85546875" bestFit="1" customWidth="1"/>
    <col min="21" max="21" width="13.28515625" bestFit="1" customWidth="1"/>
  </cols>
  <sheetData>
    <row r="2" spans="2:13" ht="30" customHeight="1">
      <c r="D2" s="42"/>
      <c r="G2" s="195" t="s">
        <v>149</v>
      </c>
    </row>
    <row r="3" spans="2:13" ht="15.75">
      <c r="D3" s="43"/>
      <c r="G3" s="196" t="s">
        <v>211</v>
      </c>
    </row>
    <row r="4" spans="2:13" ht="15.75">
      <c r="D4" s="43"/>
      <c r="G4" s="196" t="s">
        <v>1059</v>
      </c>
    </row>
    <row r="5" spans="2:13" ht="15.75">
      <c r="D5" s="43"/>
      <c r="G5" s="196"/>
    </row>
    <row r="6" spans="2:13" ht="8.25" customHeight="1" thickBot="1"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</row>
    <row r="7" spans="2:13" ht="9.75" customHeight="1" thickTop="1"/>
    <row r="8" spans="2:13" ht="15.75" customHeight="1">
      <c r="B8" s="45" t="s">
        <v>0</v>
      </c>
      <c r="C8" s="1783" t="s">
        <v>2896</v>
      </c>
      <c r="D8" s="46"/>
      <c r="E8" s="46"/>
      <c r="F8" s="46"/>
      <c r="G8" s="47"/>
      <c r="H8" s="2273" t="s">
        <v>1</v>
      </c>
      <c r="I8" s="2273"/>
      <c r="J8" s="2273"/>
      <c r="K8" s="2275" t="s">
        <v>2</v>
      </c>
      <c r="L8" s="2276" t="s">
        <v>2899</v>
      </c>
      <c r="M8" s="48"/>
    </row>
    <row r="9" spans="2:13" ht="15.75" customHeight="1">
      <c r="B9" s="49" t="s">
        <v>3</v>
      </c>
      <c r="C9" s="65"/>
      <c r="D9" s="50"/>
      <c r="E9" s="50"/>
      <c r="F9" s="50"/>
      <c r="G9" s="51"/>
      <c r="H9" s="2274"/>
      <c r="I9" s="2274"/>
      <c r="J9" s="2274"/>
      <c r="K9" s="2275"/>
      <c r="L9" s="2277"/>
      <c r="M9" s="48"/>
    </row>
    <row r="10" spans="2:13" ht="15.75">
      <c r="B10" s="52"/>
      <c r="C10" s="1486"/>
      <c r="G10" s="53"/>
      <c r="H10" s="2278" t="s">
        <v>2897</v>
      </c>
      <c r="I10" s="2278"/>
      <c r="J10" s="2278"/>
      <c r="K10" s="54"/>
      <c r="L10" s="55"/>
      <c r="M10" s="48"/>
    </row>
    <row r="11" spans="2:13" ht="15.75">
      <c r="B11" s="56"/>
      <c r="C11" s="57"/>
      <c r="D11" s="58"/>
      <c r="E11" s="58"/>
      <c r="F11" s="58"/>
      <c r="G11" s="59"/>
      <c r="H11" s="57"/>
      <c r="I11" s="60"/>
      <c r="J11" s="61"/>
      <c r="K11" s="45" t="s">
        <v>4</v>
      </c>
      <c r="L11" s="62">
        <f ca="1">NOW()</f>
        <v>46089.909857986109</v>
      </c>
      <c r="M11" s="63"/>
    </row>
    <row r="12" spans="2:13" ht="15.75">
      <c r="B12" s="45" t="s">
        <v>5</v>
      </c>
      <c r="C12" s="64"/>
      <c r="D12" s="46"/>
      <c r="E12" s="46"/>
      <c r="F12" s="46"/>
      <c r="G12" s="47"/>
      <c r="H12" s="55" t="s">
        <v>6</v>
      </c>
      <c r="I12" s="45"/>
      <c r="J12" s="45"/>
      <c r="K12" s="45" t="s">
        <v>7</v>
      </c>
      <c r="L12" s="45"/>
      <c r="M12" s="65"/>
    </row>
    <row r="13" spans="2:13" ht="15.75">
      <c r="B13" s="45" t="s">
        <v>8</v>
      </c>
      <c r="C13" s="66"/>
      <c r="D13" s="46"/>
      <c r="E13" s="46"/>
      <c r="F13" s="46"/>
      <c r="G13" s="47"/>
      <c r="H13" s="55" t="s">
        <v>9</v>
      </c>
      <c r="I13" s="45"/>
      <c r="J13" s="45"/>
      <c r="K13" s="45" t="s">
        <v>10</v>
      </c>
      <c r="L13" s="67"/>
    </row>
    <row r="14" spans="2:13">
      <c r="B14" s="66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2:13">
      <c r="B15" s="55" t="s">
        <v>11</v>
      </c>
      <c r="C15" s="2279" t="s">
        <v>12</v>
      </c>
      <c r="D15" s="2279"/>
      <c r="E15" s="2279"/>
      <c r="F15" s="2279"/>
      <c r="G15" s="2279"/>
      <c r="H15" s="2280"/>
      <c r="I15" s="55" t="s">
        <v>13</v>
      </c>
      <c r="J15" s="55" t="s">
        <v>14</v>
      </c>
      <c r="K15" s="55" t="s">
        <v>15</v>
      </c>
      <c r="L15" s="55" t="s">
        <v>16</v>
      </c>
      <c r="M15" s="48"/>
    </row>
    <row r="16" spans="2:13" ht="15.75">
      <c r="B16" s="68"/>
      <c r="C16" s="65"/>
      <c r="D16" s="65"/>
      <c r="E16" s="65"/>
      <c r="F16" s="65"/>
      <c r="G16" s="65"/>
      <c r="H16" s="65"/>
      <c r="I16" s="192"/>
      <c r="J16" s="192"/>
      <c r="K16" s="69"/>
      <c r="L16" s="70"/>
      <c r="M16" s="65"/>
    </row>
    <row r="17" spans="2:16" ht="15.75">
      <c r="B17" s="68"/>
      <c r="C17" s="234"/>
      <c r="D17" s="65"/>
      <c r="E17" s="65"/>
      <c r="F17" s="65"/>
      <c r="G17" s="65"/>
      <c r="H17" s="65"/>
      <c r="I17" s="194"/>
      <c r="J17" s="194"/>
      <c r="K17" s="70"/>
      <c r="L17" s="70"/>
      <c r="M17" s="65"/>
    </row>
    <row r="18" spans="2:16" ht="15.75">
      <c r="B18" s="68">
        <v>1</v>
      </c>
      <c r="C18" s="71" t="s">
        <v>2881</v>
      </c>
      <c r="D18" s="65"/>
      <c r="E18" s="65"/>
      <c r="F18" s="65"/>
      <c r="G18" s="65"/>
      <c r="H18" s="65"/>
      <c r="I18" s="194">
        <v>1</v>
      </c>
      <c r="J18" s="194" t="s">
        <v>1069</v>
      </c>
      <c r="K18" s="70">
        <f>'AHU IU1'!M90</f>
        <v>178700000</v>
      </c>
      <c r="L18" s="70">
        <f>I18*K18</f>
        <v>178700000</v>
      </c>
      <c r="M18" s="65" t="s">
        <v>1945</v>
      </c>
      <c r="O18" s="241" t="e">
        <f>#REF!</f>
        <v>#REF!</v>
      </c>
    </row>
    <row r="19" spans="2:16" ht="15.75">
      <c r="B19" s="68"/>
      <c r="C19" s="234" t="s">
        <v>2882</v>
      </c>
      <c r="D19" s="65"/>
      <c r="E19" s="65"/>
      <c r="F19" s="65"/>
      <c r="G19" s="65"/>
      <c r="H19" s="65"/>
      <c r="I19" s="194"/>
      <c r="J19" s="194"/>
      <c r="K19" s="70"/>
      <c r="L19" s="70"/>
      <c r="M19" s="65">
        <v>1760</v>
      </c>
      <c r="N19" s="222">
        <v>0.3</v>
      </c>
      <c r="O19" s="220" t="e">
        <f>O18/(1-N19)</f>
        <v>#REF!</v>
      </c>
      <c r="P19" s="221" t="e">
        <f>O19</f>
        <v>#REF!</v>
      </c>
    </row>
    <row r="20" spans="2:16" ht="15.75">
      <c r="B20" s="68"/>
      <c r="C20" s="234" t="s">
        <v>2883</v>
      </c>
      <c r="D20" s="65"/>
      <c r="E20" s="65"/>
      <c r="F20" s="65"/>
      <c r="G20" s="65"/>
      <c r="H20" s="65"/>
      <c r="I20" s="194"/>
      <c r="J20" s="194"/>
      <c r="K20" s="70"/>
      <c r="L20" s="70"/>
      <c r="M20" s="65">
        <v>840</v>
      </c>
      <c r="N20" s="204"/>
      <c r="O20" s="204"/>
      <c r="P20" s="221" t="e">
        <f>ROUNDUP(P19,-5)</f>
        <v>#REF!</v>
      </c>
    </row>
    <row r="21" spans="2:16" ht="15.75">
      <c r="B21" s="68"/>
      <c r="C21" s="234" t="s">
        <v>2894</v>
      </c>
      <c r="D21" s="65"/>
      <c r="E21" s="65"/>
      <c r="F21" s="65"/>
      <c r="G21" s="65"/>
      <c r="H21" s="65"/>
      <c r="I21" s="194"/>
      <c r="J21" s="194"/>
      <c r="K21" s="70"/>
      <c r="L21" s="70"/>
      <c r="M21" s="65"/>
      <c r="P21" s="1488" t="e">
        <f>K18-#REF!</f>
        <v>#REF!</v>
      </c>
    </row>
    <row r="22" spans="2:16" ht="15.75">
      <c r="B22" s="68"/>
      <c r="C22" s="234" t="s">
        <v>2884</v>
      </c>
      <c r="D22" s="65"/>
      <c r="E22" s="65"/>
      <c r="F22" s="65"/>
      <c r="G22" s="65"/>
      <c r="H22" s="65"/>
      <c r="I22" s="194"/>
      <c r="J22" s="194"/>
      <c r="K22" s="70"/>
      <c r="L22" s="70"/>
      <c r="M22" s="65"/>
      <c r="O22" s="241"/>
    </row>
    <row r="23" spans="2:16" ht="15.75">
      <c r="B23" s="68"/>
      <c r="C23" s="234" t="s">
        <v>2629</v>
      </c>
      <c r="D23" s="65"/>
      <c r="E23" s="65"/>
      <c r="F23" s="65"/>
      <c r="G23" s="65"/>
      <c r="H23" s="65"/>
      <c r="I23" s="194"/>
      <c r="J23" s="194"/>
      <c r="K23" s="70"/>
      <c r="L23" s="70"/>
      <c r="M23" s="65"/>
      <c r="N23" s="1487"/>
      <c r="O23" s="220"/>
      <c r="P23" s="221"/>
    </row>
    <row r="24" spans="2:16" ht="15.75">
      <c r="B24" s="68"/>
      <c r="C24" s="234" t="s">
        <v>2885</v>
      </c>
      <c r="D24" s="65"/>
      <c r="E24" s="65"/>
      <c r="F24" s="65"/>
      <c r="G24" s="65"/>
      <c r="H24" s="65"/>
      <c r="I24" s="194"/>
      <c r="J24" s="194"/>
      <c r="K24" s="70"/>
      <c r="L24" s="70"/>
      <c r="M24" s="65"/>
      <c r="N24" s="204"/>
      <c r="O24" s="204"/>
      <c r="P24" s="221"/>
    </row>
    <row r="25" spans="2:16" ht="15.75">
      <c r="B25" s="68"/>
      <c r="C25" s="234" t="s">
        <v>2886</v>
      </c>
      <c r="D25" s="65"/>
      <c r="E25" s="65"/>
      <c r="F25" s="65"/>
      <c r="G25" s="65"/>
      <c r="H25" s="65"/>
      <c r="I25" s="194"/>
      <c r="J25" s="194"/>
      <c r="K25" s="70"/>
      <c r="L25" s="70"/>
      <c r="M25" s="65"/>
      <c r="N25" s="204"/>
      <c r="O25" s="204"/>
      <c r="P25" s="221"/>
    </row>
    <row r="26" spans="2:16" ht="15.75">
      <c r="B26" s="68"/>
      <c r="C26" s="234" t="s">
        <v>2887</v>
      </c>
      <c r="D26" s="65"/>
      <c r="E26" s="65"/>
      <c r="F26" s="65"/>
      <c r="G26" s="65"/>
      <c r="H26" s="65"/>
      <c r="I26" s="194"/>
      <c r="J26" s="194"/>
      <c r="K26" s="70"/>
      <c r="L26" s="70"/>
      <c r="M26" s="65"/>
    </row>
    <row r="27" spans="2:16" ht="15.75">
      <c r="B27" s="68"/>
      <c r="C27" s="234" t="s">
        <v>2642</v>
      </c>
      <c r="D27" s="65"/>
      <c r="E27" s="65"/>
      <c r="F27" s="65"/>
      <c r="G27" s="65"/>
      <c r="H27" s="65"/>
      <c r="I27" s="194"/>
      <c r="J27" s="194"/>
      <c r="K27" s="70"/>
      <c r="L27" s="70"/>
      <c r="M27" s="65"/>
    </row>
    <row r="28" spans="2:16" ht="15.75">
      <c r="B28" s="68"/>
      <c r="C28" s="234"/>
      <c r="D28" s="65"/>
      <c r="E28" s="65"/>
      <c r="F28" s="65"/>
      <c r="G28" s="65"/>
      <c r="H28" s="65"/>
      <c r="I28" s="194"/>
      <c r="J28" s="194"/>
      <c r="K28" s="70"/>
      <c r="L28" s="70"/>
      <c r="M28" s="65"/>
    </row>
    <row r="29" spans="2:16" ht="15.75">
      <c r="B29" s="68">
        <v>2</v>
      </c>
      <c r="C29" s="71" t="s">
        <v>2888</v>
      </c>
      <c r="D29" s="65"/>
      <c r="E29" s="65"/>
      <c r="F29" s="65"/>
      <c r="G29" s="65"/>
      <c r="H29" s="65"/>
      <c r="I29" s="194">
        <v>1</v>
      </c>
      <c r="J29" s="194" t="s">
        <v>1069</v>
      </c>
      <c r="K29" s="70" t="e">
        <f>#REF!</f>
        <v>#REF!</v>
      </c>
      <c r="L29" s="70" t="e">
        <f>I29*K29</f>
        <v>#REF!</v>
      </c>
      <c r="M29" s="65"/>
    </row>
    <row r="30" spans="2:16" ht="15.75">
      <c r="B30" s="68"/>
      <c r="C30" s="234" t="s">
        <v>2889</v>
      </c>
      <c r="D30" s="65"/>
      <c r="E30" s="65"/>
      <c r="F30" s="65"/>
      <c r="G30" s="65"/>
      <c r="H30" s="65"/>
      <c r="I30" s="194"/>
      <c r="J30" s="194"/>
      <c r="K30" s="70"/>
      <c r="L30" s="70"/>
      <c r="M30" s="65"/>
    </row>
    <row r="31" spans="2:16" ht="15.75">
      <c r="B31" s="68"/>
      <c r="C31" s="234" t="s">
        <v>2890</v>
      </c>
      <c r="D31" s="65"/>
      <c r="E31" s="65"/>
      <c r="F31" s="65"/>
      <c r="G31" s="65"/>
      <c r="H31" s="65"/>
      <c r="I31" s="194"/>
      <c r="J31" s="194"/>
      <c r="K31" s="70"/>
      <c r="L31" s="70"/>
      <c r="M31" s="65"/>
    </row>
    <row r="32" spans="2:16" ht="15.75">
      <c r="B32" s="68"/>
      <c r="C32" s="234" t="s">
        <v>2894</v>
      </c>
      <c r="D32" s="65"/>
      <c r="E32" s="65"/>
      <c r="F32" s="65"/>
      <c r="G32" s="65"/>
      <c r="H32" s="65"/>
      <c r="I32" s="194"/>
      <c r="J32" s="194"/>
      <c r="K32" s="70"/>
      <c r="L32" s="70"/>
      <c r="M32" s="65"/>
    </row>
    <row r="33" spans="2:13" ht="15.75">
      <c r="B33" s="68"/>
      <c r="C33" s="234" t="s">
        <v>2884</v>
      </c>
      <c r="D33" s="65"/>
      <c r="E33" s="65"/>
      <c r="F33" s="65"/>
      <c r="G33" s="65"/>
      <c r="H33" s="65"/>
      <c r="I33" s="194"/>
      <c r="J33" s="194"/>
      <c r="K33" s="70"/>
      <c r="L33" s="70"/>
      <c r="M33" s="65"/>
    </row>
    <row r="34" spans="2:13" ht="15.75">
      <c r="B34" s="68"/>
      <c r="C34" s="234" t="s">
        <v>2629</v>
      </c>
      <c r="D34" s="65"/>
      <c r="E34" s="65"/>
      <c r="F34" s="65"/>
      <c r="G34" s="65"/>
      <c r="H34" s="65"/>
      <c r="I34" s="194"/>
      <c r="J34" s="194"/>
      <c r="K34" s="70"/>
      <c r="L34" s="70"/>
      <c r="M34" s="65"/>
    </row>
    <row r="35" spans="2:13" ht="15.75">
      <c r="B35" s="68"/>
      <c r="C35" s="234" t="s">
        <v>2885</v>
      </c>
      <c r="D35" s="65"/>
      <c r="E35" s="65"/>
      <c r="F35" s="65"/>
      <c r="G35" s="65"/>
      <c r="H35" s="65"/>
      <c r="I35" s="194"/>
      <c r="J35" s="194"/>
      <c r="K35" s="70"/>
      <c r="L35" s="70"/>
      <c r="M35" s="65"/>
    </row>
    <row r="36" spans="2:13" ht="15.75">
      <c r="B36" s="68"/>
      <c r="C36" s="234" t="s">
        <v>2886</v>
      </c>
      <c r="D36" s="65"/>
      <c r="E36" s="65"/>
      <c r="F36" s="65"/>
      <c r="G36" s="65"/>
      <c r="H36" s="65"/>
      <c r="I36" s="194"/>
      <c r="J36" s="194"/>
      <c r="K36" s="70"/>
      <c r="L36" s="70"/>
      <c r="M36" s="65"/>
    </row>
    <row r="37" spans="2:13" ht="15.75">
      <c r="B37" s="68"/>
      <c r="C37" s="234" t="s">
        <v>2887</v>
      </c>
      <c r="D37" s="65"/>
      <c r="E37" s="65"/>
      <c r="F37" s="65"/>
      <c r="G37" s="65"/>
      <c r="H37" s="65"/>
      <c r="I37" s="194"/>
      <c r="J37" s="194"/>
      <c r="K37" s="70"/>
      <c r="L37" s="70"/>
      <c r="M37" s="65"/>
    </row>
    <row r="38" spans="2:13" ht="15.75">
      <c r="B38" s="68"/>
      <c r="C38" s="234" t="s">
        <v>2642</v>
      </c>
      <c r="D38" s="65"/>
      <c r="E38" s="65"/>
      <c r="F38" s="65"/>
      <c r="G38" s="65"/>
      <c r="H38" s="65"/>
      <c r="I38" s="194"/>
      <c r="J38" s="194"/>
      <c r="K38" s="70"/>
      <c r="L38" s="70"/>
      <c r="M38" s="65"/>
    </row>
    <row r="39" spans="2:13" ht="15.75">
      <c r="B39" s="68"/>
      <c r="C39" s="234"/>
      <c r="D39" s="65"/>
      <c r="E39" s="65"/>
      <c r="F39" s="65"/>
      <c r="G39" s="65"/>
      <c r="H39" s="65"/>
      <c r="I39" s="194"/>
      <c r="J39" s="194"/>
      <c r="K39" s="70"/>
      <c r="L39" s="70"/>
      <c r="M39" s="65"/>
    </row>
    <row r="40" spans="2:13" ht="15.75">
      <c r="B40" s="68">
        <v>3</v>
      </c>
      <c r="C40" s="71" t="s">
        <v>2891</v>
      </c>
      <c r="D40" s="65"/>
      <c r="E40" s="65"/>
      <c r="F40" s="65"/>
      <c r="G40" s="65"/>
      <c r="H40" s="65"/>
      <c r="I40" s="194">
        <v>1</v>
      </c>
      <c r="J40" s="194" t="s">
        <v>1069</v>
      </c>
      <c r="K40" s="70" t="e">
        <f>#REF!</f>
        <v>#REF!</v>
      </c>
      <c r="L40" s="70" t="e">
        <f>I40*K40</f>
        <v>#REF!</v>
      </c>
      <c r="M40" s="65"/>
    </row>
    <row r="41" spans="2:13" ht="15.75">
      <c r="B41" s="68"/>
      <c r="C41" s="234" t="s">
        <v>2892</v>
      </c>
      <c r="D41" s="65"/>
      <c r="E41" s="65"/>
      <c r="F41" s="65"/>
      <c r="G41" s="65"/>
      <c r="H41" s="65"/>
      <c r="I41" s="194"/>
      <c r="J41" s="194"/>
      <c r="K41" s="70"/>
      <c r="L41" s="70"/>
      <c r="M41" s="65"/>
    </row>
    <row r="42" spans="2:13" ht="15.75">
      <c r="B42" s="68"/>
      <c r="C42" s="234" t="s">
        <v>2893</v>
      </c>
      <c r="D42" s="65"/>
      <c r="E42" s="65"/>
      <c r="F42" s="65"/>
      <c r="G42" s="65"/>
      <c r="H42" s="65"/>
      <c r="I42" s="194"/>
      <c r="J42" s="194"/>
      <c r="K42" s="70"/>
      <c r="L42" s="70"/>
      <c r="M42" s="65"/>
    </row>
    <row r="43" spans="2:13" ht="15.75">
      <c r="B43" s="68"/>
      <c r="C43" s="234" t="s">
        <v>2894</v>
      </c>
      <c r="D43" s="65"/>
      <c r="E43" s="65"/>
      <c r="F43" s="65"/>
      <c r="G43" s="65"/>
      <c r="H43" s="65"/>
      <c r="I43" s="194"/>
      <c r="J43" s="194"/>
      <c r="K43" s="70"/>
      <c r="L43" s="70"/>
      <c r="M43" s="65"/>
    </row>
    <row r="44" spans="2:13" ht="15.75">
      <c r="B44" s="68"/>
      <c r="C44" s="234" t="s">
        <v>2895</v>
      </c>
      <c r="D44" s="65"/>
      <c r="E44" s="65"/>
      <c r="F44" s="65"/>
      <c r="G44" s="65"/>
      <c r="H44" s="65"/>
      <c r="I44" s="194"/>
      <c r="J44" s="194"/>
      <c r="K44" s="70"/>
      <c r="L44" s="70"/>
      <c r="M44" s="65"/>
    </row>
    <row r="45" spans="2:13" ht="15.75">
      <c r="B45" s="68"/>
      <c r="C45" s="234" t="s">
        <v>2629</v>
      </c>
      <c r="D45" s="65"/>
      <c r="E45" s="65"/>
      <c r="F45" s="65"/>
      <c r="G45" s="65"/>
      <c r="H45" s="65"/>
      <c r="I45" s="194"/>
      <c r="J45" s="194"/>
      <c r="K45" s="70"/>
      <c r="L45" s="70"/>
      <c r="M45" s="65"/>
    </row>
    <row r="46" spans="2:13" ht="15.75">
      <c r="B46" s="68"/>
      <c r="C46" s="234" t="s">
        <v>2885</v>
      </c>
      <c r="D46" s="65"/>
      <c r="E46" s="65"/>
      <c r="F46" s="65"/>
      <c r="G46" s="65"/>
      <c r="H46" s="65"/>
      <c r="I46" s="194"/>
      <c r="J46" s="194"/>
      <c r="K46" s="70"/>
      <c r="L46" s="70"/>
      <c r="M46" s="65"/>
    </row>
    <row r="47" spans="2:13" ht="15.75">
      <c r="B47" s="68"/>
      <c r="C47" s="234" t="s">
        <v>2886</v>
      </c>
      <c r="D47" s="65"/>
      <c r="E47" s="65"/>
      <c r="F47" s="65"/>
      <c r="G47" s="65"/>
      <c r="H47" s="65"/>
      <c r="I47" s="194"/>
      <c r="J47" s="194"/>
      <c r="K47" s="70"/>
      <c r="L47" s="70"/>
      <c r="M47" s="65"/>
    </row>
    <row r="48" spans="2:13" ht="15.75">
      <c r="B48" s="68"/>
      <c r="C48" s="234" t="s">
        <v>2887</v>
      </c>
      <c r="D48" s="65"/>
      <c r="E48" s="65"/>
      <c r="F48" s="65"/>
      <c r="G48" s="65"/>
      <c r="H48" s="65"/>
      <c r="I48" s="194"/>
      <c r="J48" s="194"/>
      <c r="K48" s="70"/>
      <c r="L48" s="70"/>
      <c r="M48" s="65"/>
    </row>
    <row r="49" spans="2:20" ht="15.75">
      <c r="B49" s="68"/>
      <c r="C49" s="234" t="s">
        <v>2642</v>
      </c>
      <c r="D49" s="65"/>
      <c r="E49" s="65"/>
      <c r="F49" s="65"/>
      <c r="G49" s="65"/>
      <c r="H49" s="65"/>
      <c r="I49" s="194"/>
      <c r="J49" s="194"/>
      <c r="K49" s="70"/>
      <c r="L49" s="70"/>
      <c r="M49" s="65"/>
    </row>
    <row r="50" spans="2:20" ht="15.75">
      <c r="B50" s="68"/>
      <c r="C50" s="234"/>
      <c r="D50" s="65"/>
      <c r="E50" s="65"/>
      <c r="F50" s="65"/>
      <c r="G50" s="65"/>
      <c r="H50" s="65"/>
      <c r="I50" s="194"/>
      <c r="J50" s="194"/>
      <c r="K50" s="70"/>
      <c r="L50" s="70"/>
      <c r="M50" s="65"/>
    </row>
    <row r="51" spans="2:20" ht="15.75">
      <c r="B51" s="56"/>
      <c r="C51" s="60"/>
      <c r="D51" s="60"/>
      <c r="E51" s="60"/>
      <c r="F51" s="60"/>
      <c r="G51" s="60"/>
      <c r="H51" s="60"/>
      <c r="I51" s="193"/>
      <c r="J51" s="193"/>
      <c r="K51" s="72"/>
      <c r="L51" s="73"/>
      <c r="M51" s="65"/>
    </row>
    <row r="52" spans="2:20" ht="15.75">
      <c r="B52" s="74"/>
      <c r="C52" s="65"/>
      <c r="D52" s="65"/>
      <c r="E52" s="65"/>
      <c r="F52" s="65"/>
      <c r="G52" s="65"/>
      <c r="H52" s="65"/>
      <c r="I52" s="65"/>
      <c r="J52" s="65"/>
      <c r="K52" s="75" t="s">
        <v>18</v>
      </c>
      <c r="L52" s="76" t="e">
        <f>SUM(L16:L51)</f>
        <v>#REF!</v>
      </c>
      <c r="M52" s="65"/>
    </row>
    <row r="53" spans="2:20" ht="16.5" thickBot="1">
      <c r="B53" s="65"/>
      <c r="C53" s="65"/>
      <c r="D53" s="65"/>
      <c r="E53" s="65"/>
      <c r="F53" s="65"/>
      <c r="G53" s="65"/>
      <c r="H53" s="65"/>
      <c r="I53" s="65"/>
      <c r="J53" s="77" t="s">
        <v>112</v>
      </c>
      <c r="K53" s="78">
        <v>0</v>
      </c>
      <c r="L53" s="79" t="e">
        <f>L52*K53</f>
        <v>#REF!</v>
      </c>
      <c r="M53" s="65"/>
    </row>
    <row r="54" spans="2:20" ht="15.75">
      <c r="B54" s="65"/>
      <c r="C54" s="65"/>
      <c r="D54" s="65"/>
      <c r="E54" s="65"/>
      <c r="F54" s="65"/>
      <c r="G54" s="65"/>
      <c r="H54" s="65"/>
      <c r="I54" s="65"/>
      <c r="J54" s="80" t="s">
        <v>18</v>
      </c>
      <c r="K54" s="71"/>
      <c r="L54" s="81" t="e">
        <f>L52-L53</f>
        <v>#REF!</v>
      </c>
      <c r="M54" s="65"/>
    </row>
    <row r="55" spans="2:20" ht="16.5" thickBot="1">
      <c r="B55" s="65"/>
      <c r="C55" s="65"/>
      <c r="D55" s="65"/>
      <c r="E55" s="65"/>
      <c r="F55" s="65"/>
      <c r="G55" s="65"/>
      <c r="H55" s="65"/>
      <c r="I55" s="65"/>
      <c r="J55" s="77" t="s">
        <v>113</v>
      </c>
      <c r="K55" s="78">
        <v>0.11</v>
      </c>
      <c r="L55" s="79" t="e">
        <f>L54*K55</f>
        <v>#REF!</v>
      </c>
      <c r="M55" s="65"/>
    </row>
    <row r="56" spans="2:20" ht="15.75">
      <c r="B56" s="65"/>
      <c r="C56" s="65"/>
      <c r="D56" s="65"/>
      <c r="E56" s="65"/>
      <c r="F56" s="65"/>
      <c r="G56" s="65"/>
      <c r="H56" s="65"/>
      <c r="I56" s="65"/>
      <c r="J56" s="80" t="s">
        <v>114</v>
      </c>
      <c r="K56" s="82"/>
      <c r="L56" s="81" t="e">
        <f>SUM(L54:L55)</f>
        <v>#REF!</v>
      </c>
      <c r="M56" s="65"/>
    </row>
    <row r="57" spans="2:20" ht="15.75">
      <c r="B57" s="83" t="s">
        <v>17</v>
      </c>
      <c r="C57" s="65"/>
      <c r="D57" s="65"/>
      <c r="E57" s="65"/>
      <c r="F57" s="65"/>
      <c r="G57" s="65"/>
      <c r="H57" s="65"/>
      <c r="I57" s="65"/>
      <c r="J57" s="84"/>
      <c r="K57" s="71"/>
      <c r="L57" s="81"/>
      <c r="M57" s="65"/>
    </row>
    <row r="58" spans="2:20" ht="15.75">
      <c r="B58" s="65" t="s">
        <v>152</v>
      </c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R58" s="85"/>
      <c r="S58" s="86">
        <v>0.3</v>
      </c>
      <c r="T58" s="87"/>
    </row>
    <row r="59" spans="2:20" ht="15.75">
      <c r="B59" s="65" t="s">
        <v>153</v>
      </c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Q59" s="241" t="e">
        <f>#REF!</f>
        <v>#REF!</v>
      </c>
      <c r="R59" s="88" t="e">
        <f>Q59*16500</f>
        <v>#REF!</v>
      </c>
      <c r="S59" s="88" t="e">
        <f>R59/(1-S58)</f>
        <v>#REF!</v>
      </c>
      <c r="T59" s="1781" t="e">
        <f>ROUNDUP(S59,-3)</f>
        <v>#REF!</v>
      </c>
    </row>
    <row r="60" spans="2:20" ht="15.75">
      <c r="B60" s="65" t="s">
        <v>154</v>
      </c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R60" s="85"/>
      <c r="S60" s="86">
        <f>S58</f>
        <v>0.3</v>
      </c>
      <c r="T60" s="90"/>
    </row>
    <row r="61" spans="2:20" ht="15.75">
      <c r="B61" s="65" t="s">
        <v>155</v>
      </c>
      <c r="R61" s="88">
        <v>22478560</v>
      </c>
      <c r="S61" s="88">
        <f>R61/(1-S60)</f>
        <v>32112228.571428575</v>
      </c>
      <c r="T61" s="89">
        <f>ROUNDUP(S61,-3)</f>
        <v>32113000</v>
      </c>
    </row>
    <row r="62" spans="2:20" ht="15.75">
      <c r="B62" s="65" t="s">
        <v>1057</v>
      </c>
      <c r="R62" s="85"/>
      <c r="S62" s="86">
        <f>S58</f>
        <v>0.3</v>
      </c>
      <c r="T62" s="90"/>
    </row>
    <row r="63" spans="2:20" ht="15.75">
      <c r="B63" s="65" t="s">
        <v>1066</v>
      </c>
      <c r="R63" s="85"/>
      <c r="S63" s="86"/>
      <c r="T63" s="90"/>
    </row>
    <row r="64" spans="2:20" ht="15.75">
      <c r="B64" s="65" t="s">
        <v>1067</v>
      </c>
      <c r="R64" s="85"/>
      <c r="S64" s="86"/>
      <c r="T64" s="90"/>
    </row>
    <row r="65" spans="2:20" ht="15.75">
      <c r="B65" s="65" t="s">
        <v>1068</v>
      </c>
      <c r="R65" s="85"/>
      <c r="S65" s="86"/>
      <c r="T65" s="90"/>
    </row>
    <row r="66" spans="2:20">
      <c r="R66" s="88">
        <v>30127857.199999999</v>
      </c>
      <c r="S66" s="88">
        <f>R66/(1-S62)</f>
        <v>43039796</v>
      </c>
      <c r="T66" s="89">
        <f>ROUNDUP(S66,-3)</f>
        <v>43040000</v>
      </c>
    </row>
    <row r="67" spans="2:20" ht="15.75">
      <c r="B67" s="65" t="s">
        <v>207</v>
      </c>
      <c r="J67" s="65" t="s">
        <v>208</v>
      </c>
      <c r="L67" s="65" t="s">
        <v>209</v>
      </c>
    </row>
    <row r="68" spans="2:20" ht="15.75">
      <c r="B68" s="65"/>
      <c r="J68" s="65"/>
      <c r="L68" s="65"/>
    </row>
    <row r="69" spans="2:20" ht="15.75">
      <c r="B69" s="65"/>
      <c r="J69" s="65"/>
      <c r="L69" s="65"/>
    </row>
    <row r="74" spans="2:20">
      <c r="B74" s="233" t="s">
        <v>2898</v>
      </c>
      <c r="J74" s="233" t="s">
        <v>210</v>
      </c>
      <c r="L74" s="233" t="s">
        <v>2589</v>
      </c>
    </row>
    <row r="75" spans="2:20">
      <c r="B75" s="91" t="s">
        <v>150</v>
      </c>
    </row>
    <row r="76" spans="2:20">
      <c r="B76" s="92" t="s">
        <v>1043</v>
      </c>
    </row>
    <row r="77" spans="2:20">
      <c r="B77" s="93" t="s">
        <v>212</v>
      </c>
    </row>
    <row r="78" spans="2:20">
      <c r="B78" s="94" t="s">
        <v>213</v>
      </c>
    </row>
  </sheetData>
  <mergeCells count="5">
    <mergeCell ref="H8:J9"/>
    <mergeCell ref="K8:K9"/>
    <mergeCell ref="L8:L9"/>
    <mergeCell ref="H10:J10"/>
    <mergeCell ref="C15:H15"/>
  </mergeCells>
  <phoneticPr fontId="66" type="noConversion"/>
  <printOptions horizontalCentered="1"/>
  <pageMargins left="0.70866141732283505" right="0.70866141732283505" top="0.40748031499999998" bottom="0.74803149606299202" header="0.15748031496063" footer="0.31496062992126"/>
  <pageSetup paperSize="9" scale="61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B1:W76"/>
  <sheetViews>
    <sheetView zoomScale="85" zoomScaleNormal="85" workbookViewId="0">
      <selection activeCell="R11" sqref="R11"/>
    </sheetView>
  </sheetViews>
  <sheetFormatPr defaultRowHeight="15"/>
  <cols>
    <col min="2" max="2" width="3.28515625" style="95" customWidth="1"/>
    <col min="3" max="3" width="57.5703125" customWidth="1"/>
    <col min="4" max="4" width="5.85546875" customWidth="1"/>
    <col min="5" max="5" width="16.28515625" customWidth="1"/>
    <col min="6" max="6" width="7.28515625" customWidth="1"/>
    <col min="7" max="7" width="17.140625" customWidth="1"/>
    <col min="8" max="8" width="7.140625" customWidth="1"/>
    <col min="9" max="9" width="4" hidden="1" customWidth="1"/>
    <col min="10" max="10" width="16.28515625" hidden="1" customWidth="1"/>
    <col min="11" max="11" width="7.28515625" hidden="1" customWidth="1"/>
    <col min="12" max="12" width="17.140625" hidden="1" customWidth="1"/>
    <col min="13" max="13" width="7.140625" hidden="1" customWidth="1"/>
    <col min="14" max="14" width="10" bestFit="1" customWidth="1"/>
    <col min="16" max="16" width="14.28515625" bestFit="1" customWidth="1"/>
    <col min="18" max="22" width="14.28515625" bestFit="1" customWidth="1"/>
    <col min="254" max="254" width="3.28515625" customWidth="1"/>
    <col min="255" max="255" width="56.5703125" customWidth="1"/>
    <col min="256" max="256" width="5.85546875" customWidth="1"/>
    <col min="257" max="257" width="13.140625" customWidth="1"/>
    <col min="258" max="258" width="7.28515625" customWidth="1"/>
    <col min="259" max="259" width="17.140625" customWidth="1"/>
    <col min="260" max="260" width="7.140625" customWidth="1"/>
    <col min="261" max="265" width="0" hidden="1" customWidth="1"/>
    <col min="266" max="266" width="7.42578125" customWidth="1"/>
    <col min="267" max="267" width="16.140625" customWidth="1"/>
    <col min="268" max="268" width="6.7109375" customWidth="1"/>
    <col min="269" max="269" width="14.140625" customWidth="1"/>
    <col min="510" max="510" width="3.28515625" customWidth="1"/>
    <col min="511" max="511" width="56.5703125" customWidth="1"/>
    <col min="512" max="512" width="5.85546875" customWidth="1"/>
    <col min="513" max="513" width="13.140625" customWidth="1"/>
    <col min="514" max="514" width="7.28515625" customWidth="1"/>
    <col min="515" max="515" width="17.140625" customWidth="1"/>
    <col min="516" max="516" width="7.140625" customWidth="1"/>
    <col min="517" max="521" width="0" hidden="1" customWidth="1"/>
    <col min="522" max="522" width="7.42578125" customWidth="1"/>
    <col min="523" max="523" width="16.140625" customWidth="1"/>
    <col min="524" max="524" width="6.7109375" customWidth="1"/>
    <col min="525" max="525" width="14.140625" customWidth="1"/>
    <col min="766" max="766" width="3.28515625" customWidth="1"/>
    <col min="767" max="767" width="56.5703125" customWidth="1"/>
    <col min="768" max="768" width="5.85546875" customWidth="1"/>
    <col min="769" max="769" width="13.140625" customWidth="1"/>
    <col min="770" max="770" width="7.28515625" customWidth="1"/>
    <col min="771" max="771" width="17.140625" customWidth="1"/>
    <col min="772" max="772" width="7.140625" customWidth="1"/>
    <col min="773" max="777" width="0" hidden="1" customWidth="1"/>
    <col min="778" max="778" width="7.42578125" customWidth="1"/>
    <col min="779" max="779" width="16.140625" customWidth="1"/>
    <col min="780" max="780" width="6.7109375" customWidth="1"/>
    <col min="781" max="781" width="14.140625" customWidth="1"/>
    <col min="1022" max="1022" width="3.28515625" customWidth="1"/>
    <col min="1023" max="1023" width="56.5703125" customWidth="1"/>
    <col min="1024" max="1024" width="5.85546875" customWidth="1"/>
    <col min="1025" max="1025" width="13.140625" customWidth="1"/>
    <col min="1026" max="1026" width="7.28515625" customWidth="1"/>
    <col min="1027" max="1027" width="17.140625" customWidth="1"/>
    <col min="1028" max="1028" width="7.140625" customWidth="1"/>
    <col min="1029" max="1033" width="0" hidden="1" customWidth="1"/>
    <col min="1034" max="1034" width="7.42578125" customWidth="1"/>
    <col min="1035" max="1035" width="16.140625" customWidth="1"/>
    <col min="1036" max="1036" width="6.7109375" customWidth="1"/>
    <col min="1037" max="1037" width="14.140625" customWidth="1"/>
    <col min="1278" max="1278" width="3.28515625" customWidth="1"/>
    <col min="1279" max="1279" width="56.5703125" customWidth="1"/>
    <col min="1280" max="1280" width="5.85546875" customWidth="1"/>
    <col min="1281" max="1281" width="13.140625" customWidth="1"/>
    <col min="1282" max="1282" width="7.28515625" customWidth="1"/>
    <col min="1283" max="1283" width="17.140625" customWidth="1"/>
    <col min="1284" max="1284" width="7.140625" customWidth="1"/>
    <col min="1285" max="1289" width="0" hidden="1" customWidth="1"/>
    <col min="1290" max="1290" width="7.42578125" customWidth="1"/>
    <col min="1291" max="1291" width="16.140625" customWidth="1"/>
    <col min="1292" max="1292" width="6.7109375" customWidth="1"/>
    <col min="1293" max="1293" width="14.140625" customWidth="1"/>
    <col min="1534" max="1534" width="3.28515625" customWidth="1"/>
    <col min="1535" max="1535" width="56.5703125" customWidth="1"/>
    <col min="1536" max="1536" width="5.85546875" customWidth="1"/>
    <col min="1537" max="1537" width="13.140625" customWidth="1"/>
    <col min="1538" max="1538" width="7.28515625" customWidth="1"/>
    <col min="1539" max="1539" width="17.140625" customWidth="1"/>
    <col min="1540" max="1540" width="7.140625" customWidth="1"/>
    <col min="1541" max="1545" width="0" hidden="1" customWidth="1"/>
    <col min="1546" max="1546" width="7.42578125" customWidth="1"/>
    <col min="1547" max="1547" width="16.140625" customWidth="1"/>
    <col min="1548" max="1548" width="6.7109375" customWidth="1"/>
    <col min="1549" max="1549" width="14.140625" customWidth="1"/>
    <col min="1790" max="1790" width="3.28515625" customWidth="1"/>
    <col min="1791" max="1791" width="56.5703125" customWidth="1"/>
    <col min="1792" max="1792" width="5.85546875" customWidth="1"/>
    <col min="1793" max="1793" width="13.140625" customWidth="1"/>
    <col min="1794" max="1794" width="7.28515625" customWidth="1"/>
    <col min="1795" max="1795" width="17.140625" customWidth="1"/>
    <col min="1796" max="1796" width="7.140625" customWidth="1"/>
    <col min="1797" max="1801" width="0" hidden="1" customWidth="1"/>
    <col min="1802" max="1802" width="7.42578125" customWidth="1"/>
    <col min="1803" max="1803" width="16.140625" customWidth="1"/>
    <col min="1804" max="1804" width="6.7109375" customWidth="1"/>
    <col min="1805" max="1805" width="14.140625" customWidth="1"/>
    <col min="2046" max="2046" width="3.28515625" customWidth="1"/>
    <col min="2047" max="2047" width="56.5703125" customWidth="1"/>
    <col min="2048" max="2048" width="5.85546875" customWidth="1"/>
    <col min="2049" max="2049" width="13.140625" customWidth="1"/>
    <col min="2050" max="2050" width="7.28515625" customWidth="1"/>
    <col min="2051" max="2051" width="17.140625" customWidth="1"/>
    <col min="2052" max="2052" width="7.140625" customWidth="1"/>
    <col min="2053" max="2057" width="0" hidden="1" customWidth="1"/>
    <col min="2058" max="2058" width="7.42578125" customWidth="1"/>
    <col min="2059" max="2059" width="16.140625" customWidth="1"/>
    <col min="2060" max="2060" width="6.7109375" customWidth="1"/>
    <col min="2061" max="2061" width="14.140625" customWidth="1"/>
    <col min="2302" max="2302" width="3.28515625" customWidth="1"/>
    <col min="2303" max="2303" width="56.5703125" customWidth="1"/>
    <col min="2304" max="2304" width="5.85546875" customWidth="1"/>
    <col min="2305" max="2305" width="13.140625" customWidth="1"/>
    <col min="2306" max="2306" width="7.28515625" customWidth="1"/>
    <col min="2307" max="2307" width="17.140625" customWidth="1"/>
    <col min="2308" max="2308" width="7.140625" customWidth="1"/>
    <col min="2309" max="2313" width="0" hidden="1" customWidth="1"/>
    <col min="2314" max="2314" width="7.42578125" customWidth="1"/>
    <col min="2315" max="2315" width="16.140625" customWidth="1"/>
    <col min="2316" max="2316" width="6.7109375" customWidth="1"/>
    <col min="2317" max="2317" width="14.140625" customWidth="1"/>
    <col min="2558" max="2558" width="3.28515625" customWidth="1"/>
    <col min="2559" max="2559" width="56.5703125" customWidth="1"/>
    <col min="2560" max="2560" width="5.85546875" customWidth="1"/>
    <col min="2561" max="2561" width="13.140625" customWidth="1"/>
    <col min="2562" max="2562" width="7.28515625" customWidth="1"/>
    <col min="2563" max="2563" width="17.140625" customWidth="1"/>
    <col min="2564" max="2564" width="7.140625" customWidth="1"/>
    <col min="2565" max="2569" width="0" hidden="1" customWidth="1"/>
    <col min="2570" max="2570" width="7.42578125" customWidth="1"/>
    <col min="2571" max="2571" width="16.140625" customWidth="1"/>
    <col min="2572" max="2572" width="6.7109375" customWidth="1"/>
    <col min="2573" max="2573" width="14.140625" customWidth="1"/>
    <col min="2814" max="2814" width="3.28515625" customWidth="1"/>
    <col min="2815" max="2815" width="56.5703125" customWidth="1"/>
    <col min="2816" max="2816" width="5.85546875" customWidth="1"/>
    <col min="2817" max="2817" width="13.140625" customWidth="1"/>
    <col min="2818" max="2818" width="7.28515625" customWidth="1"/>
    <col min="2819" max="2819" width="17.140625" customWidth="1"/>
    <col min="2820" max="2820" width="7.140625" customWidth="1"/>
    <col min="2821" max="2825" width="0" hidden="1" customWidth="1"/>
    <col min="2826" max="2826" width="7.42578125" customWidth="1"/>
    <col min="2827" max="2827" width="16.140625" customWidth="1"/>
    <col min="2828" max="2828" width="6.7109375" customWidth="1"/>
    <col min="2829" max="2829" width="14.140625" customWidth="1"/>
    <col min="3070" max="3070" width="3.28515625" customWidth="1"/>
    <col min="3071" max="3071" width="56.5703125" customWidth="1"/>
    <col min="3072" max="3072" width="5.85546875" customWidth="1"/>
    <col min="3073" max="3073" width="13.140625" customWidth="1"/>
    <col min="3074" max="3074" width="7.28515625" customWidth="1"/>
    <col min="3075" max="3075" width="17.140625" customWidth="1"/>
    <col min="3076" max="3076" width="7.140625" customWidth="1"/>
    <col min="3077" max="3081" width="0" hidden="1" customWidth="1"/>
    <col min="3082" max="3082" width="7.42578125" customWidth="1"/>
    <col min="3083" max="3083" width="16.140625" customWidth="1"/>
    <col min="3084" max="3084" width="6.7109375" customWidth="1"/>
    <col min="3085" max="3085" width="14.140625" customWidth="1"/>
    <col min="3326" max="3326" width="3.28515625" customWidth="1"/>
    <col min="3327" max="3327" width="56.5703125" customWidth="1"/>
    <col min="3328" max="3328" width="5.85546875" customWidth="1"/>
    <col min="3329" max="3329" width="13.140625" customWidth="1"/>
    <col min="3330" max="3330" width="7.28515625" customWidth="1"/>
    <col min="3331" max="3331" width="17.140625" customWidth="1"/>
    <col min="3332" max="3332" width="7.140625" customWidth="1"/>
    <col min="3333" max="3337" width="0" hidden="1" customWidth="1"/>
    <col min="3338" max="3338" width="7.42578125" customWidth="1"/>
    <col min="3339" max="3339" width="16.140625" customWidth="1"/>
    <col min="3340" max="3340" width="6.7109375" customWidth="1"/>
    <col min="3341" max="3341" width="14.140625" customWidth="1"/>
    <col min="3582" max="3582" width="3.28515625" customWidth="1"/>
    <col min="3583" max="3583" width="56.5703125" customWidth="1"/>
    <col min="3584" max="3584" width="5.85546875" customWidth="1"/>
    <col min="3585" max="3585" width="13.140625" customWidth="1"/>
    <col min="3586" max="3586" width="7.28515625" customWidth="1"/>
    <col min="3587" max="3587" width="17.140625" customWidth="1"/>
    <col min="3588" max="3588" width="7.140625" customWidth="1"/>
    <col min="3589" max="3593" width="0" hidden="1" customWidth="1"/>
    <col min="3594" max="3594" width="7.42578125" customWidth="1"/>
    <col min="3595" max="3595" width="16.140625" customWidth="1"/>
    <col min="3596" max="3596" width="6.7109375" customWidth="1"/>
    <col min="3597" max="3597" width="14.140625" customWidth="1"/>
    <col min="3838" max="3838" width="3.28515625" customWidth="1"/>
    <col min="3839" max="3839" width="56.5703125" customWidth="1"/>
    <col min="3840" max="3840" width="5.85546875" customWidth="1"/>
    <col min="3841" max="3841" width="13.140625" customWidth="1"/>
    <col min="3842" max="3842" width="7.28515625" customWidth="1"/>
    <col min="3843" max="3843" width="17.140625" customWidth="1"/>
    <col min="3844" max="3844" width="7.140625" customWidth="1"/>
    <col min="3845" max="3849" width="0" hidden="1" customWidth="1"/>
    <col min="3850" max="3850" width="7.42578125" customWidth="1"/>
    <col min="3851" max="3851" width="16.140625" customWidth="1"/>
    <col min="3852" max="3852" width="6.7109375" customWidth="1"/>
    <col min="3853" max="3853" width="14.140625" customWidth="1"/>
    <col min="4094" max="4094" width="3.28515625" customWidth="1"/>
    <col min="4095" max="4095" width="56.5703125" customWidth="1"/>
    <col min="4096" max="4096" width="5.85546875" customWidth="1"/>
    <col min="4097" max="4097" width="13.140625" customWidth="1"/>
    <col min="4098" max="4098" width="7.28515625" customWidth="1"/>
    <col min="4099" max="4099" width="17.140625" customWidth="1"/>
    <col min="4100" max="4100" width="7.140625" customWidth="1"/>
    <col min="4101" max="4105" width="0" hidden="1" customWidth="1"/>
    <col min="4106" max="4106" width="7.42578125" customWidth="1"/>
    <col min="4107" max="4107" width="16.140625" customWidth="1"/>
    <col min="4108" max="4108" width="6.7109375" customWidth="1"/>
    <col min="4109" max="4109" width="14.140625" customWidth="1"/>
    <col min="4350" max="4350" width="3.28515625" customWidth="1"/>
    <col min="4351" max="4351" width="56.5703125" customWidth="1"/>
    <col min="4352" max="4352" width="5.85546875" customWidth="1"/>
    <col min="4353" max="4353" width="13.140625" customWidth="1"/>
    <col min="4354" max="4354" width="7.28515625" customWidth="1"/>
    <col min="4355" max="4355" width="17.140625" customWidth="1"/>
    <col min="4356" max="4356" width="7.140625" customWidth="1"/>
    <col min="4357" max="4361" width="0" hidden="1" customWidth="1"/>
    <col min="4362" max="4362" width="7.42578125" customWidth="1"/>
    <col min="4363" max="4363" width="16.140625" customWidth="1"/>
    <col min="4364" max="4364" width="6.7109375" customWidth="1"/>
    <col min="4365" max="4365" width="14.140625" customWidth="1"/>
    <col min="4606" max="4606" width="3.28515625" customWidth="1"/>
    <col min="4607" max="4607" width="56.5703125" customWidth="1"/>
    <col min="4608" max="4608" width="5.85546875" customWidth="1"/>
    <col min="4609" max="4609" width="13.140625" customWidth="1"/>
    <col min="4610" max="4610" width="7.28515625" customWidth="1"/>
    <col min="4611" max="4611" width="17.140625" customWidth="1"/>
    <col min="4612" max="4612" width="7.140625" customWidth="1"/>
    <col min="4613" max="4617" width="0" hidden="1" customWidth="1"/>
    <col min="4618" max="4618" width="7.42578125" customWidth="1"/>
    <col min="4619" max="4619" width="16.140625" customWidth="1"/>
    <col min="4620" max="4620" width="6.7109375" customWidth="1"/>
    <col min="4621" max="4621" width="14.140625" customWidth="1"/>
    <col min="4862" max="4862" width="3.28515625" customWidth="1"/>
    <col min="4863" max="4863" width="56.5703125" customWidth="1"/>
    <col min="4864" max="4864" width="5.85546875" customWidth="1"/>
    <col min="4865" max="4865" width="13.140625" customWidth="1"/>
    <col min="4866" max="4866" width="7.28515625" customWidth="1"/>
    <col min="4867" max="4867" width="17.140625" customWidth="1"/>
    <col min="4868" max="4868" width="7.140625" customWidth="1"/>
    <col min="4869" max="4873" width="0" hidden="1" customWidth="1"/>
    <col min="4874" max="4874" width="7.42578125" customWidth="1"/>
    <col min="4875" max="4875" width="16.140625" customWidth="1"/>
    <col min="4876" max="4876" width="6.7109375" customWidth="1"/>
    <col min="4877" max="4877" width="14.140625" customWidth="1"/>
    <col min="5118" max="5118" width="3.28515625" customWidth="1"/>
    <col min="5119" max="5119" width="56.5703125" customWidth="1"/>
    <col min="5120" max="5120" width="5.85546875" customWidth="1"/>
    <col min="5121" max="5121" width="13.140625" customWidth="1"/>
    <col min="5122" max="5122" width="7.28515625" customWidth="1"/>
    <col min="5123" max="5123" width="17.140625" customWidth="1"/>
    <col min="5124" max="5124" width="7.140625" customWidth="1"/>
    <col min="5125" max="5129" width="0" hidden="1" customWidth="1"/>
    <col min="5130" max="5130" width="7.42578125" customWidth="1"/>
    <col min="5131" max="5131" width="16.140625" customWidth="1"/>
    <col min="5132" max="5132" width="6.7109375" customWidth="1"/>
    <col min="5133" max="5133" width="14.140625" customWidth="1"/>
    <col min="5374" max="5374" width="3.28515625" customWidth="1"/>
    <col min="5375" max="5375" width="56.5703125" customWidth="1"/>
    <col min="5376" max="5376" width="5.85546875" customWidth="1"/>
    <col min="5377" max="5377" width="13.140625" customWidth="1"/>
    <col min="5378" max="5378" width="7.28515625" customWidth="1"/>
    <col min="5379" max="5379" width="17.140625" customWidth="1"/>
    <col min="5380" max="5380" width="7.140625" customWidth="1"/>
    <col min="5381" max="5385" width="0" hidden="1" customWidth="1"/>
    <col min="5386" max="5386" width="7.42578125" customWidth="1"/>
    <col min="5387" max="5387" width="16.140625" customWidth="1"/>
    <col min="5388" max="5388" width="6.7109375" customWidth="1"/>
    <col min="5389" max="5389" width="14.140625" customWidth="1"/>
    <col min="5630" max="5630" width="3.28515625" customWidth="1"/>
    <col min="5631" max="5631" width="56.5703125" customWidth="1"/>
    <col min="5632" max="5632" width="5.85546875" customWidth="1"/>
    <col min="5633" max="5633" width="13.140625" customWidth="1"/>
    <col min="5634" max="5634" width="7.28515625" customWidth="1"/>
    <col min="5635" max="5635" width="17.140625" customWidth="1"/>
    <col min="5636" max="5636" width="7.140625" customWidth="1"/>
    <col min="5637" max="5641" width="0" hidden="1" customWidth="1"/>
    <col min="5642" max="5642" width="7.42578125" customWidth="1"/>
    <col min="5643" max="5643" width="16.140625" customWidth="1"/>
    <col min="5644" max="5644" width="6.7109375" customWidth="1"/>
    <col min="5645" max="5645" width="14.140625" customWidth="1"/>
    <col min="5886" max="5886" width="3.28515625" customWidth="1"/>
    <col min="5887" max="5887" width="56.5703125" customWidth="1"/>
    <col min="5888" max="5888" width="5.85546875" customWidth="1"/>
    <col min="5889" max="5889" width="13.140625" customWidth="1"/>
    <col min="5890" max="5890" width="7.28515625" customWidth="1"/>
    <col min="5891" max="5891" width="17.140625" customWidth="1"/>
    <col min="5892" max="5892" width="7.140625" customWidth="1"/>
    <col min="5893" max="5897" width="0" hidden="1" customWidth="1"/>
    <col min="5898" max="5898" width="7.42578125" customWidth="1"/>
    <col min="5899" max="5899" width="16.140625" customWidth="1"/>
    <col min="5900" max="5900" width="6.7109375" customWidth="1"/>
    <col min="5901" max="5901" width="14.140625" customWidth="1"/>
    <col min="6142" max="6142" width="3.28515625" customWidth="1"/>
    <col min="6143" max="6143" width="56.5703125" customWidth="1"/>
    <col min="6144" max="6144" width="5.85546875" customWidth="1"/>
    <col min="6145" max="6145" width="13.140625" customWidth="1"/>
    <col min="6146" max="6146" width="7.28515625" customWidth="1"/>
    <col min="6147" max="6147" width="17.140625" customWidth="1"/>
    <col min="6148" max="6148" width="7.140625" customWidth="1"/>
    <col min="6149" max="6153" width="0" hidden="1" customWidth="1"/>
    <col min="6154" max="6154" width="7.42578125" customWidth="1"/>
    <col min="6155" max="6155" width="16.140625" customWidth="1"/>
    <col min="6156" max="6156" width="6.7109375" customWidth="1"/>
    <col min="6157" max="6157" width="14.140625" customWidth="1"/>
    <col min="6398" max="6398" width="3.28515625" customWidth="1"/>
    <col min="6399" max="6399" width="56.5703125" customWidth="1"/>
    <col min="6400" max="6400" width="5.85546875" customWidth="1"/>
    <col min="6401" max="6401" width="13.140625" customWidth="1"/>
    <col min="6402" max="6402" width="7.28515625" customWidth="1"/>
    <col min="6403" max="6403" width="17.140625" customWidth="1"/>
    <col min="6404" max="6404" width="7.140625" customWidth="1"/>
    <col min="6405" max="6409" width="0" hidden="1" customWidth="1"/>
    <col min="6410" max="6410" width="7.42578125" customWidth="1"/>
    <col min="6411" max="6411" width="16.140625" customWidth="1"/>
    <col min="6412" max="6412" width="6.7109375" customWidth="1"/>
    <col min="6413" max="6413" width="14.140625" customWidth="1"/>
    <col min="6654" max="6654" width="3.28515625" customWidth="1"/>
    <col min="6655" max="6655" width="56.5703125" customWidth="1"/>
    <col min="6656" max="6656" width="5.85546875" customWidth="1"/>
    <col min="6657" max="6657" width="13.140625" customWidth="1"/>
    <col min="6658" max="6658" width="7.28515625" customWidth="1"/>
    <col min="6659" max="6659" width="17.140625" customWidth="1"/>
    <col min="6660" max="6660" width="7.140625" customWidth="1"/>
    <col min="6661" max="6665" width="0" hidden="1" customWidth="1"/>
    <col min="6666" max="6666" width="7.42578125" customWidth="1"/>
    <col min="6667" max="6667" width="16.140625" customWidth="1"/>
    <col min="6668" max="6668" width="6.7109375" customWidth="1"/>
    <col min="6669" max="6669" width="14.140625" customWidth="1"/>
    <col min="6910" max="6910" width="3.28515625" customWidth="1"/>
    <col min="6911" max="6911" width="56.5703125" customWidth="1"/>
    <col min="6912" max="6912" width="5.85546875" customWidth="1"/>
    <col min="6913" max="6913" width="13.140625" customWidth="1"/>
    <col min="6914" max="6914" width="7.28515625" customWidth="1"/>
    <col min="6915" max="6915" width="17.140625" customWidth="1"/>
    <col min="6916" max="6916" width="7.140625" customWidth="1"/>
    <col min="6917" max="6921" width="0" hidden="1" customWidth="1"/>
    <col min="6922" max="6922" width="7.42578125" customWidth="1"/>
    <col min="6923" max="6923" width="16.140625" customWidth="1"/>
    <col min="6924" max="6924" width="6.7109375" customWidth="1"/>
    <col min="6925" max="6925" width="14.140625" customWidth="1"/>
    <col min="7166" max="7166" width="3.28515625" customWidth="1"/>
    <col min="7167" max="7167" width="56.5703125" customWidth="1"/>
    <col min="7168" max="7168" width="5.85546875" customWidth="1"/>
    <col min="7169" max="7169" width="13.140625" customWidth="1"/>
    <col min="7170" max="7170" width="7.28515625" customWidth="1"/>
    <col min="7171" max="7171" width="17.140625" customWidth="1"/>
    <col min="7172" max="7172" width="7.140625" customWidth="1"/>
    <col min="7173" max="7177" width="0" hidden="1" customWidth="1"/>
    <col min="7178" max="7178" width="7.42578125" customWidth="1"/>
    <col min="7179" max="7179" width="16.140625" customWidth="1"/>
    <col min="7180" max="7180" width="6.7109375" customWidth="1"/>
    <col min="7181" max="7181" width="14.140625" customWidth="1"/>
    <col min="7422" max="7422" width="3.28515625" customWidth="1"/>
    <col min="7423" max="7423" width="56.5703125" customWidth="1"/>
    <col min="7424" max="7424" width="5.85546875" customWidth="1"/>
    <col min="7425" max="7425" width="13.140625" customWidth="1"/>
    <col min="7426" max="7426" width="7.28515625" customWidth="1"/>
    <col min="7427" max="7427" width="17.140625" customWidth="1"/>
    <col min="7428" max="7428" width="7.140625" customWidth="1"/>
    <col min="7429" max="7433" width="0" hidden="1" customWidth="1"/>
    <col min="7434" max="7434" width="7.42578125" customWidth="1"/>
    <col min="7435" max="7435" width="16.140625" customWidth="1"/>
    <col min="7436" max="7436" width="6.7109375" customWidth="1"/>
    <col min="7437" max="7437" width="14.140625" customWidth="1"/>
    <col min="7678" max="7678" width="3.28515625" customWidth="1"/>
    <col min="7679" max="7679" width="56.5703125" customWidth="1"/>
    <col min="7680" max="7680" width="5.85546875" customWidth="1"/>
    <col min="7681" max="7681" width="13.140625" customWidth="1"/>
    <col min="7682" max="7682" width="7.28515625" customWidth="1"/>
    <col min="7683" max="7683" width="17.140625" customWidth="1"/>
    <col min="7684" max="7684" width="7.140625" customWidth="1"/>
    <col min="7685" max="7689" width="0" hidden="1" customWidth="1"/>
    <col min="7690" max="7690" width="7.42578125" customWidth="1"/>
    <col min="7691" max="7691" width="16.140625" customWidth="1"/>
    <col min="7692" max="7692" width="6.7109375" customWidth="1"/>
    <col min="7693" max="7693" width="14.140625" customWidth="1"/>
    <col min="7934" max="7934" width="3.28515625" customWidth="1"/>
    <col min="7935" max="7935" width="56.5703125" customWidth="1"/>
    <col min="7936" max="7936" width="5.85546875" customWidth="1"/>
    <col min="7937" max="7937" width="13.140625" customWidth="1"/>
    <col min="7938" max="7938" width="7.28515625" customWidth="1"/>
    <col min="7939" max="7939" width="17.140625" customWidth="1"/>
    <col min="7940" max="7940" width="7.140625" customWidth="1"/>
    <col min="7941" max="7945" width="0" hidden="1" customWidth="1"/>
    <col min="7946" max="7946" width="7.42578125" customWidth="1"/>
    <col min="7947" max="7947" width="16.140625" customWidth="1"/>
    <col min="7948" max="7948" width="6.7109375" customWidth="1"/>
    <col min="7949" max="7949" width="14.140625" customWidth="1"/>
    <col min="8190" max="8190" width="3.28515625" customWidth="1"/>
    <col min="8191" max="8191" width="56.5703125" customWidth="1"/>
    <col min="8192" max="8192" width="5.85546875" customWidth="1"/>
    <col min="8193" max="8193" width="13.140625" customWidth="1"/>
    <col min="8194" max="8194" width="7.28515625" customWidth="1"/>
    <col min="8195" max="8195" width="17.140625" customWidth="1"/>
    <col min="8196" max="8196" width="7.140625" customWidth="1"/>
    <col min="8197" max="8201" width="0" hidden="1" customWidth="1"/>
    <col min="8202" max="8202" width="7.42578125" customWidth="1"/>
    <col min="8203" max="8203" width="16.140625" customWidth="1"/>
    <col min="8204" max="8204" width="6.7109375" customWidth="1"/>
    <col min="8205" max="8205" width="14.140625" customWidth="1"/>
    <col min="8446" max="8446" width="3.28515625" customWidth="1"/>
    <col min="8447" max="8447" width="56.5703125" customWidth="1"/>
    <col min="8448" max="8448" width="5.85546875" customWidth="1"/>
    <col min="8449" max="8449" width="13.140625" customWidth="1"/>
    <col min="8450" max="8450" width="7.28515625" customWidth="1"/>
    <col min="8451" max="8451" width="17.140625" customWidth="1"/>
    <col min="8452" max="8452" width="7.140625" customWidth="1"/>
    <col min="8453" max="8457" width="0" hidden="1" customWidth="1"/>
    <col min="8458" max="8458" width="7.42578125" customWidth="1"/>
    <col min="8459" max="8459" width="16.140625" customWidth="1"/>
    <col min="8460" max="8460" width="6.7109375" customWidth="1"/>
    <col min="8461" max="8461" width="14.140625" customWidth="1"/>
    <col min="8702" max="8702" width="3.28515625" customWidth="1"/>
    <col min="8703" max="8703" width="56.5703125" customWidth="1"/>
    <col min="8704" max="8704" width="5.85546875" customWidth="1"/>
    <col min="8705" max="8705" width="13.140625" customWidth="1"/>
    <col min="8706" max="8706" width="7.28515625" customWidth="1"/>
    <col min="8707" max="8707" width="17.140625" customWidth="1"/>
    <col min="8708" max="8708" width="7.140625" customWidth="1"/>
    <col min="8709" max="8713" width="0" hidden="1" customWidth="1"/>
    <col min="8714" max="8714" width="7.42578125" customWidth="1"/>
    <col min="8715" max="8715" width="16.140625" customWidth="1"/>
    <col min="8716" max="8716" width="6.7109375" customWidth="1"/>
    <col min="8717" max="8717" width="14.140625" customWidth="1"/>
    <col min="8958" max="8958" width="3.28515625" customWidth="1"/>
    <col min="8959" max="8959" width="56.5703125" customWidth="1"/>
    <col min="8960" max="8960" width="5.85546875" customWidth="1"/>
    <col min="8961" max="8961" width="13.140625" customWidth="1"/>
    <col min="8962" max="8962" width="7.28515625" customWidth="1"/>
    <col min="8963" max="8963" width="17.140625" customWidth="1"/>
    <col min="8964" max="8964" width="7.140625" customWidth="1"/>
    <col min="8965" max="8969" width="0" hidden="1" customWidth="1"/>
    <col min="8970" max="8970" width="7.42578125" customWidth="1"/>
    <col min="8971" max="8971" width="16.140625" customWidth="1"/>
    <col min="8972" max="8972" width="6.7109375" customWidth="1"/>
    <col min="8973" max="8973" width="14.140625" customWidth="1"/>
    <col min="9214" max="9214" width="3.28515625" customWidth="1"/>
    <col min="9215" max="9215" width="56.5703125" customWidth="1"/>
    <col min="9216" max="9216" width="5.85546875" customWidth="1"/>
    <col min="9217" max="9217" width="13.140625" customWidth="1"/>
    <col min="9218" max="9218" width="7.28515625" customWidth="1"/>
    <col min="9219" max="9219" width="17.140625" customWidth="1"/>
    <col min="9220" max="9220" width="7.140625" customWidth="1"/>
    <col min="9221" max="9225" width="0" hidden="1" customWidth="1"/>
    <col min="9226" max="9226" width="7.42578125" customWidth="1"/>
    <col min="9227" max="9227" width="16.140625" customWidth="1"/>
    <col min="9228" max="9228" width="6.7109375" customWidth="1"/>
    <col min="9229" max="9229" width="14.140625" customWidth="1"/>
    <col min="9470" max="9470" width="3.28515625" customWidth="1"/>
    <col min="9471" max="9471" width="56.5703125" customWidth="1"/>
    <col min="9472" max="9472" width="5.85546875" customWidth="1"/>
    <col min="9473" max="9473" width="13.140625" customWidth="1"/>
    <col min="9474" max="9474" width="7.28515625" customWidth="1"/>
    <col min="9475" max="9475" width="17.140625" customWidth="1"/>
    <col min="9476" max="9476" width="7.140625" customWidth="1"/>
    <col min="9477" max="9481" width="0" hidden="1" customWidth="1"/>
    <col min="9482" max="9482" width="7.42578125" customWidth="1"/>
    <col min="9483" max="9483" width="16.140625" customWidth="1"/>
    <col min="9484" max="9484" width="6.7109375" customWidth="1"/>
    <col min="9485" max="9485" width="14.140625" customWidth="1"/>
    <col min="9726" max="9726" width="3.28515625" customWidth="1"/>
    <col min="9727" max="9727" width="56.5703125" customWidth="1"/>
    <col min="9728" max="9728" width="5.85546875" customWidth="1"/>
    <col min="9729" max="9729" width="13.140625" customWidth="1"/>
    <col min="9730" max="9730" width="7.28515625" customWidth="1"/>
    <col min="9731" max="9731" width="17.140625" customWidth="1"/>
    <col min="9732" max="9732" width="7.140625" customWidth="1"/>
    <col min="9733" max="9737" width="0" hidden="1" customWidth="1"/>
    <col min="9738" max="9738" width="7.42578125" customWidth="1"/>
    <col min="9739" max="9739" width="16.140625" customWidth="1"/>
    <col min="9740" max="9740" width="6.7109375" customWidth="1"/>
    <col min="9741" max="9741" width="14.140625" customWidth="1"/>
    <col min="9982" max="9982" width="3.28515625" customWidth="1"/>
    <col min="9983" max="9983" width="56.5703125" customWidth="1"/>
    <col min="9984" max="9984" width="5.85546875" customWidth="1"/>
    <col min="9985" max="9985" width="13.140625" customWidth="1"/>
    <col min="9986" max="9986" width="7.28515625" customWidth="1"/>
    <col min="9987" max="9987" width="17.140625" customWidth="1"/>
    <col min="9988" max="9988" width="7.140625" customWidth="1"/>
    <col min="9989" max="9993" width="0" hidden="1" customWidth="1"/>
    <col min="9994" max="9994" width="7.42578125" customWidth="1"/>
    <col min="9995" max="9995" width="16.140625" customWidth="1"/>
    <col min="9996" max="9996" width="6.7109375" customWidth="1"/>
    <col min="9997" max="9997" width="14.140625" customWidth="1"/>
    <col min="10238" max="10238" width="3.28515625" customWidth="1"/>
    <col min="10239" max="10239" width="56.5703125" customWidth="1"/>
    <col min="10240" max="10240" width="5.85546875" customWidth="1"/>
    <col min="10241" max="10241" width="13.140625" customWidth="1"/>
    <col min="10242" max="10242" width="7.28515625" customWidth="1"/>
    <col min="10243" max="10243" width="17.140625" customWidth="1"/>
    <col min="10244" max="10244" width="7.140625" customWidth="1"/>
    <col min="10245" max="10249" width="0" hidden="1" customWidth="1"/>
    <col min="10250" max="10250" width="7.42578125" customWidth="1"/>
    <col min="10251" max="10251" width="16.140625" customWidth="1"/>
    <col min="10252" max="10252" width="6.7109375" customWidth="1"/>
    <col min="10253" max="10253" width="14.140625" customWidth="1"/>
    <col min="10494" max="10494" width="3.28515625" customWidth="1"/>
    <col min="10495" max="10495" width="56.5703125" customWidth="1"/>
    <col min="10496" max="10496" width="5.85546875" customWidth="1"/>
    <col min="10497" max="10497" width="13.140625" customWidth="1"/>
    <col min="10498" max="10498" width="7.28515625" customWidth="1"/>
    <col min="10499" max="10499" width="17.140625" customWidth="1"/>
    <col min="10500" max="10500" width="7.140625" customWidth="1"/>
    <col min="10501" max="10505" width="0" hidden="1" customWidth="1"/>
    <col min="10506" max="10506" width="7.42578125" customWidth="1"/>
    <col min="10507" max="10507" width="16.140625" customWidth="1"/>
    <col min="10508" max="10508" width="6.7109375" customWidth="1"/>
    <col min="10509" max="10509" width="14.140625" customWidth="1"/>
    <col min="10750" max="10750" width="3.28515625" customWidth="1"/>
    <col min="10751" max="10751" width="56.5703125" customWidth="1"/>
    <col min="10752" max="10752" width="5.85546875" customWidth="1"/>
    <col min="10753" max="10753" width="13.140625" customWidth="1"/>
    <col min="10754" max="10754" width="7.28515625" customWidth="1"/>
    <col min="10755" max="10755" width="17.140625" customWidth="1"/>
    <col min="10756" max="10756" width="7.140625" customWidth="1"/>
    <col min="10757" max="10761" width="0" hidden="1" customWidth="1"/>
    <col min="10762" max="10762" width="7.42578125" customWidth="1"/>
    <col min="10763" max="10763" width="16.140625" customWidth="1"/>
    <col min="10764" max="10764" width="6.7109375" customWidth="1"/>
    <col min="10765" max="10765" width="14.140625" customWidth="1"/>
    <col min="11006" max="11006" width="3.28515625" customWidth="1"/>
    <col min="11007" max="11007" width="56.5703125" customWidth="1"/>
    <col min="11008" max="11008" width="5.85546875" customWidth="1"/>
    <col min="11009" max="11009" width="13.140625" customWidth="1"/>
    <col min="11010" max="11010" width="7.28515625" customWidth="1"/>
    <col min="11011" max="11011" width="17.140625" customWidth="1"/>
    <col min="11012" max="11012" width="7.140625" customWidth="1"/>
    <col min="11013" max="11017" width="0" hidden="1" customWidth="1"/>
    <col min="11018" max="11018" width="7.42578125" customWidth="1"/>
    <col min="11019" max="11019" width="16.140625" customWidth="1"/>
    <col min="11020" max="11020" width="6.7109375" customWidth="1"/>
    <col min="11021" max="11021" width="14.140625" customWidth="1"/>
    <col min="11262" max="11262" width="3.28515625" customWidth="1"/>
    <col min="11263" max="11263" width="56.5703125" customWidth="1"/>
    <col min="11264" max="11264" width="5.85546875" customWidth="1"/>
    <col min="11265" max="11265" width="13.140625" customWidth="1"/>
    <col min="11266" max="11266" width="7.28515625" customWidth="1"/>
    <col min="11267" max="11267" width="17.140625" customWidth="1"/>
    <col min="11268" max="11268" width="7.140625" customWidth="1"/>
    <col min="11269" max="11273" width="0" hidden="1" customWidth="1"/>
    <col min="11274" max="11274" width="7.42578125" customWidth="1"/>
    <col min="11275" max="11275" width="16.140625" customWidth="1"/>
    <col min="11276" max="11276" width="6.7109375" customWidth="1"/>
    <col min="11277" max="11277" width="14.140625" customWidth="1"/>
    <col min="11518" max="11518" width="3.28515625" customWidth="1"/>
    <col min="11519" max="11519" width="56.5703125" customWidth="1"/>
    <col min="11520" max="11520" width="5.85546875" customWidth="1"/>
    <col min="11521" max="11521" width="13.140625" customWidth="1"/>
    <col min="11522" max="11522" width="7.28515625" customWidth="1"/>
    <col min="11523" max="11523" width="17.140625" customWidth="1"/>
    <col min="11524" max="11524" width="7.140625" customWidth="1"/>
    <col min="11525" max="11529" width="0" hidden="1" customWidth="1"/>
    <col min="11530" max="11530" width="7.42578125" customWidth="1"/>
    <col min="11531" max="11531" width="16.140625" customWidth="1"/>
    <col min="11532" max="11532" width="6.7109375" customWidth="1"/>
    <col min="11533" max="11533" width="14.140625" customWidth="1"/>
    <col min="11774" max="11774" width="3.28515625" customWidth="1"/>
    <col min="11775" max="11775" width="56.5703125" customWidth="1"/>
    <col min="11776" max="11776" width="5.85546875" customWidth="1"/>
    <col min="11777" max="11777" width="13.140625" customWidth="1"/>
    <col min="11778" max="11778" width="7.28515625" customWidth="1"/>
    <col min="11779" max="11779" width="17.140625" customWidth="1"/>
    <col min="11780" max="11780" width="7.140625" customWidth="1"/>
    <col min="11781" max="11785" width="0" hidden="1" customWidth="1"/>
    <col min="11786" max="11786" width="7.42578125" customWidth="1"/>
    <col min="11787" max="11787" width="16.140625" customWidth="1"/>
    <col min="11788" max="11788" width="6.7109375" customWidth="1"/>
    <col min="11789" max="11789" width="14.140625" customWidth="1"/>
    <col min="12030" max="12030" width="3.28515625" customWidth="1"/>
    <col min="12031" max="12031" width="56.5703125" customWidth="1"/>
    <col min="12032" max="12032" width="5.85546875" customWidth="1"/>
    <col min="12033" max="12033" width="13.140625" customWidth="1"/>
    <col min="12034" max="12034" width="7.28515625" customWidth="1"/>
    <col min="12035" max="12035" width="17.140625" customWidth="1"/>
    <col min="12036" max="12036" width="7.140625" customWidth="1"/>
    <col min="12037" max="12041" width="0" hidden="1" customWidth="1"/>
    <col min="12042" max="12042" width="7.42578125" customWidth="1"/>
    <col min="12043" max="12043" width="16.140625" customWidth="1"/>
    <col min="12044" max="12044" width="6.7109375" customWidth="1"/>
    <col min="12045" max="12045" width="14.140625" customWidth="1"/>
    <col min="12286" max="12286" width="3.28515625" customWidth="1"/>
    <col min="12287" max="12287" width="56.5703125" customWidth="1"/>
    <col min="12288" max="12288" width="5.85546875" customWidth="1"/>
    <col min="12289" max="12289" width="13.140625" customWidth="1"/>
    <col min="12290" max="12290" width="7.28515625" customWidth="1"/>
    <col min="12291" max="12291" width="17.140625" customWidth="1"/>
    <col min="12292" max="12292" width="7.140625" customWidth="1"/>
    <col min="12293" max="12297" width="0" hidden="1" customWidth="1"/>
    <col min="12298" max="12298" width="7.42578125" customWidth="1"/>
    <col min="12299" max="12299" width="16.140625" customWidth="1"/>
    <col min="12300" max="12300" width="6.7109375" customWidth="1"/>
    <col min="12301" max="12301" width="14.140625" customWidth="1"/>
    <col min="12542" max="12542" width="3.28515625" customWidth="1"/>
    <col min="12543" max="12543" width="56.5703125" customWidth="1"/>
    <col min="12544" max="12544" width="5.85546875" customWidth="1"/>
    <col min="12545" max="12545" width="13.140625" customWidth="1"/>
    <col min="12546" max="12546" width="7.28515625" customWidth="1"/>
    <col min="12547" max="12547" width="17.140625" customWidth="1"/>
    <col min="12548" max="12548" width="7.140625" customWidth="1"/>
    <col min="12549" max="12553" width="0" hidden="1" customWidth="1"/>
    <col min="12554" max="12554" width="7.42578125" customWidth="1"/>
    <col min="12555" max="12555" width="16.140625" customWidth="1"/>
    <col min="12556" max="12556" width="6.7109375" customWidth="1"/>
    <col min="12557" max="12557" width="14.140625" customWidth="1"/>
    <col min="12798" max="12798" width="3.28515625" customWidth="1"/>
    <col min="12799" max="12799" width="56.5703125" customWidth="1"/>
    <col min="12800" max="12800" width="5.85546875" customWidth="1"/>
    <col min="12801" max="12801" width="13.140625" customWidth="1"/>
    <col min="12802" max="12802" width="7.28515625" customWidth="1"/>
    <col min="12803" max="12803" width="17.140625" customWidth="1"/>
    <col min="12804" max="12804" width="7.140625" customWidth="1"/>
    <col min="12805" max="12809" width="0" hidden="1" customWidth="1"/>
    <col min="12810" max="12810" width="7.42578125" customWidth="1"/>
    <col min="12811" max="12811" width="16.140625" customWidth="1"/>
    <col min="12812" max="12812" width="6.7109375" customWidth="1"/>
    <col min="12813" max="12813" width="14.140625" customWidth="1"/>
    <col min="13054" max="13054" width="3.28515625" customWidth="1"/>
    <col min="13055" max="13055" width="56.5703125" customWidth="1"/>
    <col min="13056" max="13056" width="5.85546875" customWidth="1"/>
    <col min="13057" max="13057" width="13.140625" customWidth="1"/>
    <col min="13058" max="13058" width="7.28515625" customWidth="1"/>
    <col min="13059" max="13059" width="17.140625" customWidth="1"/>
    <col min="13060" max="13060" width="7.140625" customWidth="1"/>
    <col min="13061" max="13065" width="0" hidden="1" customWidth="1"/>
    <col min="13066" max="13066" width="7.42578125" customWidth="1"/>
    <col min="13067" max="13067" width="16.140625" customWidth="1"/>
    <col min="13068" max="13068" width="6.7109375" customWidth="1"/>
    <col min="13069" max="13069" width="14.140625" customWidth="1"/>
    <col min="13310" max="13310" width="3.28515625" customWidth="1"/>
    <col min="13311" max="13311" width="56.5703125" customWidth="1"/>
    <col min="13312" max="13312" width="5.85546875" customWidth="1"/>
    <col min="13313" max="13313" width="13.140625" customWidth="1"/>
    <col min="13314" max="13314" width="7.28515625" customWidth="1"/>
    <col min="13315" max="13315" width="17.140625" customWidth="1"/>
    <col min="13316" max="13316" width="7.140625" customWidth="1"/>
    <col min="13317" max="13321" width="0" hidden="1" customWidth="1"/>
    <col min="13322" max="13322" width="7.42578125" customWidth="1"/>
    <col min="13323" max="13323" width="16.140625" customWidth="1"/>
    <col min="13324" max="13324" width="6.7109375" customWidth="1"/>
    <col min="13325" max="13325" width="14.140625" customWidth="1"/>
    <col min="13566" max="13566" width="3.28515625" customWidth="1"/>
    <col min="13567" max="13567" width="56.5703125" customWidth="1"/>
    <col min="13568" max="13568" width="5.85546875" customWidth="1"/>
    <col min="13569" max="13569" width="13.140625" customWidth="1"/>
    <col min="13570" max="13570" width="7.28515625" customWidth="1"/>
    <col min="13571" max="13571" width="17.140625" customWidth="1"/>
    <col min="13572" max="13572" width="7.140625" customWidth="1"/>
    <col min="13573" max="13577" width="0" hidden="1" customWidth="1"/>
    <col min="13578" max="13578" width="7.42578125" customWidth="1"/>
    <col min="13579" max="13579" width="16.140625" customWidth="1"/>
    <col min="13580" max="13580" width="6.7109375" customWidth="1"/>
    <col min="13581" max="13581" width="14.140625" customWidth="1"/>
    <col min="13822" max="13822" width="3.28515625" customWidth="1"/>
    <col min="13823" max="13823" width="56.5703125" customWidth="1"/>
    <col min="13824" max="13824" width="5.85546875" customWidth="1"/>
    <col min="13825" max="13825" width="13.140625" customWidth="1"/>
    <col min="13826" max="13826" width="7.28515625" customWidth="1"/>
    <col min="13827" max="13827" width="17.140625" customWidth="1"/>
    <col min="13828" max="13828" width="7.140625" customWidth="1"/>
    <col min="13829" max="13833" width="0" hidden="1" customWidth="1"/>
    <col min="13834" max="13834" width="7.42578125" customWidth="1"/>
    <col min="13835" max="13835" width="16.140625" customWidth="1"/>
    <col min="13836" max="13836" width="6.7109375" customWidth="1"/>
    <col min="13837" max="13837" width="14.140625" customWidth="1"/>
    <col min="14078" max="14078" width="3.28515625" customWidth="1"/>
    <col min="14079" max="14079" width="56.5703125" customWidth="1"/>
    <col min="14080" max="14080" width="5.85546875" customWidth="1"/>
    <col min="14081" max="14081" width="13.140625" customWidth="1"/>
    <col min="14082" max="14082" width="7.28515625" customWidth="1"/>
    <col min="14083" max="14083" width="17.140625" customWidth="1"/>
    <col min="14084" max="14084" width="7.140625" customWidth="1"/>
    <col min="14085" max="14089" width="0" hidden="1" customWidth="1"/>
    <col min="14090" max="14090" width="7.42578125" customWidth="1"/>
    <col min="14091" max="14091" width="16.140625" customWidth="1"/>
    <col min="14092" max="14092" width="6.7109375" customWidth="1"/>
    <col min="14093" max="14093" width="14.140625" customWidth="1"/>
    <col min="14334" max="14334" width="3.28515625" customWidth="1"/>
    <col min="14335" max="14335" width="56.5703125" customWidth="1"/>
    <col min="14336" max="14336" width="5.85546875" customWidth="1"/>
    <col min="14337" max="14337" width="13.140625" customWidth="1"/>
    <col min="14338" max="14338" width="7.28515625" customWidth="1"/>
    <col min="14339" max="14339" width="17.140625" customWidth="1"/>
    <col min="14340" max="14340" width="7.140625" customWidth="1"/>
    <col min="14341" max="14345" width="0" hidden="1" customWidth="1"/>
    <col min="14346" max="14346" width="7.42578125" customWidth="1"/>
    <col min="14347" max="14347" width="16.140625" customWidth="1"/>
    <col min="14348" max="14348" width="6.7109375" customWidth="1"/>
    <col min="14349" max="14349" width="14.140625" customWidth="1"/>
    <col min="14590" max="14590" width="3.28515625" customWidth="1"/>
    <col min="14591" max="14591" width="56.5703125" customWidth="1"/>
    <col min="14592" max="14592" width="5.85546875" customWidth="1"/>
    <col min="14593" max="14593" width="13.140625" customWidth="1"/>
    <col min="14594" max="14594" width="7.28515625" customWidth="1"/>
    <col min="14595" max="14595" width="17.140625" customWidth="1"/>
    <col min="14596" max="14596" width="7.140625" customWidth="1"/>
    <col min="14597" max="14601" width="0" hidden="1" customWidth="1"/>
    <col min="14602" max="14602" width="7.42578125" customWidth="1"/>
    <col min="14603" max="14603" width="16.140625" customWidth="1"/>
    <col min="14604" max="14604" width="6.7109375" customWidth="1"/>
    <col min="14605" max="14605" width="14.140625" customWidth="1"/>
    <col min="14846" max="14846" width="3.28515625" customWidth="1"/>
    <col min="14847" max="14847" width="56.5703125" customWidth="1"/>
    <col min="14848" max="14848" width="5.85546875" customWidth="1"/>
    <col min="14849" max="14849" width="13.140625" customWidth="1"/>
    <col min="14850" max="14850" width="7.28515625" customWidth="1"/>
    <col min="14851" max="14851" width="17.140625" customWidth="1"/>
    <col min="14852" max="14852" width="7.140625" customWidth="1"/>
    <col min="14853" max="14857" width="0" hidden="1" customWidth="1"/>
    <col min="14858" max="14858" width="7.42578125" customWidth="1"/>
    <col min="14859" max="14859" width="16.140625" customWidth="1"/>
    <col min="14860" max="14860" width="6.7109375" customWidth="1"/>
    <col min="14861" max="14861" width="14.140625" customWidth="1"/>
    <col min="15102" max="15102" width="3.28515625" customWidth="1"/>
    <col min="15103" max="15103" width="56.5703125" customWidth="1"/>
    <col min="15104" max="15104" width="5.85546875" customWidth="1"/>
    <col min="15105" max="15105" width="13.140625" customWidth="1"/>
    <col min="15106" max="15106" width="7.28515625" customWidth="1"/>
    <col min="15107" max="15107" width="17.140625" customWidth="1"/>
    <col min="15108" max="15108" width="7.140625" customWidth="1"/>
    <col min="15109" max="15113" width="0" hidden="1" customWidth="1"/>
    <col min="15114" max="15114" width="7.42578125" customWidth="1"/>
    <col min="15115" max="15115" width="16.140625" customWidth="1"/>
    <col min="15116" max="15116" width="6.7109375" customWidth="1"/>
    <col min="15117" max="15117" width="14.140625" customWidth="1"/>
    <col min="15358" max="15358" width="3.28515625" customWidth="1"/>
    <col min="15359" max="15359" width="56.5703125" customWidth="1"/>
    <col min="15360" max="15360" width="5.85546875" customWidth="1"/>
    <col min="15361" max="15361" width="13.140625" customWidth="1"/>
    <col min="15362" max="15362" width="7.28515625" customWidth="1"/>
    <col min="15363" max="15363" width="17.140625" customWidth="1"/>
    <col min="15364" max="15364" width="7.140625" customWidth="1"/>
    <col min="15365" max="15369" width="0" hidden="1" customWidth="1"/>
    <col min="15370" max="15370" width="7.42578125" customWidth="1"/>
    <col min="15371" max="15371" width="16.140625" customWidth="1"/>
    <col min="15372" max="15372" width="6.7109375" customWidth="1"/>
    <col min="15373" max="15373" width="14.140625" customWidth="1"/>
    <col min="15614" max="15614" width="3.28515625" customWidth="1"/>
    <col min="15615" max="15615" width="56.5703125" customWidth="1"/>
    <col min="15616" max="15616" width="5.85546875" customWidth="1"/>
    <col min="15617" max="15617" width="13.140625" customWidth="1"/>
    <col min="15618" max="15618" width="7.28515625" customWidth="1"/>
    <col min="15619" max="15619" width="17.140625" customWidth="1"/>
    <col min="15620" max="15620" width="7.140625" customWidth="1"/>
    <col min="15621" max="15625" width="0" hidden="1" customWidth="1"/>
    <col min="15626" max="15626" width="7.42578125" customWidth="1"/>
    <col min="15627" max="15627" width="16.140625" customWidth="1"/>
    <col min="15628" max="15628" width="6.7109375" customWidth="1"/>
    <col min="15629" max="15629" width="14.140625" customWidth="1"/>
    <col min="15870" max="15870" width="3.28515625" customWidth="1"/>
    <col min="15871" max="15871" width="56.5703125" customWidth="1"/>
    <col min="15872" max="15872" width="5.85546875" customWidth="1"/>
    <col min="15873" max="15873" width="13.140625" customWidth="1"/>
    <col min="15874" max="15874" width="7.28515625" customWidth="1"/>
    <col min="15875" max="15875" width="17.140625" customWidth="1"/>
    <col min="15876" max="15876" width="7.140625" customWidth="1"/>
    <col min="15877" max="15881" width="0" hidden="1" customWidth="1"/>
    <col min="15882" max="15882" width="7.42578125" customWidth="1"/>
    <col min="15883" max="15883" width="16.140625" customWidth="1"/>
    <col min="15884" max="15884" width="6.7109375" customWidth="1"/>
    <col min="15885" max="15885" width="14.140625" customWidth="1"/>
    <col min="16126" max="16126" width="3.28515625" customWidth="1"/>
    <col min="16127" max="16127" width="56.5703125" customWidth="1"/>
    <col min="16128" max="16128" width="5.85546875" customWidth="1"/>
    <col min="16129" max="16129" width="13.140625" customWidth="1"/>
    <col min="16130" max="16130" width="7.28515625" customWidth="1"/>
    <col min="16131" max="16131" width="17.140625" customWidth="1"/>
    <col min="16132" max="16132" width="7.140625" customWidth="1"/>
    <col min="16133" max="16137" width="0" hidden="1" customWidth="1"/>
    <col min="16138" max="16138" width="7.42578125" customWidth="1"/>
    <col min="16139" max="16139" width="16.140625" customWidth="1"/>
    <col min="16140" max="16140" width="6.7109375" customWidth="1"/>
    <col min="16141" max="16141" width="14.140625" customWidth="1"/>
  </cols>
  <sheetData>
    <row r="1" spans="2:9">
      <c r="D1" s="96"/>
      <c r="I1" s="96"/>
    </row>
    <row r="3" spans="2:9" ht="20.25">
      <c r="B3" s="2283" t="s">
        <v>157</v>
      </c>
      <c r="C3" s="2283"/>
      <c r="D3" s="2283"/>
      <c r="E3" s="2283"/>
      <c r="F3" s="2283"/>
      <c r="G3" s="2283"/>
      <c r="H3" s="2283"/>
    </row>
    <row r="4" spans="2:9">
      <c r="B4" s="2284" t="s">
        <v>177</v>
      </c>
      <c r="C4" s="2284"/>
      <c r="D4" s="97" t="s">
        <v>158</v>
      </c>
      <c r="E4" s="97"/>
      <c r="F4" s="2285">
        <v>43941</v>
      </c>
      <c r="G4" s="2285"/>
      <c r="H4" s="2285"/>
    </row>
    <row r="5" spans="2:9">
      <c r="B5" s="2284" t="s">
        <v>178</v>
      </c>
      <c r="C5" s="2284"/>
      <c r="D5" s="98" t="s">
        <v>159</v>
      </c>
      <c r="E5" s="99"/>
      <c r="F5" s="2285" t="s">
        <v>72</v>
      </c>
      <c r="G5" s="2285"/>
      <c r="H5" s="2285"/>
    </row>
    <row r="6" spans="2:9">
      <c r="B6" s="2284" t="s">
        <v>175</v>
      </c>
      <c r="C6" s="2284"/>
      <c r="D6" s="100" t="s">
        <v>160</v>
      </c>
      <c r="E6" s="100"/>
      <c r="F6" s="2284" t="s">
        <v>72</v>
      </c>
      <c r="G6" s="2284"/>
      <c r="H6" s="101"/>
    </row>
    <row r="7" spans="2:9">
      <c r="B7" s="96"/>
      <c r="C7" s="100"/>
      <c r="D7" s="100"/>
      <c r="E7" s="102"/>
      <c r="F7" s="101"/>
      <c r="G7" s="101"/>
      <c r="H7" s="101"/>
    </row>
    <row r="8" spans="2:9">
      <c r="B8" s="2281"/>
      <c r="C8" s="2281" t="s">
        <v>12</v>
      </c>
      <c r="D8" s="2282" t="s">
        <v>161</v>
      </c>
      <c r="E8" s="2282"/>
      <c r="F8" s="2282"/>
      <c r="G8" s="2282"/>
      <c r="H8" s="2282"/>
    </row>
    <row r="9" spans="2:9">
      <c r="B9" s="2281"/>
      <c r="C9" s="2281"/>
      <c r="D9" s="103" t="s">
        <v>13</v>
      </c>
      <c r="E9" s="103" t="s">
        <v>15</v>
      </c>
      <c r="F9" s="103" t="s">
        <v>162</v>
      </c>
      <c r="G9" s="103" t="s">
        <v>18</v>
      </c>
      <c r="H9" s="104" t="s">
        <v>163</v>
      </c>
    </row>
    <row r="10" spans="2:9">
      <c r="B10" s="105" t="s">
        <v>164</v>
      </c>
      <c r="C10" s="106" t="s">
        <v>165</v>
      </c>
      <c r="D10" s="107"/>
      <c r="E10" s="108"/>
      <c r="F10" s="109"/>
      <c r="G10" s="110"/>
      <c r="H10" s="111"/>
    </row>
    <row r="11" spans="2:9">
      <c r="B11" s="112"/>
      <c r="C11" s="113"/>
      <c r="D11" s="114"/>
      <c r="E11" s="115"/>
      <c r="F11" s="116"/>
      <c r="G11" s="117"/>
      <c r="H11" s="111"/>
    </row>
    <row r="12" spans="2:9">
      <c r="B12" s="118">
        <v>1</v>
      </c>
      <c r="C12" s="119" t="e">
        <f>Quotation!#REF!</f>
        <v>#REF!</v>
      </c>
      <c r="D12" s="120">
        <v>1</v>
      </c>
      <c r="E12" s="184" t="e">
        <f>#REF!</f>
        <v>#REF!</v>
      </c>
      <c r="F12" s="122"/>
      <c r="G12" s="185" t="e">
        <f>+E12*D12</f>
        <v>#REF!</v>
      </c>
      <c r="H12" s="111"/>
    </row>
    <row r="13" spans="2:9">
      <c r="B13" s="118"/>
      <c r="C13" s="124" t="e">
        <f>Quotation!#REF!</f>
        <v>#REF!</v>
      </c>
      <c r="D13" s="120"/>
      <c r="E13" s="197"/>
      <c r="F13" s="122"/>
      <c r="G13" s="185"/>
      <c r="H13" s="111"/>
    </row>
    <row r="14" spans="2:9">
      <c r="B14" s="118"/>
      <c r="C14" s="124" t="e">
        <f>Quotation!#REF!</f>
        <v>#REF!</v>
      </c>
      <c r="D14" s="120"/>
      <c r="E14" s="197"/>
      <c r="F14" s="122"/>
      <c r="G14" s="185"/>
      <c r="H14" s="111"/>
    </row>
    <row r="15" spans="2:9">
      <c r="B15" s="118"/>
      <c r="C15" s="124" t="e">
        <f>Quotation!#REF!</f>
        <v>#REF!</v>
      </c>
      <c r="D15" s="120"/>
      <c r="E15" s="197"/>
      <c r="F15" s="122"/>
      <c r="G15" s="185"/>
      <c r="H15" s="111"/>
    </row>
    <row r="16" spans="2:9">
      <c r="B16" s="118"/>
      <c r="C16" s="124" t="e">
        <f>Quotation!#REF!</f>
        <v>#REF!</v>
      </c>
      <c r="D16" s="120"/>
      <c r="E16" s="197"/>
      <c r="F16" s="122"/>
      <c r="G16" s="185"/>
      <c r="H16" s="111"/>
    </row>
    <row r="17" spans="2:8">
      <c r="B17" s="118"/>
      <c r="C17" s="124" t="e">
        <f>Quotation!#REF!</f>
        <v>#REF!</v>
      </c>
      <c r="D17" s="120"/>
      <c r="E17" s="197"/>
      <c r="F17" s="122"/>
      <c r="G17" s="185"/>
      <c r="H17" s="111"/>
    </row>
    <row r="18" spans="2:8">
      <c r="B18" s="118"/>
      <c r="C18" s="124" t="e">
        <f>Quotation!#REF!</f>
        <v>#REF!</v>
      </c>
      <c r="D18" s="120"/>
      <c r="E18" s="197"/>
      <c r="F18" s="122"/>
      <c r="G18" s="185"/>
      <c r="H18" s="111"/>
    </row>
    <row r="19" spans="2:8">
      <c r="B19" s="118"/>
      <c r="C19" s="124" t="e">
        <f>Quotation!#REF!</f>
        <v>#REF!</v>
      </c>
      <c r="D19" s="120"/>
      <c r="E19" s="197"/>
      <c r="F19" s="122"/>
      <c r="G19" s="185"/>
      <c r="H19" s="111"/>
    </row>
    <row r="20" spans="2:8">
      <c r="B20" s="118"/>
      <c r="C20" s="119"/>
      <c r="D20" s="120"/>
      <c r="E20" s="197"/>
      <c r="F20" s="122"/>
      <c r="G20" s="185"/>
      <c r="H20" s="111"/>
    </row>
    <row r="21" spans="2:8">
      <c r="B21" s="118">
        <v>2</v>
      </c>
      <c r="C21" s="119" t="e">
        <f>Quotation!#REF!</f>
        <v>#REF!</v>
      </c>
      <c r="D21" s="120">
        <v>1</v>
      </c>
      <c r="E21" s="197" t="e">
        <f>Quotation!#REF!</f>
        <v>#REF!</v>
      </c>
      <c r="F21" s="122"/>
      <c r="G21" s="185" t="e">
        <f>E21*D21</f>
        <v>#REF!</v>
      </c>
      <c r="H21" s="111"/>
    </row>
    <row r="22" spans="2:8">
      <c r="B22" s="118"/>
      <c r="C22" s="124" t="e">
        <f>Quotation!#REF!</f>
        <v>#REF!</v>
      </c>
      <c r="D22" s="120"/>
      <c r="E22" s="197"/>
      <c r="F22" s="122"/>
      <c r="G22" s="185"/>
      <c r="H22" s="111"/>
    </row>
    <row r="23" spans="2:8">
      <c r="B23" s="118"/>
      <c r="C23" s="124" t="e">
        <f>Quotation!#REF!</f>
        <v>#REF!</v>
      </c>
      <c r="D23" s="120"/>
      <c r="E23" s="197"/>
      <c r="F23" s="122"/>
      <c r="G23" s="185"/>
      <c r="H23" s="111"/>
    </row>
    <row r="24" spans="2:8">
      <c r="B24" s="118"/>
      <c r="C24" s="124" t="e">
        <f>Quotation!#REF!</f>
        <v>#REF!</v>
      </c>
      <c r="D24" s="120"/>
      <c r="E24" s="197"/>
      <c r="F24" s="122"/>
      <c r="G24" s="185"/>
      <c r="H24" s="111"/>
    </row>
    <row r="25" spans="2:8">
      <c r="B25" s="118"/>
      <c r="C25" s="124" t="e">
        <f>Quotation!#REF!</f>
        <v>#REF!</v>
      </c>
      <c r="D25" s="120"/>
      <c r="E25" s="197"/>
      <c r="F25" s="122"/>
      <c r="G25" s="185"/>
      <c r="H25" s="111"/>
    </row>
    <row r="26" spans="2:8">
      <c r="B26" s="118"/>
      <c r="C26" s="124" t="e">
        <f>Quotation!#REF!</f>
        <v>#REF!</v>
      </c>
      <c r="D26" s="120"/>
      <c r="E26" s="197"/>
      <c r="F26" s="122"/>
      <c r="G26" s="185"/>
      <c r="H26" s="111"/>
    </row>
    <row r="27" spans="2:8">
      <c r="B27" s="118"/>
      <c r="C27" s="124" t="e">
        <f>Quotation!#REF!</f>
        <v>#REF!</v>
      </c>
      <c r="D27" s="120"/>
      <c r="E27" s="197"/>
      <c r="F27" s="122"/>
      <c r="G27" s="185"/>
      <c r="H27" s="111"/>
    </row>
    <row r="28" spans="2:8">
      <c r="B28" s="118"/>
      <c r="C28" s="124" t="e">
        <f>Quotation!#REF!</f>
        <v>#REF!</v>
      </c>
      <c r="D28" s="120"/>
      <c r="E28" s="197"/>
      <c r="F28" s="122"/>
      <c r="G28" s="185"/>
      <c r="H28" s="111"/>
    </row>
    <row r="29" spans="2:8">
      <c r="B29" s="127"/>
      <c r="C29" s="119"/>
      <c r="D29" s="112"/>
      <c r="E29" s="129"/>
      <c r="F29" s="128"/>
      <c r="G29" s="116"/>
      <c r="H29" s="111"/>
    </row>
    <row r="30" spans="2:8">
      <c r="B30" s="127"/>
      <c r="C30" s="130" t="s">
        <v>18</v>
      </c>
      <c r="D30" s="112"/>
      <c r="E30" s="131"/>
      <c r="F30" s="122"/>
      <c r="G30" s="189" t="e">
        <f>SUM(G12:G28)</f>
        <v>#REF!</v>
      </c>
      <c r="H30" s="132"/>
    </row>
    <row r="31" spans="2:8">
      <c r="B31" s="127"/>
      <c r="C31" s="130" t="s">
        <v>112</v>
      </c>
      <c r="D31" s="133"/>
      <c r="E31" s="134">
        <v>0</v>
      </c>
      <c r="F31" s="122"/>
      <c r="G31" s="189" t="e">
        <f>+G30*E31</f>
        <v>#REF!</v>
      </c>
      <c r="H31" s="132"/>
    </row>
    <row r="32" spans="2:8">
      <c r="B32" s="127"/>
      <c r="C32" s="130" t="s">
        <v>36</v>
      </c>
      <c r="D32" s="112"/>
      <c r="E32" s="131"/>
      <c r="F32" s="122"/>
      <c r="G32" s="190" t="e">
        <f>G30-G31</f>
        <v>#REF!</v>
      </c>
      <c r="H32" s="132"/>
    </row>
    <row r="33" spans="2:8">
      <c r="B33" s="127"/>
      <c r="C33" s="130" t="s">
        <v>113</v>
      </c>
      <c r="D33" s="112"/>
      <c r="E33" s="134">
        <v>0.1</v>
      </c>
      <c r="F33" s="122"/>
      <c r="G33" s="189" t="e">
        <f>G32*E33</f>
        <v>#REF!</v>
      </c>
      <c r="H33" s="132"/>
    </row>
    <row r="34" spans="2:8" ht="15.75" thickBot="1">
      <c r="B34" s="127"/>
      <c r="C34" s="135" t="s">
        <v>114</v>
      </c>
      <c r="D34" s="112"/>
      <c r="E34" s="115"/>
      <c r="F34" s="122"/>
      <c r="G34" s="191" t="e">
        <f>SUM(G32:G33)</f>
        <v>#REF!</v>
      </c>
      <c r="H34" s="132"/>
    </row>
    <row r="35" spans="2:8" ht="15.75" thickTop="1">
      <c r="B35" s="127"/>
      <c r="C35" s="136"/>
      <c r="D35" s="112"/>
      <c r="E35" s="115"/>
      <c r="F35" s="122"/>
      <c r="G35" s="137"/>
      <c r="H35" s="111"/>
    </row>
    <row r="36" spans="2:8">
      <c r="B36" s="138" t="s">
        <v>166</v>
      </c>
      <c r="C36" s="139" t="s">
        <v>167</v>
      </c>
      <c r="D36" s="112"/>
      <c r="E36" s="115"/>
      <c r="F36" s="122"/>
      <c r="G36" s="137"/>
      <c r="H36" s="111"/>
    </row>
    <row r="37" spans="2:8">
      <c r="B37" s="112"/>
      <c r="C37" s="114"/>
      <c r="D37" s="120"/>
      <c r="E37" s="121"/>
      <c r="F37" s="122"/>
      <c r="G37" s="123"/>
      <c r="H37" s="140"/>
    </row>
    <row r="38" spans="2:8">
      <c r="B38" s="118">
        <v>1</v>
      </c>
      <c r="C38" s="119" t="e">
        <f>C12</f>
        <v>#REF!</v>
      </c>
      <c r="D38" s="120">
        <v>1</v>
      </c>
      <c r="E38" s="186" t="e">
        <f>#REF!</f>
        <v>#REF!</v>
      </c>
      <c r="F38" s="141"/>
      <c r="G38" s="185" t="e">
        <f>+E38*D38</f>
        <v>#REF!</v>
      </c>
      <c r="H38" s="140"/>
    </row>
    <row r="39" spans="2:8">
      <c r="B39" s="118"/>
      <c r="C39" s="124" t="e">
        <f t="shared" ref="C39:C54" si="0">C13</f>
        <v>#REF!</v>
      </c>
      <c r="D39" s="120"/>
      <c r="E39" s="197"/>
      <c r="F39" s="141"/>
      <c r="G39" s="185"/>
      <c r="H39" s="140"/>
    </row>
    <row r="40" spans="2:8">
      <c r="B40" s="118"/>
      <c r="C40" s="124" t="e">
        <f t="shared" si="0"/>
        <v>#REF!</v>
      </c>
      <c r="D40" s="120"/>
      <c r="E40" s="197"/>
      <c r="F40" s="141"/>
      <c r="G40" s="185"/>
      <c r="H40" s="140"/>
    </row>
    <row r="41" spans="2:8">
      <c r="B41" s="118"/>
      <c r="C41" s="124" t="e">
        <f t="shared" si="0"/>
        <v>#REF!</v>
      </c>
      <c r="D41" s="120"/>
      <c r="E41" s="197"/>
      <c r="F41" s="141"/>
      <c r="G41" s="185"/>
      <c r="H41" s="140"/>
    </row>
    <row r="42" spans="2:8">
      <c r="B42" s="118"/>
      <c r="C42" s="124" t="e">
        <f t="shared" si="0"/>
        <v>#REF!</v>
      </c>
      <c r="D42" s="120"/>
      <c r="E42" s="197"/>
      <c r="F42" s="141"/>
      <c r="G42" s="185"/>
      <c r="H42" s="140"/>
    </row>
    <row r="43" spans="2:8">
      <c r="B43" s="118"/>
      <c r="C43" s="124" t="e">
        <f t="shared" si="0"/>
        <v>#REF!</v>
      </c>
      <c r="D43" s="120"/>
      <c r="E43" s="197"/>
      <c r="F43" s="141"/>
      <c r="G43" s="185"/>
      <c r="H43" s="140"/>
    </row>
    <row r="44" spans="2:8">
      <c r="B44" s="118"/>
      <c r="C44" s="124" t="e">
        <f t="shared" si="0"/>
        <v>#REF!</v>
      </c>
      <c r="D44" s="120"/>
      <c r="E44" s="197"/>
      <c r="F44" s="141"/>
      <c r="G44" s="185"/>
      <c r="H44" s="140"/>
    </row>
    <row r="45" spans="2:8">
      <c r="B45" s="118"/>
      <c r="C45" s="124" t="e">
        <f t="shared" si="0"/>
        <v>#REF!</v>
      </c>
      <c r="D45" s="120"/>
      <c r="E45" s="197"/>
      <c r="F45" s="141"/>
      <c r="G45" s="185"/>
      <c r="H45" s="140"/>
    </row>
    <row r="46" spans="2:8">
      <c r="B46" s="118"/>
      <c r="C46" s="119"/>
      <c r="D46" s="120"/>
      <c r="E46" s="197"/>
      <c r="F46" s="141"/>
      <c r="G46" s="185"/>
      <c r="H46" s="140"/>
    </row>
    <row r="47" spans="2:8">
      <c r="B47" s="118">
        <v>2</v>
      </c>
      <c r="C47" s="119" t="e">
        <f t="shared" si="0"/>
        <v>#REF!</v>
      </c>
      <c r="D47" s="120">
        <v>1</v>
      </c>
      <c r="E47" s="197" t="e">
        <f>#REF!</f>
        <v>#REF!</v>
      </c>
      <c r="F47" s="141"/>
      <c r="G47" s="185" t="e">
        <f>E47*D47</f>
        <v>#REF!</v>
      </c>
      <c r="H47" s="140"/>
    </row>
    <row r="48" spans="2:8">
      <c r="B48" s="118"/>
      <c r="C48" s="124" t="e">
        <f t="shared" si="0"/>
        <v>#REF!</v>
      </c>
      <c r="D48" s="120"/>
      <c r="E48" s="197"/>
      <c r="F48" s="141"/>
      <c r="G48" s="185"/>
      <c r="H48" s="140"/>
    </row>
    <row r="49" spans="2:23">
      <c r="B49" s="118"/>
      <c r="C49" s="124" t="e">
        <f t="shared" si="0"/>
        <v>#REF!</v>
      </c>
      <c r="D49" s="120"/>
      <c r="E49" s="197"/>
      <c r="F49" s="141"/>
      <c r="G49" s="185"/>
      <c r="H49" s="140"/>
    </row>
    <row r="50" spans="2:23">
      <c r="B50" s="118"/>
      <c r="C50" s="124" t="e">
        <f t="shared" si="0"/>
        <v>#REF!</v>
      </c>
      <c r="D50" s="120"/>
      <c r="E50" s="197"/>
      <c r="F50" s="141"/>
      <c r="G50" s="185"/>
      <c r="H50" s="140"/>
    </row>
    <row r="51" spans="2:23">
      <c r="B51" s="118"/>
      <c r="C51" s="124" t="e">
        <f t="shared" si="0"/>
        <v>#REF!</v>
      </c>
      <c r="D51" s="120"/>
      <c r="E51" s="197"/>
      <c r="F51" s="141"/>
      <c r="G51" s="185"/>
      <c r="H51" s="140"/>
    </row>
    <row r="52" spans="2:23">
      <c r="B52" s="118"/>
      <c r="C52" s="124" t="e">
        <f t="shared" si="0"/>
        <v>#REF!</v>
      </c>
      <c r="D52" s="120"/>
      <c r="E52" s="197"/>
      <c r="F52" s="141"/>
      <c r="G52" s="185"/>
      <c r="H52" s="140"/>
    </row>
    <row r="53" spans="2:23">
      <c r="B53" s="118"/>
      <c r="C53" s="124" t="e">
        <f t="shared" si="0"/>
        <v>#REF!</v>
      </c>
      <c r="D53" s="120"/>
      <c r="E53" s="197"/>
      <c r="F53" s="141"/>
      <c r="G53" s="185"/>
      <c r="H53" s="140"/>
    </row>
    <row r="54" spans="2:23">
      <c r="B54" s="118"/>
      <c r="C54" s="124" t="e">
        <f t="shared" si="0"/>
        <v>#REF!</v>
      </c>
      <c r="D54" s="120"/>
      <c r="E54" s="197"/>
      <c r="F54" s="141"/>
      <c r="G54" s="185"/>
      <c r="H54" s="140"/>
    </row>
    <row r="55" spans="2:23">
      <c r="B55" s="125"/>
      <c r="C55" s="124"/>
      <c r="D55" s="120"/>
      <c r="E55" s="126"/>
      <c r="F55" s="122"/>
      <c r="G55" s="123"/>
      <c r="H55" s="140"/>
      <c r="S55" s="142"/>
      <c r="T55" s="142"/>
      <c r="U55" s="142"/>
      <c r="V55" s="142"/>
      <c r="W55" s="142"/>
    </row>
    <row r="56" spans="2:23">
      <c r="B56" s="125"/>
      <c r="C56" s="124" t="str">
        <f>C30</f>
        <v>Total</v>
      </c>
      <c r="D56" s="120"/>
      <c r="E56" s="126"/>
      <c r="F56" s="141"/>
      <c r="G56" s="123"/>
      <c r="H56" s="140"/>
      <c r="P56" s="142"/>
      <c r="R56" s="142"/>
      <c r="S56" s="142"/>
      <c r="T56" s="142"/>
      <c r="U56" s="142"/>
      <c r="V56" s="142"/>
      <c r="W56" s="142"/>
    </row>
    <row r="57" spans="2:23">
      <c r="B57" s="125"/>
      <c r="C57" s="124" t="str">
        <f>C31</f>
        <v>Disc</v>
      </c>
      <c r="D57" s="120"/>
      <c r="E57" s="126"/>
      <c r="F57" s="141"/>
      <c r="G57" s="123"/>
      <c r="H57" s="140"/>
      <c r="P57" s="142"/>
      <c r="S57" s="142"/>
      <c r="T57" s="142"/>
      <c r="U57" s="142"/>
      <c r="V57" s="142"/>
    </row>
    <row r="58" spans="2:23">
      <c r="B58" s="125"/>
      <c r="C58" s="124"/>
      <c r="D58" s="120"/>
      <c r="E58" s="126"/>
      <c r="F58" s="141"/>
      <c r="G58" s="110"/>
      <c r="H58" s="140"/>
      <c r="W58" s="142"/>
    </row>
    <row r="59" spans="2:23" ht="15.75" thickBot="1">
      <c r="B59" s="143"/>
      <c r="C59" s="144" t="s">
        <v>168</v>
      </c>
      <c r="D59" s="145"/>
      <c r="E59" s="117"/>
      <c r="F59" s="146"/>
      <c r="G59" s="187" t="e">
        <f>SUM(G37:G57)</f>
        <v>#REF!</v>
      </c>
      <c r="H59" s="148" t="e">
        <f>G59/(G30-G31)</f>
        <v>#REF!</v>
      </c>
    </row>
    <row r="60" spans="2:23" ht="15.75" thickTop="1">
      <c r="B60" s="143"/>
      <c r="D60" s="145"/>
      <c r="E60" s="129"/>
      <c r="F60" s="149"/>
      <c r="G60" s="137"/>
      <c r="H60" s="140"/>
    </row>
    <row r="61" spans="2:23">
      <c r="B61" s="150" t="s">
        <v>91</v>
      </c>
      <c r="C61" s="151" t="s">
        <v>169</v>
      </c>
      <c r="D61" s="145"/>
      <c r="E61" s="129"/>
      <c r="F61" s="112"/>
      <c r="G61" s="152"/>
      <c r="H61" s="140"/>
    </row>
    <row r="62" spans="2:23">
      <c r="B62" s="153"/>
      <c r="C62" s="154"/>
      <c r="D62" s="155"/>
      <c r="E62" s="129"/>
      <c r="F62" s="112"/>
      <c r="G62" s="117"/>
      <c r="H62" s="140"/>
    </row>
    <row r="63" spans="2:23">
      <c r="B63" s="153"/>
      <c r="C63" s="154"/>
      <c r="D63" s="112"/>
      <c r="E63" s="156"/>
      <c r="F63" s="112"/>
      <c r="G63" s="117"/>
      <c r="H63" s="140"/>
    </row>
    <row r="64" spans="2:23">
      <c r="B64" s="153"/>
      <c r="C64" s="144"/>
      <c r="D64" s="157"/>
      <c r="E64" s="158"/>
      <c r="F64" s="149"/>
      <c r="G64" s="137"/>
      <c r="H64" s="140"/>
    </row>
    <row r="65" spans="2:8" ht="15.75" thickBot="1">
      <c r="B65" s="159"/>
      <c r="C65" s="160" t="s">
        <v>170</v>
      </c>
      <c r="D65" s="140"/>
      <c r="E65" s="111"/>
      <c r="F65" s="149"/>
      <c r="G65" s="147">
        <f>SUM(G62:G64)</f>
        <v>0</v>
      </c>
      <c r="H65" s="148" t="e">
        <f>G65/(G30-G31)</f>
        <v>#REF!</v>
      </c>
    </row>
    <row r="66" spans="2:8" ht="15.75" thickTop="1">
      <c r="B66" s="150"/>
      <c r="C66" s="161"/>
      <c r="D66" s="162"/>
      <c r="E66" s="111"/>
      <c r="F66" s="163"/>
      <c r="G66" s="137"/>
      <c r="H66" s="140"/>
    </row>
    <row r="67" spans="2:8">
      <c r="B67" s="150"/>
      <c r="C67" s="161"/>
      <c r="D67" s="164"/>
      <c r="E67" s="117"/>
      <c r="F67" s="165"/>
      <c r="G67" s="137"/>
      <c r="H67" s="140"/>
    </row>
    <row r="68" spans="2:8">
      <c r="B68" s="150"/>
      <c r="C68" s="161"/>
      <c r="D68" s="164"/>
      <c r="E68" s="117"/>
      <c r="F68" s="165"/>
      <c r="G68" s="137"/>
      <c r="H68" s="140"/>
    </row>
    <row r="69" spans="2:8" ht="15.75" thickBot="1">
      <c r="B69" s="143"/>
      <c r="C69" s="161"/>
      <c r="D69" s="166"/>
      <c r="E69" s="111"/>
      <c r="F69" s="149"/>
      <c r="G69" s="147">
        <f>SUM(G67:G68)</f>
        <v>0</v>
      </c>
      <c r="H69" s="148" t="e">
        <f>G69/(G30-G31)</f>
        <v>#REF!</v>
      </c>
    </row>
    <row r="70" spans="2:8" ht="15.75" thickTop="1">
      <c r="B70" s="143"/>
      <c r="C70" s="161"/>
      <c r="D70" s="140"/>
      <c r="E70" s="111"/>
      <c r="F70" s="149"/>
      <c r="G70" s="137"/>
      <c r="H70" s="167"/>
    </row>
    <row r="71" spans="2:8">
      <c r="B71" s="143"/>
      <c r="C71" s="161"/>
      <c r="D71" s="140"/>
      <c r="E71" s="111"/>
      <c r="F71" s="149"/>
      <c r="G71" s="137"/>
      <c r="H71" s="167"/>
    </row>
    <row r="72" spans="2:8" ht="15.75" thickBot="1">
      <c r="B72" s="150" t="s">
        <v>20</v>
      </c>
      <c r="C72" s="161" t="s">
        <v>171</v>
      </c>
      <c r="D72" s="140"/>
      <c r="E72" s="111"/>
      <c r="F72" s="149"/>
      <c r="G72" s="188" t="e">
        <f>G32-G59-G65-G69</f>
        <v>#REF!</v>
      </c>
      <c r="H72" s="168" t="e">
        <f>G72/G32</f>
        <v>#REF!</v>
      </c>
    </row>
    <row r="73" spans="2:8" ht="15.75" thickTop="1">
      <c r="B73" s="150"/>
      <c r="C73" s="101"/>
      <c r="D73" s="169"/>
      <c r="E73" s="140"/>
      <c r="F73" s="170"/>
      <c r="G73" s="171"/>
      <c r="H73" s="172"/>
    </row>
    <row r="74" spans="2:8">
      <c r="B74" s="173"/>
      <c r="C74" s="174"/>
      <c r="D74" s="175"/>
      <c r="E74" s="174" t="s">
        <v>172</v>
      </c>
      <c r="F74" s="175"/>
      <c r="G74" s="175"/>
      <c r="H74" s="176"/>
    </row>
    <row r="75" spans="2:8">
      <c r="B75" s="143"/>
      <c r="C75" s="177"/>
      <c r="D75" s="178"/>
      <c r="E75" s="177" t="s">
        <v>173</v>
      </c>
      <c r="F75" s="178"/>
      <c r="G75" s="178"/>
      <c r="H75" s="179"/>
    </row>
    <row r="76" spans="2:8">
      <c r="B76" s="180"/>
      <c r="C76" s="181"/>
      <c r="D76" s="182"/>
      <c r="E76" s="181" t="s">
        <v>174</v>
      </c>
      <c r="F76" s="182"/>
      <c r="G76" s="182"/>
      <c r="H76" s="183"/>
    </row>
  </sheetData>
  <mergeCells count="10">
    <mergeCell ref="B8:B9"/>
    <mergeCell ref="C8:C9"/>
    <mergeCell ref="D8:H8"/>
    <mergeCell ref="B3:H3"/>
    <mergeCell ref="B4:C4"/>
    <mergeCell ref="F4:H4"/>
    <mergeCell ref="B5:C5"/>
    <mergeCell ref="F5:H5"/>
    <mergeCell ref="B6:C6"/>
    <mergeCell ref="F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DB_MOTOR</vt:lpstr>
      <vt:lpstr>DB-SanMu Plug Fan</vt:lpstr>
      <vt:lpstr>Master</vt:lpstr>
      <vt:lpstr>SCU75M1</vt:lpstr>
      <vt:lpstr>AHU IU1</vt:lpstr>
      <vt:lpstr>VolDamperCost2023 RA </vt:lpstr>
      <vt:lpstr>VolDamperCost2023 FA </vt:lpstr>
      <vt:lpstr>drainpan</vt:lpstr>
      <vt:lpstr>1. AHU-Skid</vt:lpstr>
      <vt:lpstr>2. AHU-Frame &amp; Panel</vt:lpstr>
      <vt:lpstr>3. AHU-Structure</vt:lpstr>
      <vt:lpstr>CoilCost 20251027</vt:lpstr>
      <vt:lpstr>Quotation</vt:lpstr>
      <vt:lpstr>Project Cost</vt:lpstr>
      <vt:lpstr>Quotation!Print_Area</vt:lpstr>
      <vt:lpstr>Quotation!Print_Titles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Dimyati</dc:creator>
  <cp:lastModifiedBy>Dae Huang</cp:lastModifiedBy>
  <cp:lastPrinted>2025-02-26T01:32:35Z</cp:lastPrinted>
  <dcterms:created xsi:type="dcterms:W3CDTF">2016-09-26T09:05:34Z</dcterms:created>
  <dcterms:modified xsi:type="dcterms:W3CDTF">2026-03-08T15:12:25Z</dcterms:modified>
</cp:coreProperties>
</file>